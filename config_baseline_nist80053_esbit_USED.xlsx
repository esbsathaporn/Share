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5"/>
    <sheet state="visible" name="Config Baseline" sheetId="2" r:id="rId6"/>
    <sheet state="visible" name="Summary" sheetId="3" r:id="rId7"/>
  </sheets>
  <definedNames>
    <definedName hidden="1" localSheetId="1" name="_xlnm._FilterDatabase">'Config Baseline'!$A$1:$L$1017</definedName>
  </definedNames>
  <calcPr/>
</workbook>
</file>

<file path=xl/sharedStrings.xml><?xml version="1.0" encoding="utf-8"?>
<sst xmlns="http://schemas.openxmlformats.org/spreadsheetml/2006/main" count="12398" uniqueCount="5492">
  <si>
    <t>Configuration Baseline based on NIST SP 800-53 Rev. 5 (Release 5.2.0) with NIST CSF 2.0 Mapping</t>
  </si>
  <si>
    <t>Control Family</t>
  </si>
  <si>
    <t>Control ID New</t>
  </si>
  <si>
    <t>Level 1</t>
  </si>
  <si>
    <t>Level 2</t>
  </si>
  <si>
    <t>Level 3</t>
  </si>
  <si>
    <t>Total</t>
  </si>
  <si>
    <t>Access Control (AC)</t>
  </si>
  <si>
    <t>Prefix ESBIT- is applied to every original NIST control identifier to form the new Control ID (for example AC-01 becomes ESBIT-AC-01). Sheets: Introduction, Config Baseline (main register), Summary.</t>
  </si>
  <si>
    <t>Control ID</t>
  </si>
  <si>
    <t>Control Name</t>
  </si>
  <si>
    <t>CSF 2.0 Function</t>
  </si>
  <si>
    <t>CSF 2.0 Category</t>
  </si>
  <si>
    <t>CSF 2.0 Subcategory ID</t>
  </si>
  <si>
    <t>CSF 2.0 Subcategory Description</t>
  </si>
  <si>
    <t>Key Activity</t>
  </si>
  <si>
    <t>Key Activity (Thai)</t>
  </si>
  <si>
    <t>IT Domain</t>
  </si>
  <si>
    <t>Config Baseline Relevance (Level)</t>
  </si>
  <si>
    <t>ESBIT-AC-01</t>
  </si>
  <si>
    <t>AC-01</t>
  </si>
  <si>
    <t>Policy and Procedures</t>
  </si>
  <si>
    <t>Govern (GV)</t>
  </si>
  <si>
    <t>GV.PO - Policy</t>
  </si>
  <si>
    <t>GV.PO-01</t>
  </si>
  <si>
    <t>Policy for managing cybersecurity risks is established based on organizational context, cybersecurity strategy, and priorities and is communicated and enforced</t>
  </si>
  <si>
    <t>Not a direct configuration item - define, document, review and communicate the Access Control policy and procedures that drive the technical configuration standards.</t>
  </si>
  <si>
    <t>1. Purpose of the Configuration Baseline</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</si>
  <si>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กำหนด จัดทำเอกสาร และทบทวนนโยบาย</t>
    </r>
    <r>
      <rPr>
        <rFont val="Calibri"/>
        <color theme="1"/>
        <sz val="14.0"/>
      </rPr>
      <t>/</t>
    </r>
    <r>
      <rPr>
        <rFont val="FreeSans"/>
        <color theme="1"/>
        <sz val="14.0"/>
      </rPr>
      <t xml:space="preserve">ขั้นตอนของหมวดการควบคุมการเข้าถึง เพื่อเป็นฐานในการกำหนดมาตรฐาน </t>
    </r>
    <r>
      <rPr>
        <rFont val="Calibri"/>
        <color theme="1"/>
        <sz val="14.0"/>
      </rPr>
      <t>Config</t>
    </r>
  </si>
  <si>
    <t>Governance/Process</t>
  </si>
  <si>
    <t>Level 3 - Low: governance/process control with no direct technical setting</t>
  </si>
  <si>
    <t>Awareness and Training (AT)</t>
  </si>
  <si>
    <t>ESBIT-AC-02</t>
  </si>
  <si>
    <t>AC-02</t>
  </si>
  <si>
    <t>Account Management</t>
  </si>
  <si>
    <t>Protect (PR)</t>
  </si>
  <si>
    <t>PR.AA - Identity Management, Authentication, and Access Control</t>
  </si>
  <si>
    <t>PR.AA-01</t>
  </si>
  <si>
    <t>Identities and credentials for authorized users, services, and hardware are managed by the organization</t>
  </si>
  <si>
    <t>Configure account types, naming, approval workflow and lifecycle in AD/LDAP, OS, database, network devices and cloud IAM; disable or remove inactive, temporary and shared accounts</t>
  </si>
  <si>
    <r>
      <rPr>
        <rFont val="FreeSans"/>
        <color theme="1"/>
        <sz val="14.0"/>
      </rPr>
      <t xml:space="preserve">กำหนดประเภทบัญชี การอนุมัติ และวงจรชีวิตบัญชีบน </t>
    </r>
    <r>
      <rPr>
        <rFont val="Calibri"/>
        <color theme="1"/>
        <sz val="14.0"/>
      </rPr>
      <t>AD/OS/DB/</t>
    </r>
    <r>
      <rPr>
        <rFont val="FreeSans"/>
        <color theme="1"/>
        <sz val="14.0"/>
      </rPr>
      <t>อุปกรณ์เครือข่าย</t>
    </r>
    <r>
      <rPr>
        <rFont val="Calibri"/>
        <color theme="1"/>
        <sz val="14.0"/>
      </rPr>
      <t xml:space="preserve">/Cloud IAM </t>
    </r>
    <r>
      <rPr>
        <rFont val="FreeSans"/>
        <color theme="1"/>
        <sz val="14.0"/>
      </rPr>
      <t>พร้อมปิดหรือลบบัญชีที่ไม่ใช้งาน ชั่วคราว และบัญชีใช้ร่วม</t>
    </r>
  </si>
  <si>
    <t>Identity &amp; Access Management, Cloud, Database</t>
  </si>
  <si>
    <t>This configuration baseline is established so that every cloud, network, database and infrastructure component is configured in accordance with a documented security baseline, giving the organization a consistent, repeatable and auditable way to harden its systems.</t>
  </si>
  <si>
    <t>Level 1 - High: mandatory setting that must exist in the configuration baseline</t>
  </si>
  <si>
    <t>It translates the NIST SP 800-53 Rev. 5 control catalog (20 families, base controls and control enhancements) into concrete configuration expectations, identifies which IT domain each control affects, and rates how strongly each control depends on technical configuration, so that administrators can prioritize what must be present in device and system configurations.</t>
  </si>
  <si>
    <t>The baseline supports: (1) a common security standard for all environments; (2) detection of configuration drift and unauthorized change; (3) evidence for internal audit and compliance reviews; and (4) alignment of technical settings with NIST CSF 2.0 outcomes.</t>
  </si>
  <si>
    <t>How to use the Config Baseline sheet: filter column K (IT domain) to select the technology in scope, filter column L to start with Level 1 items, read column I (English) or J (Thai) for the key configuration activity, then map each item to the vendor-specific setting (for example CIS Benchmark or STIG) for your platform.</t>
  </si>
  <si>
    <t>Important notes: the CSF 2.0 mapping and the Level rating are analyst-derived guidance for building the baseline and should be validated against the official NIST SP 800-53 to CSF 2.0 crosswalk and the organization's risk assessment. Withdrawn controls are excluded. Enhancement levels are derived from the base control (one level lower unless the enhancement concerns encryption, authentication, privilege, integrity, audit or deny-by-default).</t>
  </si>
  <si>
    <t>Audit and Accountability (AU)</t>
  </si>
  <si>
    <t>ESBIT-AC-02(01)</t>
  </si>
  <si>
    <t>AC-02(01)</t>
  </si>
  <si>
    <t>2. The 20 NIST SP 800-53 Control Families and Their Relevance to the Configuration Baseline</t>
  </si>
  <si>
    <t>Account Management | Automated System Account Management</t>
  </si>
  <si>
    <t>Enhances AC-02 (Account Management): configure and enforce 'Automated System Account Management' in addition to the base setting, keep it consistent across applicable systems and document approved exceptions. Base scope: Configure account types, naming, approval workflow and lifecycle in AD/LDAP, OS, database, network devices and cloud IAM; disable or remove inactive, temporary and shared accounts</t>
  </si>
  <si>
    <r>
      <rPr>
        <rFont val="FreeSans"/>
        <color theme="1"/>
        <sz val="14.0"/>
      </rPr>
      <t xml:space="preserve">ส่วนขยายของ </t>
    </r>
    <r>
      <rPr>
        <rFont val="Calibri"/>
        <color theme="1"/>
        <sz val="14.0"/>
      </rPr>
      <t xml:space="preserve">AC-02: </t>
    </r>
    <r>
      <rPr>
        <rFont val="FreeSans"/>
        <color theme="1"/>
        <sz val="14.0"/>
      </rPr>
      <t xml:space="preserve">กำหนดค่าและบังคับใช้ </t>
    </r>
    <r>
      <rPr>
        <rFont val="Calibri"/>
        <color theme="1"/>
        <sz val="14.0"/>
      </rPr>
      <t xml:space="preserve">'Automated System Account Management'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กำหนดประเภทบัญชี การอนุมัติ และวงจรชีวิตบัญชีบน </t>
    </r>
    <r>
      <rPr>
        <rFont val="Calibri"/>
        <color theme="1"/>
        <sz val="14.0"/>
      </rPr>
      <t>AD/OS/DB/</t>
    </r>
    <r>
      <rPr>
        <rFont val="FreeSans"/>
        <color theme="1"/>
        <sz val="14.0"/>
      </rPr>
      <t>อุปกรณ์เครือข่าย</t>
    </r>
    <r>
      <rPr>
        <rFont val="Calibri"/>
        <color theme="1"/>
        <sz val="14.0"/>
      </rPr>
      <t xml:space="preserve">/Cloud IAM </t>
    </r>
    <r>
      <rPr>
        <rFont val="FreeSans"/>
        <color theme="1"/>
        <sz val="14.0"/>
      </rPr>
      <t>พร้อมปิดหรือลบบัญชีที่ไม่ใช้งาน ชั่วคราว และบัญชีใช้ร่วม</t>
    </r>
  </si>
  <si>
    <t>Level 2 - Medium: recommended setting; apply wherever technically applicable</t>
  </si>
  <si>
    <t>What it covers</t>
  </si>
  <si>
    <t>Assessment, Authorization, and Monitoring (CA)</t>
  </si>
  <si>
    <t>Relevance to the configuration baseline</t>
  </si>
  <si>
    <t>Typical configuration focus</t>
  </si>
  <si>
    <t>Rows in register</t>
  </si>
  <si>
    <t>of which Level 1</t>
  </si>
  <si>
    <t>AC - Access Control</t>
  </si>
  <si>
    <t>Who and what may access systems, data and networks, and how sessions and information flows are controlled.</t>
  </si>
  <si>
    <t>High - directly defines account, privilege, session, remote access and network flow settings.</t>
  </si>
  <si>
    <t>Account lockout, session timeout, least-privilege roles, VPN/remote access, firewall rules, login banner, wireless security.</t>
  </si>
  <si>
    <t>ESBIT-AC-02(02)</t>
  </si>
  <si>
    <t>AC-02(02)</t>
  </si>
  <si>
    <t>Account Management | Automated Temporary and Emergency Account Management</t>
  </si>
  <si>
    <t>Enhances AC-02 (Account Management): configure and enforce 'Automated Temporary and Emergency Account Management' in addition to the base setting, keep it consistent across applicable systems and document approved exceptions. Base scope: Configure account types, naming, approval workflow and lifecycle in AD/LDAP, OS, database, network devices and cloud IAM; disable or remove inactive, temporary and shared accounts</t>
  </si>
  <si>
    <r>
      <rPr>
        <rFont val="FreeSans"/>
        <color theme="1"/>
        <sz val="14.0"/>
      </rPr>
      <t xml:space="preserve">ส่วนขยายของ </t>
    </r>
    <r>
      <rPr>
        <rFont val="Calibri"/>
        <color theme="1"/>
        <sz val="14.0"/>
      </rPr>
      <t xml:space="preserve">AC-02: </t>
    </r>
    <r>
      <rPr>
        <rFont val="FreeSans"/>
        <color theme="1"/>
        <sz val="14.0"/>
      </rPr>
      <t xml:space="preserve">กำหนดค่าและบังคับใช้ </t>
    </r>
    <r>
      <rPr>
        <rFont val="Calibri"/>
        <color theme="1"/>
        <sz val="14.0"/>
      </rPr>
      <t xml:space="preserve">'Automated Temporary and Emergency Account Management'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กำหนดประเภทบัญชี การอนุมัติ และวงจรชีวิตบัญชีบน </t>
    </r>
    <r>
      <rPr>
        <rFont val="Calibri"/>
        <color theme="1"/>
        <sz val="14.0"/>
      </rPr>
      <t>AD/OS/DB/</t>
    </r>
    <r>
      <rPr>
        <rFont val="FreeSans"/>
        <color theme="1"/>
        <sz val="14.0"/>
      </rPr>
      <t>อุปกรณ์เครือข่าย</t>
    </r>
    <r>
      <rPr>
        <rFont val="Calibri"/>
        <color theme="1"/>
        <sz val="14.0"/>
      </rPr>
      <t xml:space="preserve">/Cloud IAM </t>
    </r>
    <r>
      <rPr>
        <rFont val="FreeSans"/>
        <color theme="1"/>
        <sz val="14.0"/>
      </rPr>
      <t>พร้อมปิดหรือลบบัญชีที่ไม่ใช้งาน ชั่วคราว และบัญชีใช้ร่วม</t>
    </r>
  </si>
  <si>
    <t>ESBIT-AC-02(03)</t>
  </si>
  <si>
    <t>AC-02(03)</t>
  </si>
  <si>
    <t>Account Management | Disable Accounts</t>
  </si>
  <si>
    <t>Enhances AC-02 (Account Management): configure and enforce 'Disable Accounts' in addition to the base setting, keep it consistent across applicable systems and document approved exceptions. Base scope: Configure account types, naming, approval workflow and lifecycle in AD/LDAP, OS, database, network devices and cloud IAM; disable or remove inactive, temporary and shared accounts</t>
  </si>
  <si>
    <t>Configuration Management (CM)</t>
  </si>
  <si>
    <t>AT - Awareness and Training</t>
  </si>
  <si>
    <t>Security awareness and role-based training.</t>
  </si>
  <si>
    <t>Low - people/process control that supports correct configuration by trained administrators.</t>
  </si>
  <si>
    <t>Administrator and developer training on secure configuration.</t>
  </si>
  <si>
    <r>
      <rPr>
        <rFont val="FreeSans"/>
        <color theme="1"/>
        <sz val="14.0"/>
      </rPr>
      <t xml:space="preserve">ส่วนขยายของ </t>
    </r>
    <r>
      <rPr>
        <rFont val="Calibri"/>
        <color theme="1"/>
        <sz val="14.0"/>
      </rPr>
      <t xml:space="preserve">AC-02: </t>
    </r>
    <r>
      <rPr>
        <rFont val="FreeSans"/>
        <color theme="1"/>
        <sz val="14.0"/>
      </rPr>
      <t xml:space="preserve">กำหนดค่าและบังคับใช้ </t>
    </r>
    <r>
      <rPr>
        <rFont val="Calibri"/>
        <color theme="1"/>
        <sz val="14.0"/>
      </rPr>
      <t xml:space="preserve">'Disable Accounts'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กำหนดประเภทบัญชี การอนุมัติ และวงจรชีวิตบัญชีบน </t>
    </r>
    <r>
      <rPr>
        <rFont val="Calibri"/>
        <color theme="1"/>
        <sz val="14.0"/>
      </rPr>
      <t>AD/OS/DB/</t>
    </r>
    <r>
      <rPr>
        <rFont val="FreeSans"/>
        <color theme="1"/>
        <sz val="14.0"/>
      </rPr>
      <t>อุปกรณ์เครือข่าย</t>
    </r>
    <r>
      <rPr>
        <rFont val="Calibri"/>
        <color theme="1"/>
        <sz val="14.0"/>
      </rPr>
      <t xml:space="preserve">/Cloud IAM </t>
    </r>
    <r>
      <rPr>
        <rFont val="FreeSans"/>
        <color theme="1"/>
        <sz val="14.0"/>
      </rPr>
      <t>พร้อมปิดหรือลบบัญชีที่ไม่ใช้งาน ชั่วคราว และบัญชีใช้ร่วม</t>
    </r>
  </si>
  <si>
    <t>ESBIT-AC-02(04)</t>
  </si>
  <si>
    <t>AC-02(04)</t>
  </si>
  <si>
    <t>Account Management | Automated Audit Actions</t>
  </si>
  <si>
    <t>Enhances AC-02 (Account Management): configure and enforce 'Automated Audit Actions' in addition to the base setting, keep it consistent across applicable systems and document approved exceptions. Base scope: Configure account types, naming, approval workflow and lifecycle in AD/LDAP, OS, database, network devices and cloud IAM; disable or remove inactive, temporary and shared accounts</t>
  </si>
  <si>
    <r>
      <rPr>
        <rFont val="FreeSans"/>
        <color theme="1"/>
        <sz val="14.0"/>
      </rPr>
      <t xml:space="preserve">ส่วนขยายของ </t>
    </r>
    <r>
      <rPr>
        <rFont val="Calibri"/>
        <color theme="1"/>
        <sz val="14.0"/>
      </rPr>
      <t xml:space="preserve">AC-02: </t>
    </r>
    <r>
      <rPr>
        <rFont val="FreeSans"/>
        <color theme="1"/>
        <sz val="14.0"/>
      </rPr>
      <t xml:space="preserve">กำหนดค่าและบังคับใช้ </t>
    </r>
    <r>
      <rPr>
        <rFont val="Calibri"/>
        <color theme="1"/>
        <sz val="14.0"/>
      </rPr>
      <t xml:space="preserve">'Automated Audit Actions'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กำหนดประเภทบัญชี การอนุมัติ และวงจรชีวิตบัญชีบน </t>
    </r>
    <r>
      <rPr>
        <rFont val="Calibri"/>
        <color theme="1"/>
        <sz val="14.0"/>
      </rPr>
      <t>AD/OS/DB/</t>
    </r>
    <r>
      <rPr>
        <rFont val="FreeSans"/>
        <color theme="1"/>
        <sz val="14.0"/>
      </rPr>
      <t>อุปกรณ์เครือข่าย</t>
    </r>
    <r>
      <rPr>
        <rFont val="Calibri"/>
        <color theme="1"/>
        <sz val="14.0"/>
      </rPr>
      <t xml:space="preserve">/Cloud IAM </t>
    </r>
    <r>
      <rPr>
        <rFont val="FreeSans"/>
        <color theme="1"/>
        <sz val="14.0"/>
      </rPr>
      <t>พร้อมปิดหรือลบบัญชีที่ไม่ใช้งาน ชั่วคราว และบัญชีใช้ร่วม</t>
    </r>
  </si>
  <si>
    <t>ESBIT-AC-02(05)</t>
  </si>
  <si>
    <t>AC-02(05)</t>
  </si>
  <si>
    <t>Account Management | Inactivity Logout</t>
  </si>
  <si>
    <t>Enhances AC-02 (Account Management): configure and enforce 'Inactivity Logout' in addition to the base setting, keep it consistent across applicable systems and document approved exceptions. Base scope: Configure account types, naming, approval workflow and lifecycle in AD/LDAP, OS, database, network devices and cloud IAM; disable or remove inactive, temporary and shared accounts</t>
  </si>
  <si>
    <t>Contingency Planning (CP)</t>
  </si>
  <si>
    <t>AU - Audit and Accountability</t>
  </si>
  <si>
    <t>Event logging, log content, protection, retention, time stamps and review.</t>
  </si>
  <si>
    <t>High - logging must be enabled and configured on every component.</t>
  </si>
  <si>
    <t>Enable logging, log format, NTP, central syslog/SIEM forwarding, retention, log integrity.</t>
  </si>
  <si>
    <r>
      <rPr>
        <rFont val="FreeSans"/>
        <color theme="1"/>
        <sz val="14.0"/>
      </rPr>
      <t xml:space="preserve">ส่วนขยายของ </t>
    </r>
    <r>
      <rPr>
        <rFont val="Calibri"/>
        <color theme="1"/>
        <sz val="14.0"/>
      </rPr>
      <t xml:space="preserve">AC-02: </t>
    </r>
    <r>
      <rPr>
        <rFont val="FreeSans"/>
        <color theme="1"/>
        <sz val="14.0"/>
      </rPr>
      <t xml:space="preserve">กำหนดค่าและบังคับใช้ </t>
    </r>
    <r>
      <rPr>
        <rFont val="Calibri"/>
        <color theme="1"/>
        <sz val="14.0"/>
      </rPr>
      <t xml:space="preserve">'Inactivity Logout'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กำหนดประเภทบัญชี การอนุมัติ และวงจรชีวิตบัญชีบน </t>
    </r>
    <r>
      <rPr>
        <rFont val="Calibri"/>
        <color theme="1"/>
        <sz val="14.0"/>
      </rPr>
      <t>AD/OS/DB/</t>
    </r>
    <r>
      <rPr>
        <rFont val="FreeSans"/>
        <color theme="1"/>
        <sz val="14.0"/>
      </rPr>
      <t>อุปกรณ์เครือข่าย</t>
    </r>
    <r>
      <rPr>
        <rFont val="Calibri"/>
        <color theme="1"/>
        <sz val="14.0"/>
      </rPr>
      <t xml:space="preserve">/Cloud IAM </t>
    </r>
    <r>
      <rPr>
        <rFont val="FreeSans"/>
        <color theme="1"/>
        <sz val="14.0"/>
      </rPr>
      <t>พร้อมปิดหรือลบบัญชีที่ไม่ใช้งาน ชั่วคราว และบัญชีใช้ร่วม</t>
    </r>
  </si>
  <si>
    <t>ESBIT-AC-02(06)</t>
  </si>
  <si>
    <t>AC-02(06)</t>
  </si>
  <si>
    <t>Account Management | Dynamic Privilege Management</t>
  </si>
  <si>
    <t>Enhances AC-02 (Account Management): configure and enforce 'Dynamic Privilege Management' in addition to the base setting, keep it consistent across applicable systems and document approved exceptions. Base scope: Configure account types, naming, approval workflow and lifecycle in AD/LDAP, OS, database, network devices and cloud IAM; disable or remove inactive, temporary and shared accounts</t>
  </si>
  <si>
    <t>CA - Assessment, Authorization, and Monitoring</t>
  </si>
  <si>
    <t>Control assessment, system interconnection, POA&amp;M, continuous monitoring and penetration testing.</t>
  </si>
  <si>
    <t>Medium - drives compliance checking and monitoring of configuration.</t>
  </si>
  <si>
    <t>Configuration compliance scans, interconnection rules, drift monitoring.</t>
  </si>
  <si>
    <r>
      <rPr>
        <rFont val="FreeSans"/>
        <color theme="1"/>
        <sz val="14.0"/>
      </rPr>
      <t xml:space="preserve">ส่วนขยายของ </t>
    </r>
    <r>
      <rPr>
        <rFont val="Calibri"/>
        <color theme="1"/>
        <sz val="14.0"/>
      </rPr>
      <t xml:space="preserve">AC-02: </t>
    </r>
    <r>
      <rPr>
        <rFont val="FreeSans"/>
        <color theme="1"/>
        <sz val="14.0"/>
      </rPr>
      <t xml:space="preserve">กำหนดค่าและบังคับใช้ </t>
    </r>
    <r>
      <rPr>
        <rFont val="Calibri"/>
        <color theme="1"/>
        <sz val="14.0"/>
      </rPr>
      <t xml:space="preserve">'Dynamic Privilege Management'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กำหนดประเภทบัญชี การอนุมัติ และวงจรชีวิตบัญชีบน </t>
    </r>
    <r>
      <rPr>
        <rFont val="Calibri"/>
        <color theme="1"/>
        <sz val="14.0"/>
      </rPr>
      <t>AD/OS/DB/</t>
    </r>
    <r>
      <rPr>
        <rFont val="FreeSans"/>
        <color theme="1"/>
        <sz val="14.0"/>
      </rPr>
      <t>อุปกรณ์เครือข่าย</t>
    </r>
    <r>
      <rPr>
        <rFont val="Calibri"/>
        <color theme="1"/>
        <sz val="14.0"/>
      </rPr>
      <t xml:space="preserve">/Cloud IAM </t>
    </r>
    <r>
      <rPr>
        <rFont val="FreeSans"/>
        <color theme="1"/>
        <sz val="14.0"/>
      </rPr>
      <t>พร้อมปิดหรือลบบัญชีที่ไม่ใช้งาน ชั่วคราว และบัญชีใช้ร่วม</t>
    </r>
  </si>
  <si>
    <t>ESBIT-AC-02(07)</t>
  </si>
  <si>
    <t>AC-02(07)</t>
  </si>
  <si>
    <t>Account Management | Privileged User Accounts</t>
  </si>
  <si>
    <t>Enhances AC-02 (Account Management): configure and enforce 'Privileged User Accounts' in addition to the base setting, keep it consistent across applicable systems and document approved exceptions. Base scope: Configure account types, naming, approval workflow and lifecycle in AD/LDAP, OS, database, network devices and cloud IAM; disable or remove inactive, temporary and shared accounts</t>
  </si>
  <si>
    <r>
      <rPr>
        <rFont val="FreeSans"/>
        <color theme="1"/>
        <sz val="14.0"/>
      </rPr>
      <t xml:space="preserve">ส่วนขยายของ </t>
    </r>
    <r>
      <rPr>
        <rFont val="Calibri"/>
        <color theme="1"/>
        <sz val="14.0"/>
      </rPr>
      <t xml:space="preserve">AC-02: </t>
    </r>
    <r>
      <rPr>
        <rFont val="FreeSans"/>
        <color theme="1"/>
        <sz val="14.0"/>
      </rPr>
      <t xml:space="preserve">กำหนดค่าและบังคับใช้ </t>
    </r>
    <r>
      <rPr>
        <rFont val="Calibri"/>
        <color theme="1"/>
        <sz val="14.0"/>
      </rPr>
      <t xml:space="preserve">'Privileged User Accounts'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กำหนดประเภทบัญชี การอนุมัติ และวงจรชีวิตบัญชีบน </t>
    </r>
    <r>
      <rPr>
        <rFont val="Calibri"/>
        <color theme="1"/>
        <sz val="14.0"/>
      </rPr>
      <t>AD/OS/DB/</t>
    </r>
    <r>
      <rPr>
        <rFont val="FreeSans"/>
        <color theme="1"/>
        <sz val="14.0"/>
      </rPr>
      <t>อุปกรณ์เครือข่าย</t>
    </r>
    <r>
      <rPr>
        <rFont val="Calibri"/>
        <color theme="1"/>
        <sz val="14.0"/>
      </rPr>
      <t xml:space="preserve">/Cloud IAM </t>
    </r>
    <r>
      <rPr>
        <rFont val="FreeSans"/>
        <color theme="1"/>
        <sz val="14.0"/>
      </rPr>
      <t>พร้อมปิดหรือลบบัญชีที่ไม่ใช้งาน ชั่วคราว และบัญชีใช้ร่วม</t>
    </r>
  </si>
  <si>
    <t>CM - Configuration Management</t>
  </si>
  <si>
    <t>Baseline configuration, change control, least functionality, software restrictions and inventory.</t>
  </si>
  <si>
    <t>Identification and Authentication (IA)</t>
  </si>
  <si>
    <t>ESBIT-AC-02(08)</t>
  </si>
  <si>
    <t>Very high - the core of the configuration baseline.</t>
  </si>
  <si>
    <t>AC-02(08)</t>
  </si>
  <si>
    <t>Hardened baselines (CIS/STIG), change control, disable unused services, allowlisting, asset inventory.</t>
  </si>
  <si>
    <t>Account Management | Dynamic Account Management</t>
  </si>
  <si>
    <t>Enhances AC-02 (Account Management): configure and enforce 'Dynamic Account Management' in addition to the base setting, keep it consistent across applicable systems and document approved exceptions. Base scope: Configure account types, naming, approval workflow and lifecycle in AD/LDAP, OS, database, network devices and cloud IAM; disable or remove inactive, temporary and shared accounts</t>
  </si>
  <si>
    <r>
      <rPr>
        <rFont val="FreeSans"/>
        <color theme="1"/>
        <sz val="14.0"/>
      </rPr>
      <t xml:space="preserve">ส่วนขยายของ </t>
    </r>
    <r>
      <rPr>
        <rFont val="Calibri"/>
        <color theme="1"/>
        <sz val="14.0"/>
      </rPr>
      <t xml:space="preserve">AC-02: </t>
    </r>
    <r>
      <rPr>
        <rFont val="FreeSans"/>
        <color theme="1"/>
        <sz val="14.0"/>
      </rPr>
      <t xml:space="preserve">กำหนดค่าและบังคับใช้ </t>
    </r>
    <r>
      <rPr>
        <rFont val="Calibri"/>
        <color theme="1"/>
        <sz val="14.0"/>
      </rPr>
      <t xml:space="preserve">'Dynamic Account Management'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กำหนดประเภทบัญชี การอนุมัติ และวงจรชีวิตบัญชีบน </t>
    </r>
    <r>
      <rPr>
        <rFont val="Calibri"/>
        <color theme="1"/>
        <sz val="14.0"/>
      </rPr>
      <t>AD/OS/DB/</t>
    </r>
    <r>
      <rPr>
        <rFont val="FreeSans"/>
        <color theme="1"/>
        <sz val="14.0"/>
      </rPr>
      <t>อุปกรณ์เครือข่าย</t>
    </r>
    <r>
      <rPr>
        <rFont val="Calibri"/>
        <color theme="1"/>
        <sz val="14.0"/>
      </rPr>
      <t xml:space="preserve">/Cloud IAM </t>
    </r>
    <r>
      <rPr>
        <rFont val="FreeSans"/>
        <color theme="1"/>
        <sz val="14.0"/>
      </rPr>
      <t>พร้อมปิดหรือลบบัญชีที่ไม่ใช้งาน ชั่วคราว และบัญชีใช้ร่วม</t>
    </r>
  </si>
  <si>
    <t>ESBIT-AC-02(09)</t>
  </si>
  <si>
    <t>AC-02(09)</t>
  </si>
  <si>
    <t>Account Management | Restrictions on Use of Shared and Group Accounts</t>
  </si>
  <si>
    <t>CP - Contingency Planning</t>
  </si>
  <si>
    <t>Contingency planning, backup, alternate sites, telecommunications and recovery.</t>
  </si>
  <si>
    <t>Medium to high - backup, replication and failover settings.</t>
  </si>
  <si>
    <t>Backup jobs and encryption, replication, DR failover, redundant links.</t>
  </si>
  <si>
    <t>Enhances AC-02 (Account Management): configure and enforce 'Restrictions on Use of Shared and Group Accounts' in addition to the base setting, keep it consistent across applicable systems and document approved exceptions. Base scope: Configure account types, naming, approval workflow and lifecycle in AD/LDAP, OS, database, network devices and cloud IAM; disable or remove inactive, temporary and shared accounts</t>
  </si>
  <si>
    <t>IA - Identification and Authentication</t>
  </si>
  <si>
    <t>Authentication of users, devices and services and management of authenticators.</t>
  </si>
  <si>
    <t>High - authentication settings on every platform.</t>
  </si>
  <si>
    <t>MFA, password policy, 802.1X/NAC, certificates, service identities, SSO.</t>
  </si>
  <si>
    <r>
      <rPr>
        <rFont val="FreeSans"/>
        <color theme="1"/>
        <sz val="14.0"/>
      </rPr>
      <t xml:space="preserve">ส่วนขยายของ </t>
    </r>
    <r>
      <rPr>
        <rFont val="Calibri"/>
        <color theme="1"/>
        <sz val="14.0"/>
      </rPr>
      <t xml:space="preserve">AC-02: </t>
    </r>
    <r>
      <rPr>
        <rFont val="FreeSans"/>
        <color theme="1"/>
        <sz val="14.0"/>
      </rPr>
      <t xml:space="preserve">กำหนดค่าและบังคับใช้ </t>
    </r>
    <r>
      <rPr>
        <rFont val="Calibri"/>
        <color theme="1"/>
        <sz val="14.0"/>
      </rPr>
      <t xml:space="preserve">'Restrictions on Use of Shared and Group Accounts'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กำหนดประเภทบัญชี การอนุมัติ และวงจรชีวิตบัญชีบน </t>
    </r>
    <r>
      <rPr>
        <rFont val="Calibri"/>
        <color theme="1"/>
        <sz val="14.0"/>
      </rPr>
      <t>AD/OS/DB/</t>
    </r>
    <r>
      <rPr>
        <rFont val="FreeSans"/>
        <color theme="1"/>
        <sz val="14.0"/>
      </rPr>
      <t>อุปกรณ์เครือข่าย</t>
    </r>
    <r>
      <rPr>
        <rFont val="Calibri"/>
        <color theme="1"/>
        <sz val="14.0"/>
      </rPr>
      <t xml:space="preserve">/Cloud IAM </t>
    </r>
    <r>
      <rPr>
        <rFont val="FreeSans"/>
        <color theme="1"/>
        <sz val="14.0"/>
      </rPr>
      <t>พร้อมปิดหรือลบบัญชีที่ไม่ใช้งาน ชั่วคราว และบัญชีใช้ร่วม</t>
    </r>
  </si>
  <si>
    <t>ESBIT-AC-02(11)</t>
  </si>
  <si>
    <t>AC-02(11)</t>
  </si>
  <si>
    <t>Account Management | Usage Conditions</t>
  </si>
  <si>
    <t>Enhances AC-02 (Account Management): configure and enforce 'Usage Conditions' in addition to the base setting, keep it consistent across applicable systems and document approved exceptions. Base scope: Configure account types, naming, approval workflow and lifecycle in AD/LDAP, OS, database, network devices and cloud IAM; disable or remove inactive, temporary and shared accounts</t>
  </si>
  <si>
    <t>Incident Response (IR)</t>
  </si>
  <si>
    <t>IR - Incident Response</t>
  </si>
  <si>
    <t>Incident handling capability, training, testing and reporting.</t>
  </si>
  <si>
    <t>Low to medium - mostly process, with tooling configuration for handling.</t>
  </si>
  <si>
    <t>SIEM/SOAR playbooks, containment actions, ticketing.</t>
  </si>
  <si>
    <r>
      <rPr>
        <rFont val="FreeSans"/>
        <color theme="1"/>
        <sz val="14.0"/>
      </rPr>
      <t xml:space="preserve">ส่วนขยายของ </t>
    </r>
    <r>
      <rPr>
        <rFont val="Calibri"/>
        <color theme="1"/>
        <sz val="14.0"/>
      </rPr>
      <t xml:space="preserve">AC-02: </t>
    </r>
    <r>
      <rPr>
        <rFont val="FreeSans"/>
        <color theme="1"/>
        <sz val="14.0"/>
      </rPr>
      <t xml:space="preserve">กำหนดค่าและบังคับใช้ </t>
    </r>
    <r>
      <rPr>
        <rFont val="Calibri"/>
        <color theme="1"/>
        <sz val="14.0"/>
      </rPr>
      <t xml:space="preserve">'Usage Conditions'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กำหนดประเภทบัญชี การอนุมัติ และวงจรชีวิตบัญชีบน </t>
    </r>
    <r>
      <rPr>
        <rFont val="Calibri"/>
        <color theme="1"/>
        <sz val="14.0"/>
      </rPr>
      <t>AD/OS/DB/</t>
    </r>
    <r>
      <rPr>
        <rFont val="FreeSans"/>
        <color theme="1"/>
        <sz val="14.0"/>
      </rPr>
      <t>อุปกรณ์เครือข่าย</t>
    </r>
    <r>
      <rPr>
        <rFont val="Calibri"/>
        <color theme="1"/>
        <sz val="14.0"/>
      </rPr>
      <t xml:space="preserve">/Cloud IAM </t>
    </r>
    <r>
      <rPr>
        <rFont val="FreeSans"/>
        <color theme="1"/>
        <sz val="14.0"/>
      </rPr>
      <t>พร้อมปิดหรือลบบัญชีที่ไม่ใช้งาน ชั่วคราว และบัญชีใช้ร่วม</t>
    </r>
  </si>
  <si>
    <t>ESBIT-AC-02(12)</t>
  </si>
  <si>
    <t>AC-02(12)</t>
  </si>
  <si>
    <t>Account Management | Account Monitoring for Atypical Usage</t>
  </si>
  <si>
    <t>Enhances AC-02 (Account Management): configure and enforce 'Account Monitoring for Atypical Usage' in addition to the base setting, keep it consistent across applicable systems and document approved exceptions. Base scope: Configure account types, naming, approval workflow and lifecycle in AD/LDAP, OS, database, network devices and cloud IAM; disable or remove inactive, temporary and shared accounts</t>
  </si>
  <si>
    <t>MA - Maintenance</t>
  </si>
  <si>
    <t>Controlled and remote maintenance, maintenance tools and personnel.</t>
  </si>
  <si>
    <t>Low to medium - remote maintenance session settings.</t>
  </si>
  <si>
    <t>Vendor remote access with MFA, encryption, logging and session termination.</t>
  </si>
  <si>
    <r>
      <rPr>
        <rFont val="FreeSans"/>
        <color theme="1"/>
        <sz val="14.0"/>
      </rPr>
      <t xml:space="preserve">ส่วนขยายของ </t>
    </r>
    <r>
      <rPr>
        <rFont val="Calibri"/>
        <color theme="1"/>
        <sz val="14.0"/>
      </rPr>
      <t xml:space="preserve">AC-02: </t>
    </r>
    <r>
      <rPr>
        <rFont val="FreeSans"/>
        <color theme="1"/>
        <sz val="14.0"/>
      </rPr>
      <t xml:space="preserve">กำหนดค่าและบังคับใช้ </t>
    </r>
    <r>
      <rPr>
        <rFont val="Calibri"/>
        <color theme="1"/>
        <sz val="14.0"/>
      </rPr>
      <t xml:space="preserve">'Account Monitoring for Atypical Usage'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กำหนดประเภทบัญชี การอนุมัติ และวงจรชีวิตบัญชีบน </t>
    </r>
    <r>
      <rPr>
        <rFont val="Calibri"/>
        <color theme="1"/>
        <sz val="14.0"/>
      </rPr>
      <t>AD/OS/DB/</t>
    </r>
    <r>
      <rPr>
        <rFont val="FreeSans"/>
        <color theme="1"/>
        <sz val="14.0"/>
      </rPr>
      <t>อุปกรณ์เครือข่าย</t>
    </r>
    <r>
      <rPr>
        <rFont val="Calibri"/>
        <color theme="1"/>
        <sz val="14.0"/>
      </rPr>
      <t xml:space="preserve">/Cloud IAM </t>
    </r>
    <r>
      <rPr>
        <rFont val="FreeSans"/>
        <color theme="1"/>
        <sz val="14.0"/>
      </rPr>
      <t>พร้อมปิดหรือลบบัญชีที่ไม่ใช้งาน ชั่วคราว และบัญชีใช้ร่วม</t>
    </r>
  </si>
  <si>
    <t>ESBIT-AC-02(13)</t>
  </si>
  <si>
    <t>AC-02(13)</t>
  </si>
  <si>
    <t>Account Management | Disable Accounts for High-risk Individuals</t>
  </si>
  <si>
    <t>Enhances AC-02 (Account Management): configure and enforce 'Disable Accounts for High-risk Individuals' in addition to the base setting, keep it consistent across applicable systems and document approved exceptions. Base scope: Configure account types, naming, approval workflow and lifecycle in AD/LDAP, OS, database, network devices and cloud IAM; disable or remove inactive, temporary and shared accounts</t>
  </si>
  <si>
    <t>Maintenance (MA)</t>
  </si>
  <si>
    <t>MP - Media Protection</t>
  </si>
  <si>
    <t>Access, marking, storage, transport and sanitization of media.</t>
  </si>
  <si>
    <t>Low to medium - removable media and encryption settings.</t>
  </si>
  <si>
    <r>
      <rPr>
        <rFont val="FreeSans"/>
        <color theme="1"/>
        <sz val="14.0"/>
      </rPr>
      <t xml:space="preserve">ส่วนขยายของ </t>
    </r>
    <r>
      <rPr>
        <rFont val="Calibri"/>
        <color theme="1"/>
        <sz val="14.0"/>
      </rPr>
      <t xml:space="preserve">AC-02: </t>
    </r>
    <r>
      <rPr>
        <rFont val="FreeSans"/>
        <color theme="1"/>
        <sz val="14.0"/>
      </rPr>
      <t xml:space="preserve">กำหนดค่าและบังคับใช้ </t>
    </r>
    <r>
      <rPr>
        <rFont val="Calibri"/>
        <color theme="1"/>
        <sz val="14.0"/>
      </rPr>
      <t xml:space="preserve">'Disable Accounts for High-risk Individuals'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กำหนดประเภทบัญชี การอนุมัติ และวงจรชีวิตบัญชีบน </t>
    </r>
    <r>
      <rPr>
        <rFont val="Calibri"/>
        <color theme="1"/>
        <sz val="14.0"/>
      </rPr>
      <t>AD/OS/DB/</t>
    </r>
    <r>
      <rPr>
        <rFont val="FreeSans"/>
        <color theme="1"/>
        <sz val="14.0"/>
      </rPr>
      <t>อุปกรณ์เครือข่าย</t>
    </r>
    <r>
      <rPr>
        <rFont val="Calibri"/>
        <color theme="1"/>
        <sz val="14.0"/>
      </rPr>
      <t xml:space="preserve">/Cloud IAM </t>
    </r>
    <r>
      <rPr>
        <rFont val="FreeSans"/>
        <color theme="1"/>
        <sz val="14.0"/>
      </rPr>
      <t>พร้อมปิดหรือลบบัญชีที่ไม่ใช้งาน ชั่วคราว และบัญชีใช้ร่วม</t>
    </r>
  </si>
  <si>
    <t>USB/removable media control, disk encryption, secure wipe.</t>
  </si>
  <si>
    <t>ESBIT-AC-03</t>
  </si>
  <si>
    <t>AC-03</t>
  </si>
  <si>
    <t>Access Enforcement</t>
  </si>
  <si>
    <t>PR.AA-05</t>
  </si>
  <si>
    <t>Access permissions, entitlements, and authorizations are defined in a policy, managed, enforced, and reviewed, and incorporate the principles of least privilege and separation of duties</t>
  </si>
  <si>
    <t>Enforce approved authorizations (RBAC/ACL/permissions) on file systems, databases, applications, network devices and cloud resources</t>
  </si>
  <si>
    <r>
      <rPr>
        <rFont val="FreeSans"/>
        <color theme="1"/>
        <sz val="14.0"/>
      </rPr>
      <t xml:space="preserve">บังคับใช้สิทธิ์การเข้าถึง </t>
    </r>
    <r>
      <rPr>
        <rFont val="Calibri"/>
        <color theme="1"/>
        <sz val="14.0"/>
      </rPr>
      <t xml:space="preserve">(RBAC/ACL/Permission) </t>
    </r>
    <r>
      <rPr>
        <rFont val="FreeSans"/>
        <color theme="1"/>
        <sz val="14.0"/>
      </rPr>
      <t xml:space="preserve">บน </t>
    </r>
    <r>
      <rPr>
        <rFont val="Calibri"/>
        <color theme="1"/>
        <sz val="14.0"/>
      </rPr>
      <t xml:space="preserve">File System, DB, Application, </t>
    </r>
    <r>
      <rPr>
        <rFont val="FreeSans"/>
        <color theme="1"/>
        <sz val="14.0"/>
      </rPr>
      <t xml:space="preserve">อุปกรณ์เครือข่าย และทรัพยากร </t>
    </r>
    <r>
      <rPr>
        <rFont val="Calibri"/>
        <color theme="1"/>
        <sz val="14.0"/>
      </rPr>
      <t>Cloud</t>
    </r>
  </si>
  <si>
    <t>Identity &amp; Access Management, Infrastructure (Server/OS), Database, Application/Software</t>
  </si>
  <si>
    <t>ESBIT-AC-03(02)</t>
  </si>
  <si>
    <t>AC-03(02)</t>
  </si>
  <si>
    <t>Access Enforcement | Dual Authorization</t>
  </si>
  <si>
    <t>Enhances AC-03 (Access Enforcement): configure and enforce 'Dual Authorization' in addition to the base setting, keep it consistent across applicable systems and document approved exceptions. Base scope: Enforce approved authorizations (RBAC/ACL/permissions) on file systems, databases, applications, network devices and cloud resources</t>
  </si>
  <si>
    <r>
      <rPr>
        <rFont val="FreeSans"/>
        <color theme="1"/>
        <sz val="14.0"/>
      </rPr>
      <t xml:space="preserve">ส่วนขยายของ </t>
    </r>
    <r>
      <rPr>
        <rFont val="Calibri"/>
        <color theme="1"/>
        <sz val="14.0"/>
      </rPr>
      <t xml:space="preserve">AC-03: </t>
    </r>
    <r>
      <rPr>
        <rFont val="FreeSans"/>
        <color theme="1"/>
        <sz val="14.0"/>
      </rPr>
      <t xml:space="preserve">กำหนดค่าและบังคับใช้ </t>
    </r>
    <r>
      <rPr>
        <rFont val="Calibri"/>
        <color theme="1"/>
        <sz val="14.0"/>
      </rPr>
      <t xml:space="preserve">'Dual Authorization'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บังคับใช้สิทธิ์การเข้าถึง </t>
    </r>
    <r>
      <rPr>
        <rFont val="Calibri"/>
        <color theme="1"/>
        <sz val="14.0"/>
      </rPr>
      <t xml:space="preserve">(RBAC/ACL/Permission) </t>
    </r>
    <r>
      <rPr>
        <rFont val="FreeSans"/>
        <color theme="1"/>
        <sz val="14.0"/>
      </rPr>
      <t xml:space="preserve">บน </t>
    </r>
    <r>
      <rPr>
        <rFont val="Calibri"/>
        <color theme="1"/>
        <sz val="14.0"/>
      </rPr>
      <t xml:space="preserve">File System, DB, Application, </t>
    </r>
    <r>
      <rPr>
        <rFont val="FreeSans"/>
        <color theme="1"/>
        <sz val="14.0"/>
      </rPr>
      <t xml:space="preserve">อุปกรณ์เครือข่าย และทรัพยากร </t>
    </r>
    <r>
      <rPr>
        <rFont val="Calibri"/>
        <color theme="1"/>
        <sz val="14.0"/>
      </rPr>
      <t>Cloud</t>
    </r>
  </si>
  <si>
    <t>PE - Physical and Environmental Protection</t>
  </si>
  <si>
    <t>ESBIT-AC-03(03)</t>
  </si>
  <si>
    <t>AC-03(03)</t>
  </si>
  <si>
    <t>Physical access, monitoring, power, fire and environmental protection.</t>
  </si>
  <si>
    <t>Access Enforcement | Mandatory Access Control</t>
  </si>
  <si>
    <t>Low - facility controls rather than IT configuration.</t>
  </si>
  <si>
    <t>Badge/CCTV systems, UPS, fire suppression, HVAC monitoring.</t>
  </si>
  <si>
    <t>Enhances AC-03 (Access Enforcement): configure and enforce 'Mandatory Access Control' in addition to the base setting, keep it consistent across applicable systems and document approved exceptions. Base scope: Enforce approved authorizations (RBAC/ACL/permissions) on file systems, databases, applications, network devices and cloud resources</t>
  </si>
  <si>
    <t>Media Protection (MP)</t>
  </si>
  <si>
    <r>
      <rPr>
        <rFont val="FreeSans"/>
        <color theme="1"/>
        <sz val="14.0"/>
      </rPr>
      <t xml:space="preserve">ส่วนขยายของ </t>
    </r>
    <r>
      <rPr>
        <rFont val="Calibri"/>
        <color theme="1"/>
        <sz val="14.0"/>
      </rPr>
      <t xml:space="preserve">AC-03: </t>
    </r>
    <r>
      <rPr>
        <rFont val="FreeSans"/>
        <color theme="1"/>
        <sz val="14.0"/>
      </rPr>
      <t xml:space="preserve">กำหนดค่าและบังคับใช้ </t>
    </r>
    <r>
      <rPr>
        <rFont val="Calibri"/>
        <color theme="1"/>
        <sz val="14.0"/>
      </rPr>
      <t xml:space="preserve">'Mandatory Access Control'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บังคับใช้สิทธิ์การเข้าถึง </t>
    </r>
    <r>
      <rPr>
        <rFont val="Calibri"/>
        <color theme="1"/>
        <sz val="14.0"/>
      </rPr>
      <t xml:space="preserve">(RBAC/ACL/Permission) </t>
    </r>
    <r>
      <rPr>
        <rFont val="FreeSans"/>
        <color theme="1"/>
        <sz val="14.0"/>
      </rPr>
      <t xml:space="preserve">บน </t>
    </r>
    <r>
      <rPr>
        <rFont val="Calibri"/>
        <color theme="1"/>
        <sz val="14.0"/>
      </rPr>
      <t xml:space="preserve">File System, DB, Application, </t>
    </r>
    <r>
      <rPr>
        <rFont val="FreeSans"/>
        <color theme="1"/>
        <sz val="14.0"/>
      </rPr>
      <t xml:space="preserve">อุปกรณ์เครือข่าย และทรัพยากร </t>
    </r>
    <r>
      <rPr>
        <rFont val="Calibri"/>
        <color theme="1"/>
        <sz val="14.0"/>
      </rPr>
      <t>Cloud</t>
    </r>
  </si>
  <si>
    <t>ESBIT-AC-03(04)</t>
  </si>
  <si>
    <t>AC-03(04)</t>
  </si>
  <si>
    <t>Access Enforcement | Discretionary Access Control</t>
  </si>
  <si>
    <t>Enhances AC-03 (Access Enforcement): configure and enforce 'Discretionary Access Control' in addition to the base setting, keep it consistent across applicable systems and document approved exceptions. Base scope: Enforce approved authorizations (RBAC/ACL/permissions) on file systems, databases, applications, network devices and cloud resources</t>
  </si>
  <si>
    <r>
      <rPr>
        <rFont val="FreeSans"/>
        <color theme="1"/>
        <sz val="14.0"/>
      </rPr>
      <t xml:space="preserve">ส่วนขยายของ </t>
    </r>
    <r>
      <rPr>
        <rFont val="Calibri"/>
        <color theme="1"/>
        <sz val="14.0"/>
      </rPr>
      <t xml:space="preserve">AC-03: </t>
    </r>
    <r>
      <rPr>
        <rFont val="FreeSans"/>
        <color theme="1"/>
        <sz val="14.0"/>
      </rPr>
      <t xml:space="preserve">กำหนดค่าและบังคับใช้ </t>
    </r>
    <r>
      <rPr>
        <rFont val="Calibri"/>
        <color theme="1"/>
        <sz val="14.0"/>
      </rPr>
      <t xml:space="preserve">'Discretionary Access Control'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บังคับใช้สิทธิ์การเข้าถึง </t>
    </r>
    <r>
      <rPr>
        <rFont val="Calibri"/>
        <color theme="1"/>
        <sz val="14.0"/>
      </rPr>
      <t xml:space="preserve">(RBAC/ACL/Permission) </t>
    </r>
    <r>
      <rPr>
        <rFont val="FreeSans"/>
        <color theme="1"/>
        <sz val="14.0"/>
      </rPr>
      <t xml:space="preserve">บน </t>
    </r>
    <r>
      <rPr>
        <rFont val="Calibri"/>
        <color theme="1"/>
        <sz val="14.0"/>
      </rPr>
      <t xml:space="preserve">File System, DB, Application, </t>
    </r>
    <r>
      <rPr>
        <rFont val="FreeSans"/>
        <color theme="1"/>
        <sz val="14.0"/>
      </rPr>
      <t xml:space="preserve">อุปกรณ์เครือข่าย และทรัพยากร </t>
    </r>
    <r>
      <rPr>
        <rFont val="Calibri"/>
        <color theme="1"/>
        <sz val="14.0"/>
      </rPr>
      <t>Cloud</t>
    </r>
  </si>
  <si>
    <t>ESBIT-AC-03(05)</t>
  </si>
  <si>
    <t>AC-03(05)</t>
  </si>
  <si>
    <t>PL - Planning</t>
  </si>
  <si>
    <t>Access Enforcement | Security-relevant Information</t>
  </si>
  <si>
    <t>Security planning, rules of behavior, security architecture and baseline selection.</t>
  </si>
  <si>
    <t>Medium - architecture and baseline tailoring drive the design.</t>
  </si>
  <si>
    <t>Enhances AC-03 (Access Enforcement): configure and enforce 'Security-relevant Information' in addition to the base setting, keep it consistent across applicable systems and document approved exceptions. Base scope: Enforce approved authorizations (RBAC/ACL/permissions) on file systems, databases, applications, network devices and cloud resources</t>
  </si>
  <si>
    <t>Zoning, defense in depth, segmentation, central management.</t>
  </si>
  <si>
    <r>
      <rPr>
        <rFont val="FreeSans"/>
        <color theme="1"/>
        <sz val="14.0"/>
      </rPr>
      <t xml:space="preserve">ส่วนขยายของ </t>
    </r>
    <r>
      <rPr>
        <rFont val="Calibri"/>
        <color theme="1"/>
        <sz val="14.0"/>
      </rPr>
      <t xml:space="preserve">AC-03: </t>
    </r>
    <r>
      <rPr>
        <rFont val="FreeSans"/>
        <color theme="1"/>
        <sz val="14.0"/>
      </rPr>
      <t xml:space="preserve">กำหนดค่าและบังคับใช้ </t>
    </r>
    <r>
      <rPr>
        <rFont val="Calibri"/>
        <color theme="1"/>
        <sz val="14.0"/>
      </rPr>
      <t xml:space="preserve">'Security-relevant Information'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บังคับใช้สิทธิ์การเข้าถึง </t>
    </r>
    <r>
      <rPr>
        <rFont val="Calibri"/>
        <color theme="1"/>
        <sz val="14.0"/>
      </rPr>
      <t xml:space="preserve">(RBAC/ACL/Permission) </t>
    </r>
    <r>
      <rPr>
        <rFont val="FreeSans"/>
        <color theme="1"/>
        <sz val="14.0"/>
      </rPr>
      <t xml:space="preserve">บน </t>
    </r>
    <r>
      <rPr>
        <rFont val="Calibri"/>
        <color theme="1"/>
        <sz val="14.0"/>
      </rPr>
      <t xml:space="preserve">File System, DB, Application, </t>
    </r>
    <r>
      <rPr>
        <rFont val="FreeSans"/>
        <color theme="1"/>
        <sz val="14.0"/>
      </rPr>
      <t xml:space="preserve">อุปกรณ์เครือข่าย และทรัพยากร </t>
    </r>
    <r>
      <rPr>
        <rFont val="Calibri"/>
        <color theme="1"/>
        <sz val="14.0"/>
      </rPr>
      <t>Cloud</t>
    </r>
  </si>
  <si>
    <t>ESBIT-AC-03(07)</t>
  </si>
  <si>
    <t>AC-03(07)</t>
  </si>
  <si>
    <t>Access Enforcement | Role-based Access Control</t>
  </si>
  <si>
    <t>Enhances AC-03 (Access Enforcement): configure and enforce 'Role-based Access Control' in addition to the base setting, keep it consistent across applicable systems and document approved exceptions. Base scope: Enforce approved authorizations (RBAC/ACL/permissions) on file systems, databases, applications, network devices and cloud resources</t>
  </si>
  <si>
    <t>Physical and Environmental Protection (PE)</t>
  </si>
  <si>
    <r>
      <rPr>
        <rFont val="FreeSans"/>
        <color theme="1"/>
        <sz val="14.0"/>
      </rPr>
      <t xml:space="preserve">ส่วนขยายของ </t>
    </r>
    <r>
      <rPr>
        <rFont val="Calibri"/>
        <color theme="1"/>
        <sz val="14.0"/>
      </rPr>
      <t xml:space="preserve">AC-03: </t>
    </r>
    <r>
      <rPr>
        <rFont val="FreeSans"/>
        <color theme="1"/>
        <sz val="14.0"/>
      </rPr>
      <t xml:space="preserve">กำหนดค่าและบังคับใช้ </t>
    </r>
    <r>
      <rPr>
        <rFont val="Calibri"/>
        <color theme="1"/>
        <sz val="14.0"/>
      </rPr>
      <t xml:space="preserve">'Role-based Access Control'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บังคับใช้สิทธิ์การเข้าถึง </t>
    </r>
    <r>
      <rPr>
        <rFont val="Calibri"/>
        <color theme="1"/>
        <sz val="14.0"/>
      </rPr>
      <t xml:space="preserve">(RBAC/ACL/Permission) </t>
    </r>
    <r>
      <rPr>
        <rFont val="FreeSans"/>
        <color theme="1"/>
        <sz val="14.0"/>
      </rPr>
      <t xml:space="preserve">บน </t>
    </r>
    <r>
      <rPr>
        <rFont val="Calibri"/>
        <color theme="1"/>
        <sz val="14.0"/>
      </rPr>
      <t xml:space="preserve">File System, DB, Application, </t>
    </r>
    <r>
      <rPr>
        <rFont val="FreeSans"/>
        <color theme="1"/>
        <sz val="14.0"/>
      </rPr>
      <t xml:space="preserve">อุปกรณ์เครือข่าย และทรัพยากร </t>
    </r>
    <r>
      <rPr>
        <rFont val="Calibri"/>
        <color theme="1"/>
        <sz val="14.0"/>
      </rPr>
      <t>Cloud</t>
    </r>
  </si>
  <si>
    <t>PM - Program Management</t>
  </si>
  <si>
    <t>Enterprise security and privacy program management.</t>
  </si>
  <si>
    <t>ESBIT-AC-03(08)</t>
  </si>
  <si>
    <t>Low - governance with no direct device configuration.</t>
  </si>
  <si>
    <t>AC-03(08)</t>
  </si>
  <si>
    <t>Program plans, roles, metrics and risk strategy.</t>
  </si>
  <si>
    <t>Access Enforcement | Revocation of Access Authorizations</t>
  </si>
  <si>
    <t>Enhances AC-03 (Access Enforcement): configure and enforce 'Revocation of Access Authorizations' in addition to the base setting, keep it consistent across applicable systems and document approved exceptions. Base scope: Enforce approved authorizations (RBAC/ACL/permissions) on file systems, databases, applications, network devices and cloud resources</t>
  </si>
  <si>
    <r>
      <rPr>
        <rFont val="FreeSans"/>
        <color theme="1"/>
        <sz val="14.0"/>
      </rPr>
      <t xml:space="preserve">ส่วนขยายของ </t>
    </r>
    <r>
      <rPr>
        <rFont val="Calibri"/>
        <color theme="1"/>
        <sz val="14.0"/>
      </rPr>
      <t xml:space="preserve">AC-03: </t>
    </r>
    <r>
      <rPr>
        <rFont val="FreeSans"/>
        <color theme="1"/>
        <sz val="14.0"/>
      </rPr>
      <t xml:space="preserve">กำหนดค่าและบังคับใช้ </t>
    </r>
    <r>
      <rPr>
        <rFont val="Calibri"/>
        <color theme="1"/>
        <sz val="14.0"/>
      </rPr>
      <t xml:space="preserve">'Revocation of Access Authorizations'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บังคับใช้สิทธิ์การเข้าถึง </t>
    </r>
    <r>
      <rPr>
        <rFont val="Calibri"/>
        <color theme="1"/>
        <sz val="14.0"/>
      </rPr>
      <t xml:space="preserve">(RBAC/ACL/Permission) </t>
    </r>
    <r>
      <rPr>
        <rFont val="FreeSans"/>
        <color theme="1"/>
        <sz val="14.0"/>
      </rPr>
      <t xml:space="preserve">บน </t>
    </r>
    <r>
      <rPr>
        <rFont val="Calibri"/>
        <color theme="1"/>
        <sz val="14.0"/>
      </rPr>
      <t xml:space="preserve">File System, DB, Application, </t>
    </r>
    <r>
      <rPr>
        <rFont val="FreeSans"/>
        <color theme="1"/>
        <sz val="14.0"/>
      </rPr>
      <t xml:space="preserve">อุปกรณ์เครือข่าย และทรัพยากร </t>
    </r>
    <r>
      <rPr>
        <rFont val="Calibri"/>
        <color theme="1"/>
        <sz val="14.0"/>
      </rPr>
      <t>Cloud</t>
    </r>
  </si>
  <si>
    <t>ESBIT-AC-03(09)</t>
  </si>
  <si>
    <t>AC-03(09)</t>
  </si>
  <si>
    <t>Access Enforcement | Controlled Release</t>
  </si>
  <si>
    <t>Enhances AC-03 (Access Enforcement): configure and enforce 'Controlled Release' in addition to the base setting, keep it consistent across applicable systems and document approved exceptions. Base scope: Enforce approved authorizations (RBAC/ACL/permissions) on file systems, databases, applications, network devices and cloud resources</t>
  </si>
  <si>
    <r>
      <rPr>
        <rFont val="FreeSans"/>
        <color theme="1"/>
        <sz val="14.0"/>
      </rPr>
      <t xml:space="preserve">ส่วนขยายของ </t>
    </r>
    <r>
      <rPr>
        <rFont val="Calibri"/>
        <color theme="1"/>
        <sz val="14.0"/>
      </rPr>
      <t xml:space="preserve">AC-03: </t>
    </r>
    <r>
      <rPr>
        <rFont val="FreeSans"/>
        <color theme="1"/>
        <sz val="14.0"/>
      </rPr>
      <t xml:space="preserve">กำหนดค่าและบังคับใช้ </t>
    </r>
    <r>
      <rPr>
        <rFont val="Calibri"/>
        <color theme="1"/>
        <sz val="14.0"/>
      </rPr>
      <t xml:space="preserve">'Controlled Release'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บังคับใช้สิทธิ์การเข้าถึง </t>
    </r>
    <r>
      <rPr>
        <rFont val="Calibri"/>
        <color theme="1"/>
        <sz val="14.0"/>
      </rPr>
      <t xml:space="preserve">(RBAC/ACL/Permission) </t>
    </r>
    <r>
      <rPr>
        <rFont val="FreeSans"/>
        <color theme="1"/>
        <sz val="14.0"/>
      </rPr>
      <t xml:space="preserve">บน </t>
    </r>
    <r>
      <rPr>
        <rFont val="Calibri"/>
        <color theme="1"/>
        <sz val="14.0"/>
      </rPr>
      <t xml:space="preserve">File System, DB, Application, </t>
    </r>
    <r>
      <rPr>
        <rFont val="FreeSans"/>
        <color theme="1"/>
        <sz val="14.0"/>
      </rPr>
      <t xml:space="preserve">อุปกรณ์เครือข่าย และทรัพยากร </t>
    </r>
    <r>
      <rPr>
        <rFont val="Calibri"/>
        <color theme="1"/>
        <sz val="14.0"/>
      </rPr>
      <t>Cloud</t>
    </r>
  </si>
  <si>
    <t>ESBIT-AC-03(10)</t>
  </si>
  <si>
    <t>AC-03(10)</t>
  </si>
  <si>
    <t>PS - Personnel Security</t>
  </si>
  <si>
    <t>Access Enforcement | Audited Override of Access Control Mechanisms</t>
  </si>
  <si>
    <t>Personnel screening, termination, transfer and access agreements.</t>
  </si>
  <si>
    <t>Low - process, with account de-provisioning settings.</t>
  </si>
  <si>
    <t>Enhances AC-03 (Access Enforcement): configure and enforce 'Audited Override of Access Control Mechanisms' in addition to the base setting, keep it consistent across applicable systems and document approved exceptions. Base scope: Enforce approved authorizations (RBAC/ACL/permissions) on file systems, databases, applications, network devices and cloud resources</t>
  </si>
  <si>
    <t>Account disablement and access review on termination or transfer.</t>
  </si>
  <si>
    <t>Planning (PL)</t>
  </si>
  <si>
    <r>
      <rPr>
        <rFont val="FreeSans"/>
        <color theme="1"/>
        <sz val="14.0"/>
      </rPr>
      <t xml:space="preserve">ส่วนขยายของ </t>
    </r>
    <r>
      <rPr>
        <rFont val="Calibri"/>
        <color theme="1"/>
        <sz val="14.0"/>
      </rPr>
      <t xml:space="preserve">AC-03: </t>
    </r>
    <r>
      <rPr>
        <rFont val="FreeSans"/>
        <color theme="1"/>
        <sz val="14.0"/>
      </rPr>
      <t xml:space="preserve">กำหนดค่าและบังคับใช้ </t>
    </r>
    <r>
      <rPr>
        <rFont val="Calibri"/>
        <color theme="1"/>
        <sz val="14.0"/>
      </rPr>
      <t xml:space="preserve">'Audited Override of Access Control Mechanisms'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บังคับใช้สิทธิ์การเข้าถึง </t>
    </r>
    <r>
      <rPr>
        <rFont val="Calibri"/>
        <color theme="1"/>
        <sz val="14.0"/>
      </rPr>
      <t xml:space="preserve">(RBAC/ACL/Permission) </t>
    </r>
    <r>
      <rPr>
        <rFont val="FreeSans"/>
        <color theme="1"/>
        <sz val="14.0"/>
      </rPr>
      <t xml:space="preserve">บน </t>
    </r>
    <r>
      <rPr>
        <rFont val="Calibri"/>
        <color theme="1"/>
        <sz val="14.0"/>
      </rPr>
      <t xml:space="preserve">File System, DB, Application, </t>
    </r>
    <r>
      <rPr>
        <rFont val="FreeSans"/>
        <color theme="1"/>
        <sz val="14.0"/>
      </rPr>
      <t xml:space="preserve">อุปกรณ์เครือข่าย และทรัพยากร </t>
    </r>
    <r>
      <rPr>
        <rFont val="Calibri"/>
        <color theme="1"/>
        <sz val="14.0"/>
      </rPr>
      <t>Cloud</t>
    </r>
  </si>
  <si>
    <t>ESBIT-AC-03(11)</t>
  </si>
  <si>
    <t>AC-03(11)</t>
  </si>
  <si>
    <t>Access Enforcement | Restrict Access to Specific Information Types</t>
  </si>
  <si>
    <t>Enhances AC-03 (Access Enforcement): configure and enforce 'Restrict Access to Specific Information Types' in addition to the base setting, keep it consistent across applicable systems and document approved exceptions. Base scope: Enforce approved authorizations (RBAC/ACL/permissions) on file systems, databases, applications, network devices and cloud resources</t>
  </si>
  <si>
    <r>
      <rPr>
        <rFont val="FreeSans"/>
        <color theme="1"/>
        <sz val="14.0"/>
      </rPr>
      <t xml:space="preserve">ส่วนขยายของ </t>
    </r>
    <r>
      <rPr>
        <rFont val="Calibri"/>
        <color theme="1"/>
        <sz val="14.0"/>
      </rPr>
      <t xml:space="preserve">AC-03: </t>
    </r>
    <r>
      <rPr>
        <rFont val="FreeSans"/>
        <color theme="1"/>
        <sz val="14.0"/>
      </rPr>
      <t xml:space="preserve">กำหนดค่าและบังคับใช้ </t>
    </r>
    <r>
      <rPr>
        <rFont val="Calibri"/>
        <color theme="1"/>
        <sz val="14.0"/>
      </rPr>
      <t xml:space="preserve">'Restrict Access to Specific Information Types'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บังคับใช้สิทธิ์การเข้าถึง </t>
    </r>
    <r>
      <rPr>
        <rFont val="Calibri"/>
        <color theme="1"/>
        <sz val="14.0"/>
      </rPr>
      <t xml:space="preserve">(RBAC/ACL/Permission) </t>
    </r>
    <r>
      <rPr>
        <rFont val="FreeSans"/>
        <color theme="1"/>
        <sz val="14.0"/>
      </rPr>
      <t xml:space="preserve">บน </t>
    </r>
    <r>
      <rPr>
        <rFont val="Calibri"/>
        <color theme="1"/>
        <sz val="14.0"/>
      </rPr>
      <t xml:space="preserve">File System, DB, Application, </t>
    </r>
    <r>
      <rPr>
        <rFont val="FreeSans"/>
        <color theme="1"/>
        <sz val="14.0"/>
      </rPr>
      <t xml:space="preserve">อุปกรณ์เครือข่าย และทรัพยากร </t>
    </r>
    <r>
      <rPr>
        <rFont val="Calibri"/>
        <color theme="1"/>
        <sz val="14.0"/>
      </rPr>
      <t>Cloud</t>
    </r>
  </si>
  <si>
    <t>ESBIT-AC-03(12)</t>
  </si>
  <si>
    <t>AC-03(12)</t>
  </si>
  <si>
    <t>Access Enforcement | Assert and Enforce Application Access</t>
  </si>
  <si>
    <t>Enhances AC-03 (Access Enforcement): configure and enforce 'Assert and Enforce Application Access' in addition to the base setting, keep it consistent across applicable systems and document approved exceptions. Base scope: Enforce approved authorizations (RBAC/ACL/permissions) on file systems, databases, applications, network devices and cloud resources</t>
  </si>
  <si>
    <t>PT - PII Processing and Transparency</t>
  </si>
  <si>
    <t>Authority, purposes, consent and notice for processing personally identifiable information.</t>
  </si>
  <si>
    <t>Low - privacy governance with limited technical settings.</t>
  </si>
  <si>
    <t>Data tagging and consent mechanisms.</t>
  </si>
  <si>
    <t>Program Management (PM)</t>
  </si>
  <si>
    <r>
      <rPr>
        <rFont val="FreeSans"/>
        <color theme="1"/>
        <sz val="14.0"/>
      </rPr>
      <t xml:space="preserve">ส่วนขยายของ </t>
    </r>
    <r>
      <rPr>
        <rFont val="Calibri"/>
        <color theme="1"/>
        <sz val="14.0"/>
      </rPr>
      <t xml:space="preserve">AC-03: </t>
    </r>
    <r>
      <rPr>
        <rFont val="FreeSans"/>
        <color theme="1"/>
        <sz val="14.0"/>
      </rPr>
      <t xml:space="preserve">กำหนดค่าและบังคับใช้ </t>
    </r>
    <r>
      <rPr>
        <rFont val="Calibri"/>
        <color theme="1"/>
        <sz val="14.0"/>
      </rPr>
      <t xml:space="preserve">'Assert and Enforce Application Access'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บังคับใช้สิทธิ์การเข้าถึง </t>
    </r>
    <r>
      <rPr>
        <rFont val="Calibri"/>
        <color theme="1"/>
        <sz val="14.0"/>
      </rPr>
      <t xml:space="preserve">(RBAC/ACL/Permission) </t>
    </r>
    <r>
      <rPr>
        <rFont val="FreeSans"/>
        <color theme="1"/>
        <sz val="14.0"/>
      </rPr>
      <t xml:space="preserve">บน </t>
    </r>
    <r>
      <rPr>
        <rFont val="Calibri"/>
        <color theme="1"/>
        <sz val="14.0"/>
      </rPr>
      <t xml:space="preserve">File System, DB, Application, </t>
    </r>
    <r>
      <rPr>
        <rFont val="FreeSans"/>
        <color theme="1"/>
        <sz val="14.0"/>
      </rPr>
      <t xml:space="preserve">อุปกรณ์เครือข่าย และทรัพยากร </t>
    </r>
    <r>
      <rPr>
        <rFont val="Calibri"/>
        <color theme="1"/>
        <sz val="14.0"/>
      </rPr>
      <t>Cloud</t>
    </r>
  </si>
  <si>
    <t>ESBIT-AC-03(13)</t>
  </si>
  <si>
    <t>AC-03(13)</t>
  </si>
  <si>
    <t>Access Enforcement | Attribute-based Access Control</t>
  </si>
  <si>
    <t>Enhances AC-03 (Access Enforcement): configure and enforce 'Attribute-based Access Control' in addition to the base setting, keep it consistent across applicable systems and document approved exceptions. Base scope: Enforce approved authorizations (RBAC/ACL/permissions) on file systems, databases, applications, network devices and cloud resources</t>
  </si>
  <si>
    <t>RA - Risk Assessment</t>
  </si>
  <si>
    <t>Risk assessment, vulnerability scanning and threat hunting.</t>
  </si>
  <si>
    <t>Medium - scanner and telemetry configuration.</t>
  </si>
  <si>
    <t>Authenticated vulnerability scanning, scan frequency, hunting telemetry.</t>
  </si>
  <si>
    <r>
      <rPr>
        <rFont val="FreeSans"/>
        <color theme="1"/>
        <sz val="14.0"/>
      </rPr>
      <t xml:space="preserve">ส่วนขยายของ </t>
    </r>
    <r>
      <rPr>
        <rFont val="Calibri"/>
        <color theme="1"/>
        <sz val="14.0"/>
      </rPr>
      <t xml:space="preserve">AC-03: </t>
    </r>
    <r>
      <rPr>
        <rFont val="FreeSans"/>
        <color theme="1"/>
        <sz val="14.0"/>
      </rPr>
      <t xml:space="preserve">กำหนดค่าและบังคับใช้ </t>
    </r>
    <r>
      <rPr>
        <rFont val="Calibri"/>
        <color theme="1"/>
        <sz val="14.0"/>
      </rPr>
      <t xml:space="preserve">'Attribute-based Access Control'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บังคับใช้สิทธิ์การเข้าถึง </t>
    </r>
    <r>
      <rPr>
        <rFont val="Calibri"/>
        <color theme="1"/>
        <sz val="14.0"/>
      </rPr>
      <t xml:space="preserve">(RBAC/ACL/Permission) </t>
    </r>
    <r>
      <rPr>
        <rFont val="FreeSans"/>
        <color theme="1"/>
        <sz val="14.0"/>
      </rPr>
      <t xml:space="preserve">บน </t>
    </r>
    <r>
      <rPr>
        <rFont val="Calibri"/>
        <color theme="1"/>
        <sz val="14.0"/>
      </rPr>
      <t xml:space="preserve">File System, DB, Application, </t>
    </r>
    <r>
      <rPr>
        <rFont val="FreeSans"/>
        <color theme="1"/>
        <sz val="14.0"/>
      </rPr>
      <t xml:space="preserve">อุปกรณ์เครือข่าย และทรัพยากร </t>
    </r>
    <r>
      <rPr>
        <rFont val="Calibri"/>
        <color theme="1"/>
        <sz val="14.0"/>
      </rPr>
      <t>Cloud</t>
    </r>
  </si>
  <si>
    <t>ESBIT-AC-03(14)</t>
  </si>
  <si>
    <t>AC-03(14)</t>
  </si>
  <si>
    <t>Access Enforcement | Individual Access</t>
  </si>
  <si>
    <t>Enhances AC-03 (Access Enforcement): configure and enforce 'Individual Access' in addition to the base setting, keep it consistent across applicable systems and document approved exceptions. Base scope: Enforce approved authorizations (RBAC/ACL/permissions) on file systems, databases, applications, network devices and cloud resources</t>
  </si>
  <si>
    <r>
      <rPr>
        <rFont val="FreeSans"/>
        <color theme="1"/>
        <sz val="14.0"/>
      </rPr>
      <t xml:space="preserve">ส่วนขยายของ </t>
    </r>
    <r>
      <rPr>
        <rFont val="Calibri"/>
        <color theme="1"/>
        <sz val="14.0"/>
      </rPr>
      <t xml:space="preserve">AC-03: </t>
    </r>
    <r>
      <rPr>
        <rFont val="FreeSans"/>
        <color theme="1"/>
        <sz val="14.0"/>
      </rPr>
      <t xml:space="preserve">กำหนดค่าและบังคับใช้ </t>
    </r>
    <r>
      <rPr>
        <rFont val="Calibri"/>
        <color theme="1"/>
        <sz val="14.0"/>
      </rPr>
      <t xml:space="preserve">'Individual Access'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บังคับใช้สิทธิ์การเข้าถึง </t>
    </r>
    <r>
      <rPr>
        <rFont val="Calibri"/>
        <color theme="1"/>
        <sz val="14.0"/>
      </rPr>
      <t xml:space="preserve">(RBAC/ACL/Permission) </t>
    </r>
    <r>
      <rPr>
        <rFont val="FreeSans"/>
        <color theme="1"/>
        <sz val="14.0"/>
      </rPr>
      <t xml:space="preserve">บน </t>
    </r>
    <r>
      <rPr>
        <rFont val="Calibri"/>
        <color theme="1"/>
        <sz val="14.0"/>
      </rPr>
      <t xml:space="preserve">File System, DB, Application, </t>
    </r>
    <r>
      <rPr>
        <rFont val="FreeSans"/>
        <color theme="1"/>
        <sz val="14.0"/>
      </rPr>
      <t xml:space="preserve">อุปกรณ์เครือข่าย และทรัพยากร </t>
    </r>
    <r>
      <rPr>
        <rFont val="Calibri"/>
        <color theme="1"/>
        <sz val="14.0"/>
      </rPr>
      <t>Cloud</t>
    </r>
  </si>
  <si>
    <t>SA - System and Services Acquisition</t>
  </si>
  <si>
    <t>Acquisition, system development life cycle, external services and unsupported components.</t>
  </si>
  <si>
    <t>Medium - secure pipeline, cloud service settings and end-of-life replacement.</t>
  </si>
  <si>
    <t>CI/CD security testing, cloud service configuration, replacing unsupported OS/firmware.</t>
  </si>
  <si>
    <t>ESBIT-AC-03(15)</t>
  </si>
  <si>
    <t>Personnel Security (PS)</t>
  </si>
  <si>
    <t>AC-03(15)</t>
  </si>
  <si>
    <t>Access Enforcement | Discretionary and Mandatory Access Control</t>
  </si>
  <si>
    <t>Enhances AC-03 (Access Enforcement): configure and enforce 'Discretionary and Mandatory Access Control' in addition to the base setting, keep it consistent across applicable systems and document approved exceptions. Base scope: Enforce approved authorizations (RBAC/ACL/permissions) on file systems, databases, applications, network devices and cloud resources</t>
  </si>
  <si>
    <r>
      <rPr>
        <rFont val="FreeSans"/>
        <color theme="1"/>
        <sz val="14.0"/>
      </rPr>
      <t xml:space="preserve">ส่วนขยายของ </t>
    </r>
    <r>
      <rPr>
        <rFont val="Calibri"/>
        <color theme="1"/>
        <sz val="14.0"/>
      </rPr>
      <t xml:space="preserve">AC-03: </t>
    </r>
    <r>
      <rPr>
        <rFont val="FreeSans"/>
        <color theme="1"/>
        <sz val="14.0"/>
      </rPr>
      <t xml:space="preserve">กำหนดค่าและบังคับใช้ </t>
    </r>
    <r>
      <rPr>
        <rFont val="Calibri"/>
        <color theme="1"/>
        <sz val="14.0"/>
      </rPr>
      <t xml:space="preserve">'Discretionary and Mandatory Access Control'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บังคับใช้สิทธิ์การเข้าถึง </t>
    </r>
    <r>
      <rPr>
        <rFont val="Calibri"/>
        <color theme="1"/>
        <sz val="14.0"/>
      </rPr>
      <t xml:space="preserve">(RBAC/ACL/Permission) </t>
    </r>
    <r>
      <rPr>
        <rFont val="FreeSans"/>
        <color theme="1"/>
        <sz val="14.0"/>
      </rPr>
      <t xml:space="preserve">บน </t>
    </r>
    <r>
      <rPr>
        <rFont val="Calibri"/>
        <color theme="1"/>
        <sz val="14.0"/>
      </rPr>
      <t xml:space="preserve">File System, DB, Application, </t>
    </r>
    <r>
      <rPr>
        <rFont val="FreeSans"/>
        <color theme="1"/>
        <sz val="14.0"/>
      </rPr>
      <t xml:space="preserve">อุปกรณ์เครือข่าย และทรัพยากร </t>
    </r>
    <r>
      <rPr>
        <rFont val="Calibri"/>
        <color theme="1"/>
        <sz val="14.0"/>
      </rPr>
      <t>Cloud</t>
    </r>
  </si>
  <si>
    <t>ESBIT-AC-04</t>
  </si>
  <si>
    <t>AC-04</t>
  </si>
  <si>
    <t>Information Flow Enforcement</t>
  </si>
  <si>
    <t>PR.IR - Technology Infrastructure Resilience</t>
  </si>
  <si>
    <t>PR.IR-01</t>
  </si>
  <si>
    <t>Networks and environments are protected from unauthorized logical access and usage</t>
  </si>
  <si>
    <t>Configure firewall rules, ACLs, VLAN/segment policies, proxies and cloud security groups to control approved information flows between zones</t>
  </si>
  <si>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</si>
  <si>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Network, Cloud</t>
  </si>
  <si>
    <t>ESBIT-AC-04(01)</t>
  </si>
  <si>
    <t>SC - System and Communications Protection</t>
  </si>
  <si>
    <t>AC-04(01)</t>
  </si>
  <si>
    <t>Boundary protection, cryptography, denial-of-service protection, session authenticity and time synchronization.</t>
  </si>
  <si>
    <t>Information Flow Enforcement | Object Security and Privacy Attributes</t>
  </si>
  <si>
    <t>Very high - network and cryptographic settings are central.</t>
  </si>
  <si>
    <t>Firewall/DMZ, segmentation, TLS, DNSSEC, encryption at rest, DDoS, NTP.</t>
  </si>
  <si>
    <t>Enhances AC-04 (Information Flow Enforcement): configure and enforce 'Object Security and Privacy Attributes' in addition to the base setting, keep it consistent across applicable systems and document approved exceptions. Base scope: Configure firewall rules, ACLs, VLAN/segment policies, proxies and cloud security groups to control approved information flows between zones</t>
  </si>
  <si>
    <t>PII Processing and Transparency (PT)</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</si>
  <si>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'Object Security and Privacy Attributes'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</si>
  <si>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ESBIT-AC-04(02)</t>
  </si>
  <si>
    <t>AC-04(02)</t>
  </si>
  <si>
    <t>Information Flow Enforcement | Processing Domains</t>
  </si>
  <si>
    <t>Enhances AC-04 (Information Flow Enforcement): configure and enforce 'Processing Domains' in addition to the base setting, keep it consistent across applicable systems and document approved exceptions. Base scope: Configure firewall rules, ACLs, VLAN/segment policies, proxies and cloud security groups to control approved information flows between zones</t>
  </si>
  <si>
    <t>SI - System and Information Integrity</t>
  </si>
  <si>
    <t>Flaw remediation, malware protection, monitoring, integrity verification and input validation.</t>
  </si>
  <si>
    <t>Very high - patching, endpoint protection and monitoring settings.</t>
  </si>
  <si>
    <t>Patching, EDR/anti-malware, IDS/IPS, file integrity monitoring, secure boot, ASLR/DEP.</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</si>
  <si>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'Processing Domains'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</si>
  <si>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ESBIT-AC-04(03)</t>
  </si>
  <si>
    <t>AC-04(03)</t>
  </si>
  <si>
    <t>Information Flow Enforcement | Dynamic Information Flow Control</t>
  </si>
  <si>
    <t>Enhances AC-04 (Information Flow Enforcement): configure and enforce 'Dynamic Information Flow Control' in addition to the base setting, keep it consistent across applicable systems and document approved exceptions. Base scope: Configure firewall rules, ACLs, VLAN/segment policies, proxies and cloud security groups to control approved information flows between zones</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</si>
  <si>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'Dynamic Information Flow Control'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</si>
  <si>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ESBIT-AC-04(04)</t>
  </si>
  <si>
    <t>AC-04(04)</t>
  </si>
  <si>
    <t>Information Flow Enforcement | Flow Control of Encrypted Information</t>
  </si>
  <si>
    <t>Enhances AC-04 (Information Flow Enforcement): configure and enforce 'Flow Control of Encrypted Information' in addition to the base setting, keep it consistent across applicable systems and document approved exceptions. Base scope: Configure firewall rules, ACLs, VLAN/segment policies, proxies and cloud security groups to control approved information flows between zones</t>
  </si>
  <si>
    <t>SR - Supply Chain Risk Management</t>
  </si>
  <si>
    <t>Supply chain risk management, provenance and component authenticity.</t>
  </si>
  <si>
    <t>Low - procurement process with limited technical settings.</t>
  </si>
  <si>
    <t>Component authenticity checks, secure disposal.</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</si>
  <si>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'Flow Control of Encrypted Information'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</si>
  <si>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ESBIT-AC-04(05)</t>
  </si>
  <si>
    <t>AC-04(05)</t>
  </si>
  <si>
    <t>Information Flow Enforcement | Embedded Data Types</t>
  </si>
  <si>
    <t>Enhances AC-04 (Information Flow Enforcement): configure and enforce 'Embedded Data Types' in addition to the base setting, keep it consistent across applicable systems and document approved exceptions. Base scope: Configure firewall rules, ACLs, VLAN/segment policies, proxies and cloud security groups to control approved information flows between zones</t>
  </si>
  <si>
    <t>Risk Assessment (RA)</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</si>
  <si>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'Embedded Data Types'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</si>
  <si>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ESBIT-AC-04(06)</t>
  </si>
  <si>
    <t>AC-04(06)</t>
  </si>
  <si>
    <t>Information Flow Enforcement | Metadata</t>
  </si>
  <si>
    <t>Enhances AC-04 (Information Flow Enforcement): configure and enforce 'Metadata' in addition to the base setting, keep it consistent across applicable systems and document approved exceptions. Base scope: Configure firewall rules, ACLs, VLAN/segment policies, proxies and cloud security groups to control approved information flows between zones</t>
  </si>
  <si>
    <t>3. NIST CSF 2.0 - The Six Functions (Pillars) and Their Relevance to the Configuration Baseline</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</si>
  <si>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'Metadata'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</si>
  <si>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ESBIT-AC-04(07)</t>
  </si>
  <si>
    <t>AC-04(07)</t>
  </si>
  <si>
    <t>Information Flow Enforcement | One-way Flow Mechanisms</t>
  </si>
  <si>
    <t>Purpose</t>
  </si>
  <si>
    <t>Enhances AC-04 (Information Flow Enforcement): configure and enforce 'One-way Flow Mechanisms' in addition to the base setting, keep it consistent across applicable systems and document approved exceptions. Base scope: Configure firewall rules, ACLs, VLAN/segment policies, proxies and cloud security groups to control approved information flows between zones</t>
  </si>
  <si>
    <t>Example configuration items</t>
  </si>
  <si>
    <t>Establishes and monitors the organization's cybersecurity risk management strategy, expectations, policy, roles and supply chain oversight.</t>
  </si>
  <si>
    <t>Sets the policies and standards from which baseline settings are derived; ensures ownership, exceptions handling and supplier requirements.</t>
  </si>
  <si>
    <t>Configuration standards and policy, roles for change approval, supplier security requirements.</t>
  </si>
  <si>
    <t>Identify (ID)</t>
  </si>
  <si>
    <t>Understands current cybersecurity risks to assets, data and capabilities.</t>
  </si>
  <si>
    <t>Asset inventory, vulnerability identification and change/exception risk assessment determine what must be baselined.</t>
  </si>
  <si>
    <t>CMDB/asset inventory, vulnerability scanning, change risk review.</t>
  </si>
  <si>
    <t>Uses safeguards to prevent or reduce cybersecurity risk.</t>
  </si>
  <si>
    <t>Largest share of baseline settings: identity and access, data protection, platform hardening and infrastructure resilience.</t>
  </si>
  <si>
    <t>MFA, least privilege, encryption, hardened OS/network/DB settings, segmentation, backup.</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</si>
  <si>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'One-way Flow Mechanisms'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</si>
  <si>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Detect (DE)</t>
  </si>
  <si>
    <t>Finds and analyzes possible cybersecurity attacks and compromises.</t>
  </si>
  <si>
    <t>ESBIT-AC-04(08)</t>
  </si>
  <si>
    <t>Ensures logging, monitoring and alerting are configured so deviations and attacks are visible.</t>
  </si>
  <si>
    <t>AC-04(08)</t>
  </si>
  <si>
    <t>Logging, SIEM rules, IDS/IPS, EDR, integrity monitoring.</t>
  </si>
  <si>
    <t>Information Flow Enforcement | Security and Privacy Policy Filters</t>
  </si>
  <si>
    <t>Respond (RS)</t>
  </si>
  <si>
    <t>Takes action regarding a detected cybersecurity incident.</t>
  </si>
  <si>
    <t>Enhances AC-04 (Information Flow Enforcement): configure and enforce 'Security and Privacy Policy Filters' in addition to the base setting, keep it consistent across applicable systems and document approved exceptions. Base scope: Configure firewall rules, ACLs, VLAN/segment policies, proxies and cloud security groups to control approved information flows between zones</t>
  </si>
  <si>
    <t>Configuration must allow rapid containment, evidence preservation and reporting.</t>
  </si>
  <si>
    <t>Isolation actions, forensic logging, incident ticketing and notification settings.</t>
  </si>
  <si>
    <t>Recover (RC)</t>
  </si>
  <si>
    <t>System and Services Acquisition (SA)</t>
  </si>
  <si>
    <t>Restores assets and operations affected by a cybersecurity incident.</t>
  </si>
  <si>
    <t>Backups, restore procedures and known-good configurations support fast, trusted recovery.</t>
  </si>
  <si>
    <t>Backup and restore settings, golden images, DR failover configuration.</t>
  </si>
  <si>
    <t>4. Configuration Baseline Levels (3 Levels)</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</si>
  <si>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'Security and Privacy Policy Filters'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</si>
  <si>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ESBIT-AC-04(09)</t>
  </si>
  <si>
    <t>AC-04(09)</t>
  </si>
  <si>
    <t>Information Flow Enforcement | Human Reviews</t>
  </si>
  <si>
    <t>Every control row in the Config Baseline sheet is assigned one of three levels in column L. Level 1 is the strongest and must be present in the configuration; Level 3 has the least impact on the configuration baseline.</t>
  </si>
  <si>
    <t>Enhances AC-04 (Information Flow Enforcement): configure and enforce 'Human Reviews' in addition to the base setting, keep it consistent across applicable systems and document approved exceptions. Base scope: Configure firewall rules, ACLs, VLAN/segment policies, proxies and cloud security groups to control approved information flows between zones</t>
  </si>
  <si>
    <t>Level</t>
  </si>
  <si>
    <t>Priority</t>
  </si>
  <si>
    <t>Definition</t>
  </si>
  <si>
    <t>Impact if not implemented</t>
  </si>
  <si>
    <t>Expectation</t>
  </si>
  <si>
    <t>Examples</t>
  </si>
  <si>
    <t>Highest - Mandatory</t>
  </si>
  <si>
    <t>Controls that are enforced directly through technical settings and are essential to security.</t>
  </si>
  <si>
    <t>High risk of compromise, data exposure or loss of accountability if missing or misconfigured.</t>
  </si>
  <si>
    <t>Must be defined in the baseline and present in every applicable configuration; deviations require formal approved exceptions.</t>
  </si>
  <si>
    <t>Account lockout, MFA, TLS, deny-by-default firewall rules, logging, NTP, patching, disk encryption.</t>
  </si>
  <si>
    <t>Medium - Recommended</t>
  </si>
  <si>
    <t>Controls that materially improve security and are configurable, but depend on technology or context.</t>
  </si>
  <si>
    <t>Moderate exposure or reduced ability to detect and respond.</t>
  </si>
  <si>
    <t>Should be applied where technically supported; document reasons where not applied.</t>
  </si>
  <si>
    <t>Login banner, DNSSEC, resource quotas, DR site settings, mobile device policy.</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</si>
  <si>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'Human Reviews'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</si>
  <si>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Lowest - Optional/Low impact</t>
  </si>
  <si>
    <t>Governance, process or physical controls, and specialized enhancements with limited or indirect effect on configuration.</t>
  </si>
  <si>
    <t>ESBIT-AC-04(10)</t>
  </si>
  <si>
    <t>Low direct impact on system configuration.</t>
  </si>
  <si>
    <t>AC-04(10)</t>
  </si>
  <si>
    <t>Apply by risk, project or environment; track as governance evidence rather than device settings.</t>
  </si>
  <si>
    <t>Information Flow Enforcement | Enable and Disable Security or Privacy Policy Filters</t>
  </si>
  <si>
    <t>Policies, training, risk assessment, physical protections, supply chain governance.</t>
  </si>
  <si>
    <t>Enhances AC-04 (Information Flow Enforcement): configure and enforce 'Enable and Disable Security or Privacy Policy Filters' in addition to the base setting, keep it consistent across applicable systems and document approved exceptions. Base scope: Configure firewall rules, ACLs, VLAN/segment policies, proxies and cloud security groups to control approved information flows between zones</t>
  </si>
  <si>
    <t>System and Communications Protection (SC)</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</si>
  <si>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'Enable and Disable Security or Privacy Policy Filters'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</si>
  <si>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ESBIT-AC-04(11)</t>
  </si>
  <si>
    <t>AC-04(11)</t>
  </si>
  <si>
    <t>Information Flow Enforcement | Configuration of Security or Privacy Policy Filters</t>
  </si>
  <si>
    <t>Enhances AC-04 (Information Flow Enforcement): configure and enforce 'Configuration of Security or Privacy Policy Filters' in addition to the base setting, keep it consistent across applicable systems and document approved exceptions. Base scope: Configure firewall rules, ACLs, VLAN/segment policies, proxies and cloud security groups to control approved information flows between zones</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</si>
  <si>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'Configuration of Security or Privacy Policy Filters'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</si>
  <si>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ESBIT-AC-04(12)</t>
  </si>
  <si>
    <t>AC-04(12)</t>
  </si>
  <si>
    <t>Information Flow Enforcement | Data Type Identifiers</t>
  </si>
  <si>
    <t>Enhances AC-04 (Information Flow Enforcement): configure and enforce 'Data Type Identifiers' in addition to the base setting, keep it consistent across applicable systems and document approved exceptions. Base scope: Configure firewall rules, ACLs, VLAN/segment policies, proxies and cloud security groups to control approved information flows between zones</t>
  </si>
  <si>
    <t>System and Information Integrity (SI)</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</si>
  <si>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'Data Type Identifiers'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</si>
  <si>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ESBIT-AC-04(13)</t>
  </si>
  <si>
    <t>AC-04(13)</t>
  </si>
  <si>
    <t>Information Flow Enforcement | Decomposition into Policy-relevant Subcomponents</t>
  </si>
  <si>
    <t>Enhances AC-04 (Information Flow Enforcement): configure and enforce 'Decomposition into Policy-relevant Subcomponents' in addition to the base setting, keep it consistent across applicable systems and document approved exceptions. Base scope: Configure firewall rules, ACLs, VLAN/segment policies, proxies and cloud security groups to control approved information flows between zones</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</si>
  <si>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'Decomposition into Policy-relevant Subcomponents'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</si>
  <si>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ESBIT-AC-04(14)</t>
  </si>
  <si>
    <t>AC-04(14)</t>
  </si>
  <si>
    <t>Information Flow Enforcement | Security or Privacy Policy Filter Constraints</t>
  </si>
  <si>
    <t>Enhances AC-04 (Information Flow Enforcement): configure and enforce 'Security or Privacy Policy Filter Constraints' in addition to the base setting, keep it consistent across applicable systems and document approved exceptions. Base scope: Configure firewall rules, ACLs, VLAN/segment policies, proxies and cloud security groups to control approved information flows between zones</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</si>
  <si>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'Security or Privacy Policy Filter Constraints'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</si>
  <si>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ESBIT-AC-04(15)</t>
  </si>
  <si>
    <t>AC-04(15)</t>
  </si>
  <si>
    <t>Information Flow Enforcement | Detection of Unsanctioned Information</t>
  </si>
  <si>
    <t>Enhances AC-04 (Information Flow Enforcement): configure and enforce 'Detection of Unsanctioned Information' in addition to the base setting, keep it consistent across applicable systems and document approved exceptions. Base scope: Configure firewall rules, ACLs, VLAN/segment policies, proxies and cloud security groups to control approved information flows between zones</t>
  </si>
  <si>
    <t>Supply Chain Risk Management (SR)</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</si>
  <si>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'Detection of Unsanctioned Information'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</si>
  <si>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ESBIT-AC-04(17)</t>
  </si>
  <si>
    <t>AC-04(17)</t>
  </si>
  <si>
    <t>Information Flow Enforcement | Domain Authentication</t>
  </si>
  <si>
    <t>Enhances AC-04 (Information Flow Enforcement): configure and enforce 'Domain Authentication' in addition to the base setting, keep it consistent across applicable systems and document approved exceptions. Base scope: Configure firewall rules, ACLs, VLAN/segment policies, proxies and cloud security groups to control approved information flows between zones</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</si>
  <si>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'Domain Authentication'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</si>
  <si>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ESBIT-AC-04(19)</t>
  </si>
  <si>
    <t>AC-04(19)</t>
  </si>
  <si>
    <t>Information Flow Enforcement | Validation of Metadata</t>
  </si>
  <si>
    <t>Enhances AC-04 (Information Flow Enforcement): configure and enforce 'Validation of Metadata' in addition to the base setting, keep it consistent across applicable systems and document approved exceptions. Base scope: Configure firewall rules, ACLs, VLAN/segment policies, proxies and cloud security groups to control approved information flows between zones</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</si>
  <si>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'Validation of Metadata'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</si>
  <si>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ESBIT-AC-04(20)</t>
  </si>
  <si>
    <t>AC-04(20)</t>
  </si>
  <si>
    <t>Information Flow Enforcement | Approved Solutions</t>
  </si>
  <si>
    <t>Enhances AC-04 (Information Flow Enforcement): configure and enforce 'Approved Solutions' in addition to the base setting, keep it consistent across applicable systems and document approved exceptions. Base scope: Configure firewall rules, ACLs, VLAN/segment policies, proxies and cloud security groups to control approved information flows between zones</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</si>
  <si>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'Approved Solutions'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</si>
  <si>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ESBIT-AC-04(21)</t>
  </si>
  <si>
    <t>AC-04(21)</t>
  </si>
  <si>
    <t>Information Flow Enforcement | Physical or Logical Separation of Information Flows</t>
  </si>
  <si>
    <t>Enhances AC-04 (Information Flow Enforcement): configure and enforce 'Physical or Logical Separation of Information Flows' in addition to the base setting, keep it consistent across applicable systems and document approved exceptions. Base scope: Configure firewall rules, ACLs, VLAN/segment policies, proxies and cloud security groups to control approved information flows between zones</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</si>
  <si>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'Physical or Logical Separation of Information Flows'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</si>
  <si>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ESBIT-AC-04(22)</t>
  </si>
  <si>
    <t>AC-04(22)</t>
  </si>
  <si>
    <t>Information Flow Enforcement | Access Only</t>
  </si>
  <si>
    <t>Enhances AC-04 (Information Flow Enforcement): configure and enforce 'Access Only' in addition to the base setting, keep it consistent across applicable systems and document approved exceptions. Base scope: Configure firewall rules, ACLs, VLAN/segment policies, proxies and cloud security groups to control approved information flows between zones</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</si>
  <si>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'Access Only'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</si>
  <si>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ESBIT-AC-04(23)</t>
  </si>
  <si>
    <t>AC-04(23)</t>
  </si>
  <si>
    <t>Information Flow Enforcement | Modify Non-releasable Information</t>
  </si>
  <si>
    <t>Enhances AC-04 (Information Flow Enforcement): configure and enforce 'Modify Non-releasable Information' in addition to the base setting, keep it consistent across applicable systems and document approved exceptions. Base scope: Configure firewall rules, ACLs, VLAN/segment policies, proxies and cloud security groups to control approved information flows between zones</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</si>
  <si>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'Modify Non-releasable Information'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</si>
  <si>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ESBIT-AC-04(24)</t>
  </si>
  <si>
    <t>AC-04(24)</t>
  </si>
  <si>
    <t>Information Flow Enforcement | Internal Normalized Format</t>
  </si>
  <si>
    <t>Enhances AC-04 (Information Flow Enforcement): configure and enforce 'Internal Normalized Format' in addition to the base setting, keep it consistent across applicable systems and document approved exceptions. Base scope: Configure firewall rules, ACLs, VLAN/segment policies, proxies and cloud security groups to control approved information flows between zones</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</si>
  <si>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'Internal Normalized Format'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</si>
  <si>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ESBIT-AC-04(25)</t>
  </si>
  <si>
    <t>AC-04(25)</t>
  </si>
  <si>
    <t>Information Flow Enforcement | Data Sanitization</t>
  </si>
  <si>
    <t>Enhances AC-04 (Information Flow Enforcement): configure and enforce 'Data Sanitization' in addition to the base setting, keep it consistent across applicable systems and document approved exceptions. Base scope: Configure firewall rules, ACLs, VLAN/segment policies, proxies and cloud security groups to control approved information flows between zones</t>
  </si>
  <si>
    <t>IT Domain (a control may touch more than one domain)</t>
  </si>
  <si>
    <t>Rows</t>
  </si>
  <si>
    <t>Network</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</si>
  <si>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'Data Sanitization'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</si>
  <si>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ESBIT-AC-04(26)</t>
  </si>
  <si>
    <t>AC-04(26)</t>
  </si>
  <si>
    <t>Information Flow Enforcement | Audit Filtering Actions</t>
  </si>
  <si>
    <t>Enhances AC-04 (Information Flow Enforcement): configure and enforce 'Audit Filtering Actions' in addition to the base setting, keep it consistent across applicable systems and document approved exceptions. Base scope: Configure firewall rules, ACLs, VLAN/segment policies, proxies and cloud security groups to control approved information flows between zones</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</si>
  <si>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'Audit Filtering Actions'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</si>
  <si>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ESBIT-AC-04(27)</t>
  </si>
  <si>
    <t>AC-04(27)</t>
  </si>
  <si>
    <t>Information Flow Enforcement | Redundant/Independent Filtering Mechanisms</t>
  </si>
  <si>
    <t>Enhances AC-04 (Information Flow Enforcement): configure and enforce 'Redundant/Independent Filtering Mechanisms' in addition to the base setting, keep it consistent across applicable systems and document approved exceptions. Base scope: Configure firewall rules, ACLs, VLAN/segment policies, proxies and cloud security groups to control approved information flows between zones</t>
  </si>
  <si>
    <t>Cloud</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</si>
  <si>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'Redundant/Independent Filtering Mechanisms'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</si>
  <si>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ESBIT-AC-04(28)</t>
  </si>
  <si>
    <t>AC-04(28)</t>
  </si>
  <si>
    <t>Information Flow Enforcement | Linear Filter Pipelines</t>
  </si>
  <si>
    <t>Enhances AC-04 (Information Flow Enforcement): configure and enforce 'Linear Filter Pipelines' in addition to the base setting, keep it consistent across applicable systems and document approved exceptions. Base scope: Configure firewall rules, ACLs, VLAN/segment policies, proxies and cloud security groups to control approved information flows between zones</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</si>
  <si>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'Linear Filter Pipelines'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</si>
  <si>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ESBIT-AC-04(29)</t>
  </si>
  <si>
    <t>AC-04(29)</t>
  </si>
  <si>
    <t>Information Flow Enforcement | Filter Orchestration Engines</t>
  </si>
  <si>
    <t>Enhances AC-04 (Information Flow Enforcement): configure and enforce 'Filter Orchestration Engines' in addition to the base setting, keep it consistent across applicable systems and document approved exceptions. Base scope: Configure firewall rules, ACLs, VLAN/segment policies, proxies and cloud security groups to control approved information flows between zones</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</si>
  <si>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'Filter Orchestration Engines'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</si>
  <si>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Database</t>
  </si>
  <si>
    <t>ESBIT-AC-04(30)</t>
  </si>
  <si>
    <t>AC-04(30)</t>
  </si>
  <si>
    <t>Information Flow Enforcement | Filter Mechanisms Using Multiple Processes</t>
  </si>
  <si>
    <t>Enhances AC-04 (Information Flow Enforcement): configure and enforce 'Filter Mechanisms Using Multiple Processes' in addition to the base setting, keep it consistent across applicable systems and document approved exceptions. Base scope: Configure firewall rules, ACLs, VLAN/segment policies, proxies and cloud security groups to control approved information flows between zones</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</si>
  <si>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'Filter Mechanisms Using Multiple Processes'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</si>
  <si>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ESBIT-AC-04(31)</t>
  </si>
  <si>
    <t>AC-04(31)</t>
  </si>
  <si>
    <t>Information Flow Enforcement | Failed Content Transfer Prevention</t>
  </si>
  <si>
    <t>Enhances AC-04 (Information Flow Enforcement): configure and enforce 'Failed Content Transfer Prevention' in addition to the base setting, keep it consistent across applicable systems and document approved exceptions. Base scope: Configure firewall rules, ACLs, VLAN/segment policies, proxies and cloud security groups to control approved information flows between zones</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</si>
  <si>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'Failed Content Transfer Prevention'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</si>
  <si>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ESBIT-AC-04(32)</t>
  </si>
  <si>
    <t>AC-04(32)</t>
  </si>
  <si>
    <t>Information Flow Enforcement | Process Requirements for Information Transfer</t>
  </si>
  <si>
    <t>Enhances AC-04 (Information Flow Enforcement): configure and enforce 'Process Requirements for Information Transfer' in addition to the base setting, keep it consistent across applicable systems and document approved exceptions. Base scope: Configure firewall rules, ACLs, VLAN/segment policies, proxies and cloud security groups to control approved information flows between zones</t>
  </si>
  <si>
    <t>Infrastructure (Server/OS)</t>
  </si>
  <si>
    <r>
      <rPr>
        <rFont val="FreeSans"/>
        <color theme="1"/>
        <sz val="14.0"/>
      </rPr>
      <t xml:space="preserve">ส่วนขยายของ </t>
    </r>
    <r>
      <rPr>
        <rFont val="Calibri"/>
        <color theme="1"/>
        <sz val="14.0"/>
      </rPr>
      <t xml:space="preserve">AC-04: </t>
    </r>
    <r>
      <rPr>
        <rFont val="FreeSans"/>
        <color theme="1"/>
        <sz val="14.0"/>
      </rPr>
      <t xml:space="preserve">กำหนดค่าและบังคับใช้ </t>
    </r>
    <r>
      <rPr>
        <rFont val="Calibri"/>
        <color theme="1"/>
        <sz val="14.0"/>
      </rPr>
      <t xml:space="preserve">'Process Requirements for Information Transfer'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t>
    </r>
    <r>
      <rPr>
        <rFont val="Calibri"/>
        <color theme="1"/>
        <sz val="14.0"/>
      </rPr>
      <t xml:space="preserve">Firewall Rule, ACL, VLAN/Segment, Proxy </t>
    </r>
    <r>
      <rPr>
        <rFont val="FreeSans"/>
        <color theme="1"/>
        <sz val="14.0"/>
      </rPr>
      <t xml:space="preserve">และ </t>
    </r>
    <r>
      <rPr>
        <rFont val="Calibri"/>
        <color theme="1"/>
        <sz val="14.0"/>
      </rPr>
      <t xml:space="preserve">Cloud Security Group </t>
    </r>
    <r>
      <rPr>
        <rFont val="FreeSans"/>
        <color theme="1"/>
        <sz val="14.0"/>
      </rPr>
      <t>เพื่อควบคุมการไหลของข้อมูลระหว่างโซนที่ได้รับอนุมัติ</t>
    </r>
  </si>
  <si>
    <t>ESBIT-AC-05</t>
  </si>
  <si>
    <t>AC-05</t>
  </si>
  <si>
    <t>Separation of Duties</t>
  </si>
  <si>
    <t>Define conflicting duties and configure role separation (admin vs auditor vs developer) in IAM, OS and applications</t>
  </si>
  <si>
    <r>
      <rPr>
        <rFont val="FreeSans"/>
        <color theme="1"/>
        <sz val="14.0"/>
      </rPr>
      <t xml:space="preserve">กำหนดหน้าที่ที่ขัดกันและแยกบทบาท </t>
    </r>
    <r>
      <rPr>
        <rFont val="Calibri"/>
        <color theme="1"/>
        <sz val="14.0"/>
      </rPr>
      <t>(</t>
    </r>
    <r>
      <rPr>
        <rFont val="FreeSans"/>
        <color theme="1"/>
        <sz val="14.0"/>
      </rPr>
      <t>ผู้ดูแลระบบ</t>
    </r>
    <r>
      <rPr>
        <rFont val="Calibri"/>
        <color theme="1"/>
        <sz val="14.0"/>
      </rPr>
      <t>/</t>
    </r>
    <r>
      <rPr>
        <rFont val="FreeSans"/>
        <color theme="1"/>
        <sz val="14.0"/>
      </rPr>
      <t>ผู้ตรวจสอบ</t>
    </r>
    <r>
      <rPr>
        <rFont val="Calibri"/>
        <color theme="1"/>
        <sz val="14.0"/>
      </rPr>
      <t>/</t>
    </r>
    <r>
      <rPr>
        <rFont val="FreeSans"/>
        <color theme="1"/>
        <sz val="14.0"/>
      </rPr>
      <t>นักพัฒนา</t>
    </r>
    <r>
      <rPr>
        <rFont val="Calibri"/>
        <color theme="1"/>
        <sz val="14.0"/>
      </rPr>
      <t xml:space="preserve">) </t>
    </r>
    <r>
      <rPr>
        <rFont val="FreeSans"/>
        <color theme="1"/>
        <sz val="14.0"/>
      </rPr>
      <t xml:space="preserve">ใน </t>
    </r>
    <r>
      <rPr>
        <rFont val="Calibri"/>
        <color theme="1"/>
        <sz val="14.0"/>
      </rPr>
      <t xml:space="preserve">IAM, OS </t>
    </r>
    <r>
      <rPr>
        <rFont val="FreeSans"/>
        <color theme="1"/>
        <sz val="14.0"/>
      </rPr>
      <t>และแอปพลิเคชัน</t>
    </r>
  </si>
  <si>
    <t>Identity &amp; Access Management, Infrastructure (Server/OS)</t>
  </si>
  <si>
    <t>ESBIT-AC-06</t>
  </si>
  <si>
    <t>AC-06</t>
  </si>
  <si>
    <t>Least Privilege</t>
  </si>
  <si>
    <t>Configure least-privilege roles, restrict privileged commands, sudo/admin rights and log all privileged function use</t>
  </si>
  <si>
    <t>Identity &amp; Access Management</t>
  </si>
  <si>
    <r>
      <rPr>
        <rFont val="FreeSans"/>
        <color theme="1"/>
        <sz val="14.0"/>
      </rPr>
      <t>กำหนดสิทธิ์ขั้นต่ำ จำกัดคำสั่ง</t>
    </r>
    <r>
      <rPr>
        <rFont val="Calibri"/>
        <color theme="1"/>
        <sz val="14.0"/>
      </rPr>
      <t>/</t>
    </r>
    <r>
      <rPr>
        <rFont val="FreeSans"/>
        <color theme="1"/>
        <sz val="14.0"/>
      </rPr>
      <t xml:space="preserve">สิทธิ์ผู้ดูแล </t>
    </r>
    <r>
      <rPr>
        <rFont val="Calibri"/>
        <color theme="1"/>
        <sz val="14.0"/>
      </rPr>
      <t xml:space="preserve">(sudo/admin) </t>
    </r>
    <r>
      <rPr>
        <rFont val="FreeSans"/>
        <color theme="1"/>
        <sz val="14.0"/>
      </rPr>
      <t>และบันทึกการใช้งานสิทธิ์สูงทุกครั้ง</t>
    </r>
  </si>
  <si>
    <t>Identity &amp; Access Management, Infrastructure (Server/OS), Database, Cloud</t>
  </si>
  <si>
    <t>ESBIT-AC-06(01)</t>
  </si>
  <si>
    <t>AC-06(01)</t>
  </si>
  <si>
    <t>Least Privilege | Authorize Access to Security Functions</t>
  </si>
  <si>
    <t>Enhances AC-06 (Least Privilege): configure and enforce 'Authorize Access to Security Functions' in addition to the base setting, keep it consistent across applicable systems and document approved exceptions. Base scope: Configure least-privilege roles, restrict privileged commands, sudo/admin rights and log all privileged function use</t>
  </si>
  <si>
    <r>
      <rPr>
        <rFont val="FreeSans"/>
        <color theme="1"/>
        <sz val="14.0"/>
      </rPr>
      <t xml:space="preserve">ส่วนขยายของ </t>
    </r>
    <r>
      <rPr>
        <rFont val="Calibri"/>
        <color theme="1"/>
        <sz val="14.0"/>
      </rPr>
      <t xml:space="preserve">AC-06: </t>
    </r>
    <r>
      <rPr>
        <rFont val="FreeSans"/>
        <color theme="1"/>
        <sz val="14.0"/>
      </rPr>
      <t xml:space="preserve">กำหนดค่าและบังคับใช้ </t>
    </r>
    <r>
      <rPr>
        <rFont val="Calibri"/>
        <color theme="1"/>
        <sz val="14.0"/>
      </rPr>
      <t xml:space="preserve">'Authorize Access to Security Functions'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กำหนดสิทธิ์ขั้นต่ำ จำกัดคำสั่ง</t>
    </r>
    <r>
      <rPr>
        <rFont val="Calibri"/>
        <color theme="1"/>
        <sz val="14.0"/>
      </rPr>
      <t>/</t>
    </r>
    <r>
      <rPr>
        <rFont val="FreeSans"/>
        <color theme="1"/>
        <sz val="14.0"/>
      </rPr>
      <t xml:space="preserve">สิทธิ์ผู้ดูแล </t>
    </r>
    <r>
      <rPr>
        <rFont val="Calibri"/>
        <color theme="1"/>
        <sz val="14.0"/>
      </rPr>
      <t xml:space="preserve">(sudo/admin) </t>
    </r>
    <r>
      <rPr>
        <rFont val="FreeSans"/>
        <color theme="1"/>
        <sz val="14.0"/>
      </rPr>
      <t>และบันทึกการใช้งานสิทธิ์สูงทุกครั้ง</t>
    </r>
  </si>
  <si>
    <t>ESBIT-AC-06(02)</t>
  </si>
  <si>
    <t>AC-06(02)</t>
  </si>
  <si>
    <t>Least Privilege | Non-privileged Access for Nonsecurity Functions</t>
  </si>
  <si>
    <t>Enhances AC-06 (Least Privilege): configure and enforce 'Non-privileged Access for Nonsecurity Functions' in addition to the base setting, keep it consistent across applicable systems and document approved exceptions. Base scope: Configure least-privilege roles, restrict privileged commands, sudo/admin rights and log all privileged function use</t>
  </si>
  <si>
    <t>Application/Software</t>
  </si>
  <si>
    <r>
      <rPr>
        <rFont val="FreeSans"/>
        <color theme="1"/>
        <sz val="14.0"/>
      </rPr>
      <t xml:space="preserve">ส่วนขยายของ </t>
    </r>
    <r>
      <rPr>
        <rFont val="Calibri"/>
        <color theme="1"/>
        <sz val="14.0"/>
      </rPr>
      <t xml:space="preserve">AC-06: </t>
    </r>
    <r>
      <rPr>
        <rFont val="FreeSans"/>
        <color theme="1"/>
        <sz val="14.0"/>
      </rPr>
      <t xml:space="preserve">กำหนดค่าและบังคับใช้ </t>
    </r>
    <r>
      <rPr>
        <rFont val="Calibri"/>
        <color theme="1"/>
        <sz val="14.0"/>
      </rPr>
      <t xml:space="preserve">'Non-privileged Access for Nonsecurity Functions'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กำหนดสิทธิ์ขั้นต่ำ จำกัดคำสั่ง</t>
    </r>
    <r>
      <rPr>
        <rFont val="Calibri"/>
        <color theme="1"/>
        <sz val="14.0"/>
      </rPr>
      <t>/</t>
    </r>
    <r>
      <rPr>
        <rFont val="FreeSans"/>
        <color theme="1"/>
        <sz val="14.0"/>
      </rPr>
      <t xml:space="preserve">สิทธิ์ผู้ดูแล </t>
    </r>
    <r>
      <rPr>
        <rFont val="Calibri"/>
        <color theme="1"/>
        <sz val="14.0"/>
      </rPr>
      <t xml:space="preserve">(sudo/admin) </t>
    </r>
    <r>
      <rPr>
        <rFont val="FreeSans"/>
        <color theme="1"/>
        <sz val="14.0"/>
      </rPr>
      <t>และบันทึกการใช้งานสิทธิ์สูงทุกครั้ง</t>
    </r>
  </si>
  <si>
    <t>ESBIT-AC-06(03)</t>
  </si>
  <si>
    <t>AC-06(03)</t>
  </si>
  <si>
    <t>Least Privilege | Network Access to Privileged Commands</t>
  </si>
  <si>
    <t>Enhances AC-06 (Least Privilege): configure and enforce 'Network Access to Privileged Commands' in addition to the base setting, keep it consistent across applicable systems and document approved exceptions. Base scope: Configure least-privilege roles, restrict privileged commands, sudo/admin rights and log all privileged function use</t>
  </si>
  <si>
    <t>Endpoint/Mobile</t>
  </si>
  <si>
    <t>Physical/Facility (Data Center)</t>
  </si>
  <si>
    <r>
      <rPr>
        <rFont val="FreeSans"/>
        <color theme="1"/>
        <sz val="14.0"/>
      </rPr>
      <t xml:space="preserve">ส่วนขยายของ </t>
    </r>
    <r>
      <rPr>
        <rFont val="Calibri"/>
        <color theme="1"/>
        <sz val="14.0"/>
      </rPr>
      <t xml:space="preserve">AC-06: </t>
    </r>
    <r>
      <rPr>
        <rFont val="FreeSans"/>
        <color theme="1"/>
        <sz val="14.0"/>
      </rPr>
      <t xml:space="preserve">กำหนดค่าและบังคับใช้ </t>
    </r>
    <r>
      <rPr>
        <rFont val="Calibri"/>
        <color theme="1"/>
        <sz val="14.0"/>
      </rPr>
      <t xml:space="preserve">'Network Access to Privileged Commands'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กำหนดสิทธิ์ขั้นต่ำ จำกัดคำสั่ง</t>
    </r>
    <r>
      <rPr>
        <rFont val="Calibri"/>
        <color theme="1"/>
        <sz val="14.0"/>
      </rPr>
      <t>/</t>
    </r>
    <r>
      <rPr>
        <rFont val="FreeSans"/>
        <color theme="1"/>
        <sz val="14.0"/>
      </rPr>
      <t xml:space="preserve">สิทธิ์ผู้ดูแล </t>
    </r>
    <r>
      <rPr>
        <rFont val="Calibri"/>
        <color theme="1"/>
        <sz val="14.0"/>
      </rPr>
      <t xml:space="preserve">(sudo/admin) </t>
    </r>
    <r>
      <rPr>
        <rFont val="FreeSans"/>
        <color theme="1"/>
        <sz val="14.0"/>
      </rPr>
      <t>และบันทึกการใช้งานสิทธิ์สูงทุกครั้ง</t>
    </r>
  </si>
  <si>
    <t>ESBIT-AC-06(04)</t>
  </si>
  <si>
    <t>AC-06(04)</t>
  </si>
  <si>
    <t>Least Privilege | Separate Processing Domains</t>
  </si>
  <si>
    <t>Enhances AC-06 (Least Privilege): configure and enforce 'Separate Processing Domains' in addition to the base setting, keep it consistent across applicable systems and document approved exceptions. Base scope: Configure least-privilege roles, restrict privileged commands, sudo/admin rights and log all privileged function use</t>
  </si>
  <si>
    <t>Logging &amp; Monitoring</t>
  </si>
  <si>
    <r>
      <rPr>
        <rFont val="FreeSans"/>
        <color theme="1"/>
        <sz val="14.0"/>
      </rPr>
      <t xml:space="preserve">ส่วนขยายของ </t>
    </r>
    <r>
      <rPr>
        <rFont val="Calibri"/>
        <color theme="1"/>
        <sz val="14.0"/>
      </rPr>
      <t xml:space="preserve">AC-06: </t>
    </r>
    <r>
      <rPr>
        <rFont val="FreeSans"/>
        <color theme="1"/>
        <sz val="14.0"/>
      </rPr>
      <t xml:space="preserve">กำหนดค่าและบังคับใช้ </t>
    </r>
    <r>
      <rPr>
        <rFont val="Calibri"/>
        <color theme="1"/>
        <sz val="14.0"/>
      </rPr>
      <t xml:space="preserve">'Separate Processing Domains'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กำหนดสิทธิ์ขั้นต่ำ จำกัดคำสั่ง</t>
    </r>
    <r>
      <rPr>
        <rFont val="Calibri"/>
        <color theme="1"/>
        <sz val="14.0"/>
      </rPr>
      <t>/</t>
    </r>
    <r>
      <rPr>
        <rFont val="FreeSans"/>
        <color theme="1"/>
        <sz val="14.0"/>
      </rPr>
      <t xml:space="preserve">สิทธิ์ผู้ดูแล </t>
    </r>
    <r>
      <rPr>
        <rFont val="Calibri"/>
        <color theme="1"/>
        <sz val="14.0"/>
      </rPr>
      <t xml:space="preserve">(sudo/admin) </t>
    </r>
    <r>
      <rPr>
        <rFont val="FreeSans"/>
        <color theme="1"/>
        <sz val="14.0"/>
      </rPr>
      <t>และบันทึกการใช้งานสิทธิ์สูงทุกครั้ง</t>
    </r>
  </si>
  <si>
    <t>ESBIT-AC-06(05)</t>
  </si>
  <si>
    <t>AC-06(05)</t>
  </si>
  <si>
    <t>Least Privilege | Privileged Accounts</t>
  </si>
  <si>
    <t>Enhances AC-06 (Least Privilege): configure and enforce 'Privileged Accounts' in addition to the base setting, keep it consistent across applicable systems and document approved exceptions. Base scope: Configure least-privilege roles, restrict privileged commands, sudo/admin rights and log all privileged function use</t>
  </si>
  <si>
    <t>Cryptography/PKI</t>
  </si>
  <si>
    <r>
      <rPr>
        <rFont val="FreeSans"/>
        <color theme="1"/>
        <sz val="14.0"/>
      </rPr>
      <t xml:space="preserve">ส่วนขยายของ </t>
    </r>
    <r>
      <rPr>
        <rFont val="Calibri"/>
        <color theme="1"/>
        <sz val="14.0"/>
      </rPr>
      <t xml:space="preserve">AC-06: </t>
    </r>
    <r>
      <rPr>
        <rFont val="FreeSans"/>
        <color theme="1"/>
        <sz val="14.0"/>
      </rPr>
      <t xml:space="preserve">กำหนดค่าและบังคับใช้ </t>
    </r>
    <r>
      <rPr>
        <rFont val="Calibri"/>
        <color theme="1"/>
        <sz val="14.0"/>
      </rPr>
      <t xml:space="preserve">'Privileged Accounts'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กำหนดสิทธิ์ขั้นต่ำ จำกัดคำสั่ง</t>
    </r>
    <r>
      <rPr>
        <rFont val="Calibri"/>
        <color theme="1"/>
        <sz val="14.0"/>
      </rPr>
      <t>/</t>
    </r>
    <r>
      <rPr>
        <rFont val="FreeSans"/>
        <color theme="1"/>
        <sz val="14.0"/>
      </rPr>
      <t xml:space="preserve">สิทธิ์ผู้ดูแล </t>
    </r>
    <r>
      <rPr>
        <rFont val="Calibri"/>
        <color theme="1"/>
        <sz val="14.0"/>
      </rPr>
      <t xml:space="preserve">(sudo/admin) </t>
    </r>
    <r>
      <rPr>
        <rFont val="FreeSans"/>
        <color theme="1"/>
        <sz val="14.0"/>
      </rPr>
      <t>และบันทึกการใช้งานสิทธิ์สูงทุกครั้ง</t>
    </r>
  </si>
  <si>
    <t>ESBIT-AC-06(06)</t>
  </si>
  <si>
    <t>AC-06(06)</t>
  </si>
  <si>
    <t>Least Privilege | Privileged Access by Non-organizational Users</t>
  </si>
  <si>
    <t>Enhances AC-06 (Least Privilege): configure and enforce 'Privileged Access by Non-organizational Users' in addition to the base setting, keep it consistent across applicable systems and document approved exceptions. Base scope: Configure least-privilege roles, restrict privileged commands, sudo/admin rights and log all privileged function use</t>
  </si>
  <si>
    <r>
      <rPr>
        <rFont val="FreeSans"/>
        <color theme="1"/>
        <sz val="14.0"/>
      </rPr>
      <t xml:space="preserve">ส่วนขยายของ </t>
    </r>
    <r>
      <rPr>
        <rFont val="Calibri"/>
        <color theme="1"/>
        <sz val="14.0"/>
      </rPr>
      <t xml:space="preserve">AC-06: </t>
    </r>
    <r>
      <rPr>
        <rFont val="FreeSans"/>
        <color theme="1"/>
        <sz val="14.0"/>
      </rPr>
      <t xml:space="preserve">กำหนดค่าและบังคับใช้ </t>
    </r>
    <r>
      <rPr>
        <rFont val="Calibri"/>
        <color theme="1"/>
        <sz val="14.0"/>
      </rPr>
      <t xml:space="preserve">'Privileged Access by Non-organizational Users'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กำหนดสิทธิ์ขั้นต่ำ จำกัดคำสั่ง</t>
    </r>
    <r>
      <rPr>
        <rFont val="Calibri"/>
        <color theme="1"/>
        <sz val="14.0"/>
      </rPr>
      <t>/</t>
    </r>
    <r>
      <rPr>
        <rFont val="FreeSans"/>
        <color theme="1"/>
        <sz val="14.0"/>
      </rPr>
      <t xml:space="preserve">สิทธิ์ผู้ดูแล </t>
    </r>
    <r>
      <rPr>
        <rFont val="Calibri"/>
        <color theme="1"/>
        <sz val="14.0"/>
      </rPr>
      <t xml:space="preserve">(sudo/admin) </t>
    </r>
    <r>
      <rPr>
        <rFont val="FreeSans"/>
        <color theme="1"/>
        <sz val="14.0"/>
      </rPr>
      <t>และบันทึกการใช้งานสิทธิ์สูงทุกครั้ง</t>
    </r>
  </si>
  <si>
    <t>ESBIT-AC-06(07)</t>
  </si>
  <si>
    <t>AC-06(07)</t>
  </si>
  <si>
    <t>Least Privilege | Review of User Privileges</t>
  </si>
  <si>
    <t>Enhances AC-06 (Least Privilege): configure and enforce 'Review of User Privileges' in addition to the base setting, keep it consistent across applicable systems and document approved exceptions. Base scope: Configure least-privilege roles, restrict privileged commands, sudo/admin rights and log all privileged function use</t>
  </si>
  <si>
    <t>Data Protection/Storage</t>
  </si>
  <si>
    <r>
      <rPr>
        <rFont val="FreeSans"/>
        <color theme="1"/>
        <sz val="14.0"/>
      </rPr>
      <t xml:space="preserve">ส่วนขยายของ </t>
    </r>
    <r>
      <rPr>
        <rFont val="Calibri"/>
        <color theme="1"/>
        <sz val="14.0"/>
      </rPr>
      <t xml:space="preserve">AC-06: </t>
    </r>
    <r>
      <rPr>
        <rFont val="FreeSans"/>
        <color theme="1"/>
        <sz val="14.0"/>
      </rPr>
      <t xml:space="preserve">กำหนดค่าและบังคับใช้ </t>
    </r>
    <r>
      <rPr>
        <rFont val="Calibri"/>
        <color theme="1"/>
        <sz val="14.0"/>
      </rPr>
      <t xml:space="preserve">'Review of User Privileges'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กำหนดสิทธิ์ขั้นต่ำ จำกัดคำสั่ง</t>
    </r>
    <r>
      <rPr>
        <rFont val="Calibri"/>
        <color theme="1"/>
        <sz val="14.0"/>
      </rPr>
      <t>/</t>
    </r>
    <r>
      <rPr>
        <rFont val="FreeSans"/>
        <color theme="1"/>
        <sz val="14.0"/>
      </rPr>
      <t xml:space="preserve">สิทธิ์ผู้ดูแล </t>
    </r>
    <r>
      <rPr>
        <rFont val="Calibri"/>
        <color theme="1"/>
        <sz val="14.0"/>
      </rPr>
      <t xml:space="preserve">(sudo/admin) </t>
    </r>
    <r>
      <rPr>
        <rFont val="FreeSans"/>
        <color theme="1"/>
        <sz val="14.0"/>
      </rPr>
      <t>และบันทึกการใช้งานสิทธิ์สูงทุกครั้ง</t>
    </r>
  </si>
  <si>
    <t>ESBIT-AC-06(08)</t>
  </si>
  <si>
    <t>AC-06(08)</t>
  </si>
  <si>
    <t>Least Privilege | Privilege Levels for Code Execution</t>
  </si>
  <si>
    <t>Enhances AC-06 (Least Privilege): configure and enforce 'Privilege Levels for Code Execution' in addition to the base setting, keep it consistent across applicable systems and document approved exceptions. Base scope: Configure least-privilege roles, restrict privileged commands, sudo/admin rights and log all privileged function use</t>
  </si>
  <si>
    <r>
      <rPr>
        <rFont val="FreeSans"/>
        <color theme="1"/>
        <sz val="14.0"/>
      </rPr>
      <t xml:space="preserve">ส่วนขยายของ </t>
    </r>
    <r>
      <rPr>
        <rFont val="Calibri"/>
        <color theme="1"/>
        <sz val="14.0"/>
      </rPr>
      <t xml:space="preserve">AC-06: </t>
    </r>
    <r>
      <rPr>
        <rFont val="FreeSans"/>
        <color theme="1"/>
        <sz val="14.0"/>
      </rPr>
      <t xml:space="preserve">กำหนดค่าและบังคับใช้ </t>
    </r>
    <r>
      <rPr>
        <rFont val="Calibri"/>
        <color theme="1"/>
        <sz val="14.0"/>
      </rPr>
      <t xml:space="preserve">'Privilege Levels for Code Execution'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กำหนดสิทธิ์ขั้นต่ำ จำกัดคำสั่ง</t>
    </r>
    <r>
      <rPr>
        <rFont val="Calibri"/>
        <color theme="1"/>
        <sz val="14.0"/>
      </rPr>
      <t>/</t>
    </r>
    <r>
      <rPr>
        <rFont val="FreeSans"/>
        <color theme="1"/>
        <sz val="14.0"/>
      </rPr>
      <t xml:space="preserve">สิทธิ์ผู้ดูแล </t>
    </r>
    <r>
      <rPr>
        <rFont val="Calibri"/>
        <color theme="1"/>
        <sz val="14.0"/>
      </rPr>
      <t xml:space="preserve">(sudo/admin) </t>
    </r>
    <r>
      <rPr>
        <rFont val="FreeSans"/>
        <color theme="1"/>
        <sz val="14.0"/>
      </rPr>
      <t>และบันทึกการใช้งานสิทธิ์สูงทุกครั้ง</t>
    </r>
  </si>
  <si>
    <t>ESBIT-AC-06(09)</t>
  </si>
  <si>
    <t>AC-06(09)</t>
  </si>
  <si>
    <t>Least Privilege | Log Use of Privileged Functions</t>
  </si>
  <si>
    <t>Enhances AC-06 (Least Privilege): configure and enforce 'Log Use of Privileged Functions' in addition to the base setting, keep it consistent across applicable systems and document approved exceptions. Base scope: Configure least-privilege roles, restrict privileged commands, sudo/admin rights and log all privileged function use</t>
  </si>
  <si>
    <t>Backup/DR/Resilience</t>
  </si>
  <si>
    <r>
      <rPr>
        <rFont val="FreeSans"/>
        <color theme="1"/>
        <sz val="14.0"/>
      </rPr>
      <t xml:space="preserve">ส่วนขยายของ </t>
    </r>
    <r>
      <rPr>
        <rFont val="Calibri"/>
        <color theme="1"/>
        <sz val="14.0"/>
      </rPr>
      <t xml:space="preserve">AC-06: </t>
    </r>
    <r>
      <rPr>
        <rFont val="FreeSans"/>
        <color theme="1"/>
        <sz val="14.0"/>
      </rPr>
      <t xml:space="preserve">กำหนดค่าและบังคับใช้ </t>
    </r>
    <r>
      <rPr>
        <rFont val="Calibri"/>
        <color theme="1"/>
        <sz val="14.0"/>
      </rPr>
      <t xml:space="preserve">'Log Use of Privileged Functions'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กำหนดสิทธิ์ขั้นต่ำ จำกัดคำสั่ง</t>
    </r>
    <r>
      <rPr>
        <rFont val="Calibri"/>
        <color theme="1"/>
        <sz val="14.0"/>
      </rPr>
      <t>/</t>
    </r>
    <r>
      <rPr>
        <rFont val="FreeSans"/>
        <color theme="1"/>
        <sz val="14.0"/>
      </rPr>
      <t xml:space="preserve">สิทธิ์ผู้ดูแล </t>
    </r>
    <r>
      <rPr>
        <rFont val="Calibri"/>
        <color theme="1"/>
        <sz val="14.0"/>
      </rPr>
      <t xml:space="preserve">(sudo/admin) </t>
    </r>
    <r>
      <rPr>
        <rFont val="FreeSans"/>
        <color theme="1"/>
        <sz val="14.0"/>
      </rPr>
      <t>และบันทึกการใช้งานสิทธิ์สูงทุกครั้ง</t>
    </r>
  </si>
  <si>
    <t>ESBIT-AC-06(10)</t>
  </si>
  <si>
    <t>AC-06(10)</t>
  </si>
  <si>
    <t>Least Privilege | Prohibit Non-privileged Users from Executing Privileged Functions</t>
  </si>
  <si>
    <t>Enhances AC-06 (Least Privilege): configure and enforce 'Prohibit Non-privileged Users from Executing Privileged Functions' in addition to the base setting, keep it consistent across applicable systems and document approved exceptions. Base scope: Configure least-privilege roles, restrict privileged commands, sudo/admin rights and log all privileged function use</t>
  </si>
  <si>
    <r>
      <rPr>
        <rFont val="FreeSans"/>
        <color theme="1"/>
        <sz val="14.0"/>
      </rPr>
      <t xml:space="preserve">ส่วนขยายของ </t>
    </r>
    <r>
      <rPr>
        <rFont val="Calibri"/>
        <color theme="1"/>
        <sz val="14.0"/>
      </rPr>
      <t xml:space="preserve">AC-06: </t>
    </r>
    <r>
      <rPr>
        <rFont val="FreeSans"/>
        <color theme="1"/>
        <sz val="14.0"/>
      </rPr>
      <t xml:space="preserve">กำหนดค่าและบังคับใช้ </t>
    </r>
    <r>
      <rPr>
        <rFont val="Calibri"/>
        <color theme="1"/>
        <sz val="14.0"/>
      </rPr>
      <t xml:space="preserve">'Prohibit Non-privileged Users from Executing Privileged Functions'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กำหนดสิทธิ์ขั้นต่ำ จำกัดคำสั่ง</t>
    </r>
    <r>
      <rPr>
        <rFont val="Calibri"/>
        <color theme="1"/>
        <sz val="14.0"/>
      </rPr>
      <t>/</t>
    </r>
    <r>
      <rPr>
        <rFont val="FreeSans"/>
        <color theme="1"/>
        <sz val="14.0"/>
      </rPr>
      <t xml:space="preserve">สิทธิ์ผู้ดูแล </t>
    </r>
    <r>
      <rPr>
        <rFont val="Calibri"/>
        <color theme="1"/>
        <sz val="14.0"/>
      </rPr>
      <t xml:space="preserve">(sudo/admin) </t>
    </r>
    <r>
      <rPr>
        <rFont val="FreeSans"/>
        <color theme="1"/>
        <sz val="14.0"/>
      </rPr>
      <t>และบันทึกการใช้งานสิทธิ์สูงทุกครั้ง</t>
    </r>
  </si>
  <si>
    <t>ESBIT-AC-07</t>
  </si>
  <si>
    <t>AC-07</t>
  </si>
  <si>
    <t>Unsuccessful Logon Attempts</t>
  </si>
  <si>
    <t>PR.AA-03</t>
  </si>
  <si>
    <t>Users, services, and hardware are authenticated</t>
  </si>
  <si>
    <t>Configure account lockout threshold, lockout duration and failed-logon handling on OS, network devices, applications and databases</t>
  </si>
  <si>
    <r>
      <rPr>
        <rFont val="FreeSans"/>
        <color theme="1"/>
        <sz val="14.0"/>
      </rPr>
      <t xml:space="preserve">ตั้งค่า </t>
    </r>
    <r>
      <rPr>
        <rFont val="Calibri"/>
        <color theme="1"/>
        <sz val="14.0"/>
      </rPr>
      <t>Account Lockout (</t>
    </r>
    <r>
      <rPr>
        <rFont val="FreeSans"/>
        <color theme="1"/>
        <sz val="14.0"/>
      </rPr>
      <t>จำนวนครั้งที่ผิด ระยะเวลาล็อก</t>
    </r>
    <r>
      <rPr>
        <rFont val="Calibri"/>
        <color theme="1"/>
        <sz val="14.0"/>
      </rPr>
      <t xml:space="preserve">) </t>
    </r>
    <r>
      <rPr>
        <rFont val="FreeSans"/>
        <color theme="1"/>
        <sz val="14.0"/>
      </rPr>
      <t xml:space="preserve">บน </t>
    </r>
    <r>
      <rPr>
        <rFont val="Calibri"/>
        <color theme="1"/>
        <sz val="14.0"/>
      </rPr>
      <t xml:space="preserve">OS, </t>
    </r>
    <r>
      <rPr>
        <rFont val="FreeSans"/>
        <color theme="1"/>
        <sz val="14.0"/>
      </rPr>
      <t>อุปกรณ์เครือข่าย</t>
    </r>
    <r>
      <rPr>
        <rFont val="Calibri"/>
        <color theme="1"/>
        <sz val="14.0"/>
      </rPr>
      <t xml:space="preserve">, </t>
    </r>
    <r>
      <rPr>
        <rFont val="FreeSans"/>
        <color theme="1"/>
        <sz val="14.0"/>
      </rPr>
      <t xml:space="preserve">แอปพลิเคชัน และ </t>
    </r>
    <r>
      <rPr>
        <rFont val="Calibri"/>
        <color theme="1"/>
        <sz val="14.0"/>
      </rPr>
      <t>DB</t>
    </r>
  </si>
  <si>
    <t>Identity &amp; Access Management, Infrastructure (Server/OS), Network</t>
  </si>
  <si>
    <t>ESBIT-AC-07(02)</t>
  </si>
  <si>
    <t>AC-07(02)</t>
  </si>
  <si>
    <t>Unsuccessful Logon Attempts | Purge or Wipe Mobile Device</t>
  </si>
  <si>
    <t>Enhances AC-07 (Unsuccessful Logon Attempts): configure and enforce 'Purge or Wipe Mobile Device' in addition to the base setting, keep it consistent across applicable systems and document approved exceptions. Base scope: Configure account lockout threshold, lockout duration and failed-logon handling on OS, network devices, applications and databases</t>
  </si>
  <si>
    <t>Supply Chain/Third Party</t>
  </si>
  <si>
    <r>
      <rPr>
        <rFont val="FreeSans"/>
        <color theme="1"/>
        <sz val="14.0"/>
      </rPr>
      <t xml:space="preserve">ส่วนขยายของ </t>
    </r>
    <r>
      <rPr>
        <rFont val="Calibri"/>
        <color theme="1"/>
        <sz val="14.0"/>
      </rPr>
      <t xml:space="preserve">AC-07: </t>
    </r>
    <r>
      <rPr>
        <rFont val="FreeSans"/>
        <color theme="1"/>
        <sz val="14.0"/>
      </rPr>
      <t xml:space="preserve">กำหนดค่าและบังคับใช้ </t>
    </r>
    <r>
      <rPr>
        <rFont val="Calibri"/>
        <color theme="1"/>
        <sz val="14.0"/>
      </rPr>
      <t xml:space="preserve">'Purge or Wipe Mobile Device'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Account Lockout (</t>
    </r>
    <r>
      <rPr>
        <rFont val="FreeSans"/>
        <color theme="1"/>
        <sz val="14.0"/>
      </rPr>
      <t>จำนวนครั้งที่ผิด ระยะเวลาล็อก</t>
    </r>
    <r>
      <rPr>
        <rFont val="Calibri"/>
        <color theme="1"/>
        <sz val="14.0"/>
      </rPr>
      <t xml:space="preserve">) </t>
    </r>
    <r>
      <rPr>
        <rFont val="FreeSans"/>
        <color theme="1"/>
        <sz val="14.0"/>
      </rPr>
      <t xml:space="preserve">บน </t>
    </r>
    <r>
      <rPr>
        <rFont val="Calibri"/>
        <color theme="1"/>
        <sz val="14.0"/>
      </rPr>
      <t xml:space="preserve">OS, </t>
    </r>
    <r>
      <rPr>
        <rFont val="FreeSans"/>
        <color theme="1"/>
        <sz val="14.0"/>
      </rPr>
      <t>อุปกรณ์เครือข่าย</t>
    </r>
    <r>
      <rPr>
        <rFont val="Calibri"/>
        <color theme="1"/>
        <sz val="14.0"/>
      </rPr>
      <t xml:space="preserve">, </t>
    </r>
    <r>
      <rPr>
        <rFont val="FreeSans"/>
        <color theme="1"/>
        <sz val="14.0"/>
      </rPr>
      <t xml:space="preserve">แอปพลิเคชัน และ </t>
    </r>
    <r>
      <rPr>
        <rFont val="Calibri"/>
        <color theme="1"/>
        <sz val="14.0"/>
      </rPr>
      <t>DB</t>
    </r>
  </si>
  <si>
    <t>ESBIT-AC-07(03)</t>
  </si>
  <si>
    <t>AC-07(03)</t>
  </si>
  <si>
    <t>Unsuccessful Logon Attempts | Biometric Attempt Limiting</t>
  </si>
  <si>
    <t>Enhances AC-07 (Unsuccessful Logon Attempts): configure and enforce 'Biometric Attempt Limiting' in addition to the base setting, keep it consistent across applicable systems and document approved exceptions. Base scope: Configure account lockout threshold, lockout duration and failed-logon handling on OS, network devices, applications and databases</t>
  </si>
  <si>
    <t>Privacy</t>
  </si>
  <si>
    <r>
      <rPr>
        <rFont val="FreeSans"/>
        <color theme="1"/>
        <sz val="14.0"/>
      </rPr>
      <t xml:space="preserve">ส่วนขยายของ </t>
    </r>
    <r>
      <rPr>
        <rFont val="Calibri"/>
        <color theme="1"/>
        <sz val="14.0"/>
      </rPr>
      <t xml:space="preserve">AC-07: </t>
    </r>
    <r>
      <rPr>
        <rFont val="FreeSans"/>
        <color theme="1"/>
        <sz val="14.0"/>
      </rPr>
      <t xml:space="preserve">กำหนดค่าและบังคับใช้ </t>
    </r>
    <r>
      <rPr>
        <rFont val="Calibri"/>
        <color theme="1"/>
        <sz val="14.0"/>
      </rPr>
      <t xml:space="preserve">'Biometric Attempt Limiting'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Account Lockout (</t>
    </r>
    <r>
      <rPr>
        <rFont val="FreeSans"/>
        <color theme="1"/>
        <sz val="14.0"/>
      </rPr>
      <t>จำนวนครั้งที่ผิด ระยะเวลาล็อก</t>
    </r>
    <r>
      <rPr>
        <rFont val="Calibri"/>
        <color theme="1"/>
        <sz val="14.0"/>
      </rPr>
      <t xml:space="preserve">) </t>
    </r>
    <r>
      <rPr>
        <rFont val="FreeSans"/>
        <color theme="1"/>
        <sz val="14.0"/>
      </rPr>
      <t xml:space="preserve">บน </t>
    </r>
    <r>
      <rPr>
        <rFont val="Calibri"/>
        <color theme="1"/>
        <sz val="14.0"/>
      </rPr>
      <t xml:space="preserve">OS, </t>
    </r>
    <r>
      <rPr>
        <rFont val="FreeSans"/>
        <color theme="1"/>
        <sz val="14.0"/>
      </rPr>
      <t>อุปกรณ์เครือข่าย</t>
    </r>
    <r>
      <rPr>
        <rFont val="Calibri"/>
        <color theme="1"/>
        <sz val="14.0"/>
      </rPr>
      <t xml:space="preserve">, </t>
    </r>
    <r>
      <rPr>
        <rFont val="FreeSans"/>
        <color theme="1"/>
        <sz val="14.0"/>
      </rPr>
      <t xml:space="preserve">แอปพลิเคชัน และ </t>
    </r>
    <r>
      <rPr>
        <rFont val="Calibri"/>
        <color theme="1"/>
        <sz val="14.0"/>
      </rPr>
      <t>DB</t>
    </r>
  </si>
  <si>
    <t>ESBIT-AC-07(04)</t>
  </si>
  <si>
    <t>AC-07(04)</t>
  </si>
  <si>
    <t>Unsuccessful Logon Attempts | Use of Alternate Authentication Factor</t>
  </si>
  <si>
    <t>Enhances AC-07 (Unsuccessful Logon Attempts): configure and enforce 'Use of Alternate Authentication Factor' in addition to the base setting, keep it consistent across applicable systems and document approved exceptions. Base scope: Configure account lockout threshold, lockout duration and failed-logon handling on OS, network devices, applications and databases</t>
  </si>
  <si>
    <r>
      <rPr>
        <rFont val="FreeSans"/>
        <color theme="1"/>
        <sz val="14.0"/>
      </rPr>
      <t xml:space="preserve">ส่วนขยายของ </t>
    </r>
    <r>
      <rPr>
        <rFont val="Calibri"/>
        <color theme="1"/>
        <sz val="14.0"/>
      </rPr>
      <t xml:space="preserve">AC-07: </t>
    </r>
    <r>
      <rPr>
        <rFont val="FreeSans"/>
        <color theme="1"/>
        <sz val="14.0"/>
      </rPr>
      <t xml:space="preserve">กำหนดค่าและบังคับใช้ </t>
    </r>
    <r>
      <rPr>
        <rFont val="Calibri"/>
        <color theme="1"/>
        <sz val="14.0"/>
      </rPr>
      <t xml:space="preserve">'Use of Alternate Authentication Factor'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Account Lockout (</t>
    </r>
    <r>
      <rPr>
        <rFont val="FreeSans"/>
        <color theme="1"/>
        <sz val="14.0"/>
      </rPr>
      <t>จำนวนครั้งที่ผิด ระยะเวลาล็อก</t>
    </r>
    <r>
      <rPr>
        <rFont val="Calibri"/>
        <color theme="1"/>
        <sz val="14.0"/>
      </rPr>
      <t xml:space="preserve">) </t>
    </r>
    <r>
      <rPr>
        <rFont val="FreeSans"/>
        <color theme="1"/>
        <sz val="14.0"/>
      </rPr>
      <t xml:space="preserve">บน </t>
    </r>
    <r>
      <rPr>
        <rFont val="Calibri"/>
        <color theme="1"/>
        <sz val="14.0"/>
      </rPr>
      <t xml:space="preserve">OS, </t>
    </r>
    <r>
      <rPr>
        <rFont val="FreeSans"/>
        <color theme="1"/>
        <sz val="14.0"/>
      </rPr>
      <t>อุปกรณ์เครือข่าย</t>
    </r>
    <r>
      <rPr>
        <rFont val="Calibri"/>
        <color theme="1"/>
        <sz val="14.0"/>
      </rPr>
      <t xml:space="preserve">, </t>
    </r>
    <r>
      <rPr>
        <rFont val="FreeSans"/>
        <color theme="1"/>
        <sz val="14.0"/>
      </rPr>
      <t xml:space="preserve">แอปพลิเคชัน และ </t>
    </r>
    <r>
      <rPr>
        <rFont val="Calibri"/>
        <color theme="1"/>
        <sz val="14.0"/>
      </rPr>
      <t>DB</t>
    </r>
  </si>
  <si>
    <t>ESBIT-AC-08</t>
  </si>
  <si>
    <t>AC-08</t>
  </si>
  <si>
    <t>System Use Notification</t>
  </si>
  <si>
    <t>Configure login banner / legal warning message on OS, network devices, VPN and applications</t>
  </si>
  <si>
    <r>
      <rPr>
        <rFont val="FreeSans"/>
        <color theme="1"/>
        <sz val="14.0"/>
      </rPr>
      <t xml:space="preserve">ตั้งค่า </t>
    </r>
    <r>
      <rPr>
        <rFont val="Calibri"/>
        <color theme="1"/>
        <sz val="14.0"/>
      </rPr>
      <t>Login Banner/</t>
    </r>
    <r>
      <rPr>
        <rFont val="FreeSans"/>
        <color theme="1"/>
        <sz val="14.0"/>
      </rPr>
      <t xml:space="preserve">ข้อความเตือนทางกฎหมายบน </t>
    </r>
    <r>
      <rPr>
        <rFont val="Calibri"/>
        <color theme="1"/>
        <sz val="14.0"/>
      </rPr>
      <t xml:space="preserve">OS, </t>
    </r>
    <r>
      <rPr>
        <rFont val="FreeSans"/>
        <color theme="1"/>
        <sz val="14.0"/>
      </rPr>
      <t>อุปกรณ์เครือข่าย</t>
    </r>
    <r>
      <rPr>
        <rFont val="Calibri"/>
        <color theme="1"/>
        <sz val="14.0"/>
      </rPr>
      <t xml:space="preserve">, VPN </t>
    </r>
    <r>
      <rPr>
        <rFont val="FreeSans"/>
        <color theme="1"/>
        <sz val="14.0"/>
      </rPr>
      <t>และแอปพลิเคชัน</t>
    </r>
  </si>
  <si>
    <t>Infrastructure (Server/OS), Network</t>
  </si>
  <si>
    <t>ESBIT-AC-09</t>
  </si>
  <si>
    <t>AC-09</t>
  </si>
  <si>
    <t>Previous Logon Notification</t>
  </si>
  <si>
    <t>DE.CM - Continuous Monitoring</t>
  </si>
  <si>
    <t>DE.CM-03</t>
  </si>
  <si>
    <t>Personnel activity and technology usage are monitored to find potentially adverse events</t>
  </si>
  <si>
    <t>Configure display of last successful/unsuccessful logon information at logon</t>
  </si>
  <si>
    <r>
      <rPr>
        <rFont val="FreeSans"/>
        <color theme="1"/>
        <sz val="14.0"/>
      </rPr>
      <t>ตั้งค่าแสดงข้อมูลการล็อกอินครั้งล่าสุด</t>
    </r>
    <r>
      <rPr>
        <rFont val="Calibri"/>
        <color theme="1"/>
        <sz val="14.0"/>
      </rPr>
      <t>/</t>
    </r>
    <r>
      <rPr>
        <rFont val="FreeSans"/>
        <color theme="1"/>
        <sz val="14.0"/>
      </rPr>
      <t>ที่ล้มเหลวเมื่อเข้าสู่ระบบ</t>
    </r>
  </si>
  <si>
    <t>Identity &amp; Access Management, Application/Software</t>
  </si>
  <si>
    <t>Level 3 - Low: optional or limited impact; apply based on risk and context</t>
  </si>
  <si>
    <t>ESBIT-AC-09(01)</t>
  </si>
  <si>
    <t>AC-09(01)</t>
  </si>
  <si>
    <t>Previous Logon Notification | Unsuccessful Logons</t>
  </si>
  <si>
    <t>Enhances AC-09 (Previous Logon Notification): configure and enforce 'Unsuccessful Logons' in addition to the base setting, keep it consistent across applicable systems and document approved exceptions. Base scope: Configure display of last successful/unsuccessful logon information at logon</t>
  </si>
  <si>
    <r>
      <rPr>
        <rFont val="FreeSans"/>
        <color theme="1"/>
        <sz val="14.0"/>
      </rPr>
      <t xml:space="preserve">ส่วนขยายของ </t>
    </r>
    <r>
      <rPr>
        <rFont val="Calibri"/>
        <color theme="1"/>
        <sz val="14.0"/>
      </rPr>
      <t xml:space="preserve">AC-09: </t>
    </r>
    <r>
      <rPr>
        <rFont val="FreeSans"/>
        <color theme="1"/>
        <sz val="14.0"/>
      </rPr>
      <t xml:space="preserve">กำหนดค่าและบังคับใช้ </t>
    </r>
    <r>
      <rPr>
        <rFont val="Calibri"/>
        <color theme="1"/>
        <sz val="14.0"/>
      </rPr>
      <t xml:space="preserve">'Unsuccessful Logons'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ตั้งค่าแสดงข้อมูลการล็อกอินครั้งล่าสุด</t>
    </r>
    <r>
      <rPr>
        <rFont val="Calibri"/>
        <color theme="1"/>
        <sz val="14.0"/>
      </rPr>
      <t>/</t>
    </r>
    <r>
      <rPr>
        <rFont val="FreeSans"/>
        <color theme="1"/>
        <sz val="14.0"/>
      </rPr>
      <t>ที่ล้มเหลวเมื่อเข้าสู่ระบบ</t>
    </r>
  </si>
  <si>
    <t>ESBIT-AC-09(02)</t>
  </si>
  <si>
    <t>AC-09(02)</t>
  </si>
  <si>
    <t>Previous Logon Notification | Successful and Unsuccessful Logons</t>
  </si>
  <si>
    <t>Enhances AC-09 (Previous Logon Notification): configure and enforce 'Successful and Unsuccessful Logons' in addition to the base setting, keep it consistent across applicable systems and document approved exceptions. Base scope: Configure display of last successful/unsuccessful logon information at logon</t>
  </si>
  <si>
    <r>
      <rPr>
        <rFont val="FreeSans"/>
        <color theme="1"/>
        <sz val="14.0"/>
      </rPr>
      <t xml:space="preserve">ส่วนขยายของ </t>
    </r>
    <r>
      <rPr>
        <rFont val="Calibri"/>
        <color theme="1"/>
        <sz val="14.0"/>
      </rPr>
      <t xml:space="preserve">AC-09: </t>
    </r>
    <r>
      <rPr>
        <rFont val="FreeSans"/>
        <color theme="1"/>
        <sz val="14.0"/>
      </rPr>
      <t xml:space="preserve">กำหนดค่าและบังคับใช้ </t>
    </r>
    <r>
      <rPr>
        <rFont val="Calibri"/>
        <color theme="1"/>
        <sz val="14.0"/>
      </rPr>
      <t xml:space="preserve">'Successful and Unsuccessful Logons'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ตั้งค่าแสดงข้อมูลการล็อกอินครั้งล่าสุด</t>
    </r>
    <r>
      <rPr>
        <rFont val="Calibri"/>
        <color theme="1"/>
        <sz val="14.0"/>
      </rPr>
      <t>/</t>
    </r>
    <r>
      <rPr>
        <rFont val="FreeSans"/>
        <color theme="1"/>
        <sz val="14.0"/>
      </rPr>
      <t>ที่ล้มเหลวเมื่อเข้าสู่ระบบ</t>
    </r>
  </si>
  <si>
    <t>ESBIT-AC-09(03)</t>
  </si>
  <si>
    <t>AC-09(03)</t>
  </si>
  <si>
    <t>Previous Logon Notification | Notification of Account Changes</t>
  </si>
  <si>
    <t>Enhances AC-09 (Previous Logon Notification): configure and enforce 'Notification of Account Changes' in addition to the base setting, keep it consistent across applicable systems and document approved exceptions. Base scope: Configure display of last successful/unsuccessful logon information at logon</t>
  </si>
  <si>
    <r>
      <rPr>
        <rFont val="FreeSans"/>
        <color theme="1"/>
        <sz val="14.0"/>
      </rPr>
      <t xml:space="preserve">ส่วนขยายของ </t>
    </r>
    <r>
      <rPr>
        <rFont val="Calibri"/>
        <color theme="1"/>
        <sz val="14.0"/>
      </rPr>
      <t xml:space="preserve">AC-09: </t>
    </r>
    <r>
      <rPr>
        <rFont val="FreeSans"/>
        <color theme="1"/>
        <sz val="14.0"/>
      </rPr>
      <t xml:space="preserve">กำหนดค่าและบังคับใช้ </t>
    </r>
    <r>
      <rPr>
        <rFont val="Calibri"/>
        <color theme="1"/>
        <sz val="14.0"/>
      </rPr>
      <t xml:space="preserve">'Notification of Account Changes'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ตั้งค่าแสดงข้อมูลการล็อกอินครั้งล่าสุด</t>
    </r>
    <r>
      <rPr>
        <rFont val="Calibri"/>
        <color theme="1"/>
        <sz val="14.0"/>
      </rPr>
      <t>/</t>
    </r>
    <r>
      <rPr>
        <rFont val="FreeSans"/>
        <color theme="1"/>
        <sz val="14.0"/>
      </rPr>
      <t>ที่ล้มเหลวเมื่อเข้าสู่ระบบ</t>
    </r>
  </si>
  <si>
    <t>ESBIT-AC-09(04)</t>
  </si>
  <si>
    <t>AC-09(04)</t>
  </si>
  <si>
    <t>Previous Logon Notification | Additional Logon Information</t>
  </si>
  <si>
    <t>Enhances AC-09 (Previous Logon Notification): configure and enforce 'Additional Logon Information' in addition to the base setting, keep it consistent across applicable systems and document approved exceptions. Base scope: Configure display of last successful/unsuccessful logon information at logon</t>
  </si>
  <si>
    <r>
      <rPr>
        <rFont val="FreeSans"/>
        <color theme="1"/>
        <sz val="14.0"/>
      </rPr>
      <t xml:space="preserve">ส่วนขยายของ </t>
    </r>
    <r>
      <rPr>
        <rFont val="Calibri"/>
        <color theme="1"/>
        <sz val="14.0"/>
      </rPr>
      <t xml:space="preserve">AC-09: </t>
    </r>
    <r>
      <rPr>
        <rFont val="FreeSans"/>
        <color theme="1"/>
        <sz val="14.0"/>
      </rPr>
      <t xml:space="preserve">กำหนดค่าและบังคับใช้ </t>
    </r>
    <r>
      <rPr>
        <rFont val="Calibri"/>
        <color theme="1"/>
        <sz val="14.0"/>
      </rPr>
      <t xml:space="preserve">'Additional Logon Information'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ตั้งค่าแสดงข้อมูลการล็อกอินครั้งล่าสุด</t>
    </r>
    <r>
      <rPr>
        <rFont val="Calibri"/>
        <color theme="1"/>
        <sz val="14.0"/>
      </rPr>
      <t>/</t>
    </r>
    <r>
      <rPr>
        <rFont val="FreeSans"/>
        <color theme="1"/>
        <sz val="14.0"/>
      </rPr>
      <t>ที่ล้มเหลวเมื่อเข้าสู่ระบบ</t>
    </r>
  </si>
  <si>
    <t>ESBIT-AC-10</t>
  </si>
  <si>
    <t>AC-10</t>
  </si>
  <si>
    <t>Concurrent Session Control</t>
  </si>
  <si>
    <t>Configure maximum concurrent sessions per account or account type</t>
  </si>
  <si>
    <r>
      <rPr>
        <rFont val="FreeSans"/>
        <color theme="1"/>
        <sz val="14.0"/>
      </rPr>
      <t xml:space="preserve">กำหนดจำนวน </t>
    </r>
    <r>
      <rPr>
        <rFont val="Calibri"/>
        <color theme="1"/>
        <sz val="14.0"/>
      </rPr>
      <t xml:space="preserve">Session </t>
    </r>
    <r>
      <rPr>
        <rFont val="FreeSans"/>
        <color theme="1"/>
        <sz val="14.0"/>
      </rPr>
      <t>พร้อมกันสูงสุดต่อบัญชีหรือประเภทบัญชี</t>
    </r>
  </si>
  <si>
    <t>Identity &amp; Access Management, Application/Software, Database</t>
  </si>
  <si>
    <t>ESBIT-AC-11</t>
  </si>
  <si>
    <t>AC-11</t>
  </si>
  <si>
    <t>Device Lock</t>
  </si>
  <si>
    <t>Configure screen lock / session lock after inactivity on workstations, servers, jump hosts and mobile devices</t>
  </si>
  <si>
    <r>
      <rPr>
        <rFont val="FreeSans"/>
        <color theme="1"/>
        <sz val="14.0"/>
      </rPr>
      <t xml:space="preserve">ตั้งค่า </t>
    </r>
    <r>
      <rPr>
        <rFont val="Calibri"/>
        <color theme="1"/>
        <sz val="14.0"/>
      </rPr>
      <t xml:space="preserve">Screen Lock/Session Lock </t>
    </r>
    <r>
      <rPr>
        <rFont val="FreeSans"/>
        <color theme="1"/>
        <sz val="14.0"/>
      </rPr>
      <t xml:space="preserve">เมื่อไม่มีการใช้งานบนเครื่องผู้ใช้ เซิร์ฟเวอร์ </t>
    </r>
    <r>
      <rPr>
        <rFont val="Calibri"/>
        <color theme="1"/>
        <sz val="14.0"/>
      </rPr>
      <t xml:space="preserve">Jump Host </t>
    </r>
    <r>
      <rPr>
        <rFont val="FreeSans"/>
        <color theme="1"/>
        <sz val="14.0"/>
      </rPr>
      <t>และมือถือ</t>
    </r>
  </si>
  <si>
    <t>Endpoint/Mobile, Infrastructure (Server/OS)</t>
  </si>
  <si>
    <t>ESBIT-AC-11(01)</t>
  </si>
  <si>
    <t>AC-11(01)</t>
  </si>
  <si>
    <t>Device Lock | Pattern-hiding Displays</t>
  </si>
  <si>
    <t>Enhances AC-11 (Device Lock): configure and enforce 'Pattern-hiding Displays' in addition to the base setting, keep it consistent across applicable systems and document approved exceptions. Base scope: Configure screen lock / session lock after inactivity on workstations, servers, jump hosts and mobile devices</t>
  </si>
  <si>
    <r>
      <rPr>
        <rFont val="FreeSans"/>
        <color theme="1"/>
        <sz val="14.0"/>
      </rPr>
      <t xml:space="preserve">ส่วนขยายของ </t>
    </r>
    <r>
      <rPr>
        <rFont val="Calibri"/>
        <color theme="1"/>
        <sz val="14.0"/>
      </rPr>
      <t xml:space="preserve">AC-11: </t>
    </r>
    <r>
      <rPr>
        <rFont val="FreeSans"/>
        <color theme="1"/>
        <sz val="14.0"/>
      </rPr>
      <t xml:space="preserve">กำหนดค่าและบังคับใช้ </t>
    </r>
    <r>
      <rPr>
        <rFont val="Calibri"/>
        <color theme="1"/>
        <sz val="14.0"/>
      </rPr>
      <t xml:space="preserve">'Pattern-hiding Displays'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Screen Lock/Session Lock </t>
    </r>
    <r>
      <rPr>
        <rFont val="FreeSans"/>
        <color theme="1"/>
        <sz val="14.0"/>
      </rPr>
      <t xml:space="preserve">เมื่อไม่มีการใช้งานบนเครื่องผู้ใช้ เซิร์ฟเวอร์ </t>
    </r>
    <r>
      <rPr>
        <rFont val="Calibri"/>
        <color theme="1"/>
        <sz val="14.0"/>
      </rPr>
      <t xml:space="preserve">Jump Host </t>
    </r>
    <r>
      <rPr>
        <rFont val="FreeSans"/>
        <color theme="1"/>
        <sz val="14.0"/>
      </rPr>
      <t>และมือถือ</t>
    </r>
  </si>
  <si>
    <t>ESBIT-AC-12</t>
  </si>
  <si>
    <t>AC-12</t>
  </si>
  <si>
    <t>Session Termination</t>
  </si>
  <si>
    <t>Configure automatic session timeout and forced logout for SSH, RDP, VPN, web, database and console sessions</t>
  </si>
  <si>
    <r>
      <rPr>
        <rFont val="FreeSans"/>
        <color theme="1"/>
        <sz val="14.0"/>
      </rPr>
      <t xml:space="preserve">ตั้งค่า </t>
    </r>
    <r>
      <rPr>
        <rFont val="Calibri"/>
        <color theme="1"/>
        <sz val="14.0"/>
      </rPr>
      <t xml:space="preserve">Session Timeout </t>
    </r>
    <r>
      <rPr>
        <rFont val="FreeSans"/>
        <color theme="1"/>
        <sz val="14.0"/>
      </rPr>
      <t xml:space="preserve">และบังคับ </t>
    </r>
    <r>
      <rPr>
        <rFont val="Calibri"/>
        <color theme="1"/>
        <sz val="14.0"/>
      </rPr>
      <t xml:space="preserve">Logout </t>
    </r>
    <r>
      <rPr>
        <rFont val="FreeSans"/>
        <color theme="1"/>
        <sz val="14.0"/>
      </rPr>
      <t xml:space="preserve">อัตโนมัติสำหรับ </t>
    </r>
    <r>
      <rPr>
        <rFont val="Calibri"/>
        <color theme="1"/>
        <sz val="14.0"/>
      </rPr>
      <t>SSH/RDP/VPN/Web/DB/Console</t>
    </r>
  </si>
  <si>
    <t>Identity &amp; Access Management, Application/Software, Network, Database</t>
  </si>
  <si>
    <t>ESBIT-AC-12(01)</t>
  </si>
  <si>
    <t>AC-12(01)</t>
  </si>
  <si>
    <t>Session Termination | User-initiated Logouts</t>
  </si>
  <si>
    <t>Enhances AC-12 (Session Termination): configure and enforce 'User-initiated Logouts' in addition to the base setting, keep it consistent across applicable systems and document approved exceptions. Base scope: Configure automatic session timeout and forced logout for SSH, RDP, VPN, web, database and console sessions</t>
  </si>
  <si>
    <r>
      <rPr>
        <rFont val="FreeSans"/>
        <color theme="1"/>
        <sz val="14.0"/>
      </rPr>
      <t xml:space="preserve">ส่วนขยายของ </t>
    </r>
    <r>
      <rPr>
        <rFont val="Calibri"/>
        <color theme="1"/>
        <sz val="14.0"/>
      </rPr>
      <t xml:space="preserve">AC-12: </t>
    </r>
    <r>
      <rPr>
        <rFont val="FreeSans"/>
        <color theme="1"/>
        <sz val="14.0"/>
      </rPr>
      <t xml:space="preserve">กำหนดค่าและบังคับใช้ </t>
    </r>
    <r>
      <rPr>
        <rFont val="Calibri"/>
        <color theme="1"/>
        <sz val="14.0"/>
      </rPr>
      <t xml:space="preserve">'User-initiated Logouts'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Session Timeout </t>
    </r>
    <r>
      <rPr>
        <rFont val="FreeSans"/>
        <color theme="1"/>
        <sz val="14.0"/>
      </rPr>
      <t xml:space="preserve">และบังคับ </t>
    </r>
    <r>
      <rPr>
        <rFont val="Calibri"/>
        <color theme="1"/>
        <sz val="14.0"/>
      </rPr>
      <t xml:space="preserve">Logout </t>
    </r>
    <r>
      <rPr>
        <rFont val="FreeSans"/>
        <color theme="1"/>
        <sz val="14.0"/>
      </rPr>
      <t xml:space="preserve">อัตโนมัติสำหรับ </t>
    </r>
    <r>
      <rPr>
        <rFont val="Calibri"/>
        <color theme="1"/>
        <sz val="14.0"/>
      </rPr>
      <t>SSH/RDP/VPN/Web/DB/Console</t>
    </r>
  </si>
  <si>
    <t>ESBIT-AC-14</t>
  </si>
  <si>
    <t>AC-14</t>
  </si>
  <si>
    <t>Permitted Actions Without Identification or Authentication</t>
  </si>
  <si>
    <t>Identify and restrict actions allowed without authentication such as public pages and health checks</t>
  </si>
  <si>
    <r>
      <rPr>
        <rFont val="FreeSans"/>
        <color theme="1"/>
        <sz val="14.0"/>
      </rPr>
      <t xml:space="preserve">ระบุและจำกัดการกระทำที่ทำได้โดยไม่ต้องพิสูจน์ตัวตน เช่น หน้าเว็บสาธารณะและ </t>
    </r>
    <r>
      <rPr>
        <rFont val="Calibri"/>
        <color theme="1"/>
        <sz val="14.0"/>
      </rPr>
      <t>Health Check</t>
    </r>
  </si>
  <si>
    <t>Application/Software, Network</t>
  </si>
  <si>
    <t>ESBIT-AC-16</t>
  </si>
  <si>
    <t>AC-16</t>
  </si>
  <si>
    <t>Security and Privacy Attributes</t>
  </si>
  <si>
    <t>PR.DS - Data Security</t>
  </si>
  <si>
    <t>PR.DS-01</t>
  </si>
  <si>
    <t>The confidentiality, integrity, and availability of data-at-rest are protected</t>
  </si>
  <si>
    <t>Configure security labels and attributes on data, users and processes such as classification tags</t>
  </si>
  <si>
    <r>
      <rPr>
        <rFont val="FreeSans"/>
        <color theme="1"/>
        <sz val="14.0"/>
      </rPr>
      <t>กำหนดป้ายกำกับ</t>
    </r>
    <r>
      <rPr>
        <rFont val="Calibri"/>
        <color theme="1"/>
        <sz val="14.0"/>
      </rPr>
      <t>/</t>
    </r>
    <r>
      <rPr>
        <rFont val="FreeSans"/>
        <color theme="1"/>
        <sz val="14.0"/>
      </rPr>
      <t xml:space="preserve">แอตทริบิวต์ด้านความปลอดภัย เช่น </t>
    </r>
    <r>
      <rPr>
        <rFont val="Calibri"/>
        <color theme="1"/>
        <sz val="14.0"/>
      </rPr>
      <t xml:space="preserve">Data Classification Tag </t>
    </r>
    <r>
      <rPr>
        <rFont val="FreeSans"/>
        <color theme="1"/>
        <sz val="14.0"/>
      </rPr>
      <t>บนข้อมูล ผู้ใช้ และโปรเซส</t>
    </r>
  </si>
  <si>
    <t>Data Protection/Storage, Application/Software</t>
  </si>
  <si>
    <t>ESBIT-AC-16(01)</t>
  </si>
  <si>
    <t>AC-16(01)</t>
  </si>
  <si>
    <t>Security and Privacy Attributes | Dynamic Attribute Association</t>
  </si>
  <si>
    <t>Enhances AC-16 (Security and Privacy Attributes): configure and enforce 'Dynamic Attribute Association' in addition to the base setting, keep it consistent across applicable systems and document approved exceptions. Base scope: Configure security labels and attributes on data, users and processes such as classification tags</t>
  </si>
  <si>
    <r>
      <rPr>
        <rFont val="FreeSans"/>
        <color theme="1"/>
        <sz val="14.0"/>
      </rPr>
      <t xml:space="preserve">ส่วนขยายของ </t>
    </r>
    <r>
      <rPr>
        <rFont val="Calibri"/>
        <color theme="1"/>
        <sz val="14.0"/>
      </rPr>
      <t xml:space="preserve">AC-16: </t>
    </r>
    <r>
      <rPr>
        <rFont val="FreeSans"/>
        <color theme="1"/>
        <sz val="14.0"/>
      </rPr>
      <t xml:space="preserve">กำหนดค่าและบังคับใช้ </t>
    </r>
    <r>
      <rPr>
        <rFont val="Calibri"/>
        <color theme="1"/>
        <sz val="14.0"/>
      </rPr>
      <t xml:space="preserve">'Dynamic Attribute Association'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กำหนดป้ายกำกับ</t>
    </r>
    <r>
      <rPr>
        <rFont val="Calibri"/>
        <color theme="1"/>
        <sz val="14.0"/>
      </rPr>
      <t>/</t>
    </r>
    <r>
      <rPr>
        <rFont val="FreeSans"/>
        <color theme="1"/>
        <sz val="14.0"/>
      </rPr>
      <t xml:space="preserve">แอตทริบิวต์ด้านความปลอดภัย เช่น </t>
    </r>
    <r>
      <rPr>
        <rFont val="Calibri"/>
        <color theme="1"/>
        <sz val="14.0"/>
      </rPr>
      <t xml:space="preserve">Data Classification Tag </t>
    </r>
    <r>
      <rPr>
        <rFont val="FreeSans"/>
        <color theme="1"/>
        <sz val="14.0"/>
      </rPr>
      <t>บนข้อมูล ผู้ใช้ และโปรเซส</t>
    </r>
  </si>
  <si>
    <t>ESBIT-AC-16(02)</t>
  </si>
  <si>
    <t>AC-16(02)</t>
  </si>
  <si>
    <t>Security and Privacy Attributes | Attribute Value Changes by Authorized Individuals</t>
  </si>
  <si>
    <t>Enhances AC-16 (Security and Privacy Attributes): configure and enforce 'Attribute Value Changes by Authorized Individuals' in addition to the base setting, keep it consistent across applicable systems and document approved exceptions. Base scope: Configure security labels and attributes on data, users and processes such as classification tags</t>
  </si>
  <si>
    <r>
      <rPr>
        <rFont val="FreeSans"/>
        <color theme="1"/>
        <sz val="14.0"/>
      </rPr>
      <t xml:space="preserve">ส่วนขยายของ </t>
    </r>
    <r>
      <rPr>
        <rFont val="Calibri"/>
        <color theme="1"/>
        <sz val="14.0"/>
      </rPr>
      <t xml:space="preserve">AC-16: </t>
    </r>
    <r>
      <rPr>
        <rFont val="FreeSans"/>
        <color theme="1"/>
        <sz val="14.0"/>
      </rPr>
      <t xml:space="preserve">กำหนดค่าและบังคับใช้ </t>
    </r>
    <r>
      <rPr>
        <rFont val="Calibri"/>
        <color theme="1"/>
        <sz val="14.0"/>
      </rPr>
      <t xml:space="preserve">'Attribute Value Changes by Authorized Individuals'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กำหนดป้ายกำกับ</t>
    </r>
    <r>
      <rPr>
        <rFont val="Calibri"/>
        <color theme="1"/>
        <sz val="14.0"/>
      </rPr>
      <t>/</t>
    </r>
    <r>
      <rPr>
        <rFont val="FreeSans"/>
        <color theme="1"/>
        <sz val="14.0"/>
      </rPr>
      <t xml:space="preserve">แอตทริบิวต์ด้านความปลอดภัย เช่น </t>
    </r>
    <r>
      <rPr>
        <rFont val="Calibri"/>
        <color theme="1"/>
        <sz val="14.0"/>
      </rPr>
      <t xml:space="preserve">Data Classification Tag </t>
    </r>
    <r>
      <rPr>
        <rFont val="FreeSans"/>
        <color theme="1"/>
        <sz val="14.0"/>
      </rPr>
      <t>บนข้อมูล ผู้ใช้ และโปรเซส</t>
    </r>
  </si>
  <si>
    <t>ESBIT-AC-16(03)</t>
  </si>
  <si>
    <t>AC-16(03)</t>
  </si>
  <si>
    <t>Security and Privacy Attributes | Maintenance of Attribute Associations by System</t>
  </si>
  <si>
    <t>Enhances AC-16 (Security and Privacy Attributes): configure and enforce 'Maintenance of Attribute Associations by System' in addition to the base setting, keep it consistent across applicable systems and document approved exceptions. Base scope: Configure security labels and attributes on data, users and processes such as classification tags</t>
  </si>
  <si>
    <r>
      <rPr>
        <rFont val="FreeSans"/>
        <color theme="1"/>
        <sz val="14.0"/>
      </rPr>
      <t xml:space="preserve">ส่วนขยายของ </t>
    </r>
    <r>
      <rPr>
        <rFont val="Calibri"/>
        <color theme="1"/>
        <sz val="14.0"/>
      </rPr>
      <t xml:space="preserve">AC-16: </t>
    </r>
    <r>
      <rPr>
        <rFont val="FreeSans"/>
        <color theme="1"/>
        <sz val="14.0"/>
      </rPr>
      <t xml:space="preserve">กำหนดค่าและบังคับใช้ </t>
    </r>
    <r>
      <rPr>
        <rFont val="Calibri"/>
        <color theme="1"/>
        <sz val="14.0"/>
      </rPr>
      <t xml:space="preserve">'Maintenance of Attribute Associations by System'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กำหนดป้ายกำกับ</t>
    </r>
    <r>
      <rPr>
        <rFont val="Calibri"/>
        <color theme="1"/>
        <sz val="14.0"/>
      </rPr>
      <t>/</t>
    </r>
    <r>
      <rPr>
        <rFont val="FreeSans"/>
        <color theme="1"/>
        <sz val="14.0"/>
      </rPr>
      <t xml:space="preserve">แอตทริบิวต์ด้านความปลอดภัย เช่น </t>
    </r>
    <r>
      <rPr>
        <rFont val="Calibri"/>
        <color theme="1"/>
        <sz val="14.0"/>
      </rPr>
      <t xml:space="preserve">Data Classification Tag </t>
    </r>
    <r>
      <rPr>
        <rFont val="FreeSans"/>
        <color theme="1"/>
        <sz val="14.0"/>
      </rPr>
      <t>บนข้อมูล ผู้ใช้ และโปรเซส</t>
    </r>
  </si>
  <si>
    <t>ESBIT-AC-16(04)</t>
  </si>
  <si>
    <t>AC-16(04)</t>
  </si>
  <si>
    <t>Security and Privacy Attributes | Association of Attributes by Authorized Individuals</t>
  </si>
  <si>
    <t>Enhances AC-16 (Security and Privacy Attributes): configure and enforce 'Association of Attributes by Authorized Individuals' in addition to the base setting, keep it consistent across applicable systems and document approved exceptions. Base scope: Configure security labels and attributes on data, users and processes such as classification tags</t>
  </si>
  <si>
    <r>
      <rPr>
        <rFont val="FreeSans"/>
        <color theme="1"/>
        <sz val="14.0"/>
      </rPr>
      <t xml:space="preserve">ส่วนขยายของ </t>
    </r>
    <r>
      <rPr>
        <rFont val="Calibri"/>
        <color theme="1"/>
        <sz val="14.0"/>
      </rPr>
      <t xml:space="preserve">AC-16: </t>
    </r>
    <r>
      <rPr>
        <rFont val="FreeSans"/>
        <color theme="1"/>
        <sz val="14.0"/>
      </rPr>
      <t xml:space="preserve">กำหนดค่าและบังคับใช้ </t>
    </r>
    <r>
      <rPr>
        <rFont val="Calibri"/>
        <color theme="1"/>
        <sz val="14.0"/>
      </rPr>
      <t xml:space="preserve">'Association of Attributes by Authorized Individuals'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กำหนดป้ายกำกับ</t>
    </r>
    <r>
      <rPr>
        <rFont val="Calibri"/>
        <color theme="1"/>
        <sz val="14.0"/>
      </rPr>
      <t>/</t>
    </r>
    <r>
      <rPr>
        <rFont val="FreeSans"/>
        <color theme="1"/>
        <sz val="14.0"/>
      </rPr>
      <t xml:space="preserve">แอตทริบิวต์ด้านความปลอดภัย เช่น </t>
    </r>
    <r>
      <rPr>
        <rFont val="Calibri"/>
        <color theme="1"/>
        <sz val="14.0"/>
      </rPr>
      <t xml:space="preserve">Data Classification Tag </t>
    </r>
    <r>
      <rPr>
        <rFont val="FreeSans"/>
        <color theme="1"/>
        <sz val="14.0"/>
      </rPr>
      <t>บนข้อมูล ผู้ใช้ และโปรเซส</t>
    </r>
  </si>
  <si>
    <t>ESBIT-AC-16(05)</t>
  </si>
  <si>
    <t>AC-16(05)</t>
  </si>
  <si>
    <t>Security and Privacy Attributes | Attribute Displays on Objects to Be Output</t>
  </si>
  <si>
    <t>Enhances AC-16 (Security and Privacy Attributes): configure and enforce 'Attribute Displays on Objects to Be Output' in addition to the base setting, keep it consistent across applicable systems and document approved exceptions. Base scope: Configure security labels and attributes on data, users and processes such as classification tags</t>
  </si>
  <si>
    <r>
      <rPr>
        <rFont val="FreeSans"/>
        <color theme="1"/>
        <sz val="14.0"/>
      </rPr>
      <t xml:space="preserve">ส่วนขยายของ </t>
    </r>
    <r>
      <rPr>
        <rFont val="Calibri"/>
        <color theme="1"/>
        <sz val="14.0"/>
      </rPr>
      <t xml:space="preserve">AC-16: </t>
    </r>
    <r>
      <rPr>
        <rFont val="FreeSans"/>
        <color theme="1"/>
        <sz val="14.0"/>
      </rPr>
      <t xml:space="preserve">กำหนดค่าและบังคับใช้ </t>
    </r>
    <r>
      <rPr>
        <rFont val="Calibri"/>
        <color theme="1"/>
        <sz val="14.0"/>
      </rPr>
      <t xml:space="preserve">'Attribute Displays on Objects to Be Output'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กำหนดป้ายกำกับ</t>
    </r>
    <r>
      <rPr>
        <rFont val="Calibri"/>
        <color theme="1"/>
        <sz val="14.0"/>
      </rPr>
      <t>/</t>
    </r>
    <r>
      <rPr>
        <rFont val="FreeSans"/>
        <color theme="1"/>
        <sz val="14.0"/>
      </rPr>
      <t xml:space="preserve">แอตทริบิวต์ด้านความปลอดภัย เช่น </t>
    </r>
    <r>
      <rPr>
        <rFont val="Calibri"/>
        <color theme="1"/>
        <sz val="14.0"/>
      </rPr>
      <t xml:space="preserve">Data Classification Tag </t>
    </r>
    <r>
      <rPr>
        <rFont val="FreeSans"/>
        <color theme="1"/>
        <sz val="14.0"/>
      </rPr>
      <t>บนข้อมูล ผู้ใช้ และโปรเซส</t>
    </r>
  </si>
  <si>
    <t>ESBIT-AC-16(06)</t>
  </si>
  <si>
    <t>AC-16(06)</t>
  </si>
  <si>
    <t>Security and Privacy Attributes | Maintenance of Attribute Association</t>
  </si>
  <si>
    <t>Enhances AC-16 (Security and Privacy Attributes): configure and enforce 'Maintenance of Attribute Association' in addition to the base setting, keep it consistent across applicable systems and document approved exceptions. Base scope: Configure security labels and attributes on data, users and processes such as classification tags</t>
  </si>
  <si>
    <r>
      <rPr>
        <rFont val="FreeSans"/>
        <color theme="1"/>
        <sz val="14.0"/>
      </rPr>
      <t xml:space="preserve">ส่วนขยายของ </t>
    </r>
    <r>
      <rPr>
        <rFont val="Calibri"/>
        <color theme="1"/>
        <sz val="14.0"/>
      </rPr>
      <t xml:space="preserve">AC-16: </t>
    </r>
    <r>
      <rPr>
        <rFont val="FreeSans"/>
        <color theme="1"/>
        <sz val="14.0"/>
      </rPr>
      <t xml:space="preserve">กำหนดค่าและบังคับใช้ </t>
    </r>
    <r>
      <rPr>
        <rFont val="Calibri"/>
        <color theme="1"/>
        <sz val="14.0"/>
      </rPr>
      <t xml:space="preserve">'Maintenance of Attribute Association'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กำหนดป้ายกำกับ</t>
    </r>
    <r>
      <rPr>
        <rFont val="Calibri"/>
        <color theme="1"/>
        <sz val="14.0"/>
      </rPr>
      <t>/</t>
    </r>
    <r>
      <rPr>
        <rFont val="FreeSans"/>
        <color theme="1"/>
        <sz val="14.0"/>
      </rPr>
      <t xml:space="preserve">แอตทริบิวต์ด้านความปลอดภัย เช่น </t>
    </r>
    <r>
      <rPr>
        <rFont val="Calibri"/>
        <color theme="1"/>
        <sz val="14.0"/>
      </rPr>
      <t xml:space="preserve">Data Classification Tag </t>
    </r>
    <r>
      <rPr>
        <rFont val="FreeSans"/>
        <color theme="1"/>
        <sz val="14.0"/>
      </rPr>
      <t>บนข้อมูล ผู้ใช้ และโปรเซส</t>
    </r>
  </si>
  <si>
    <t>ESBIT-AC-16(07)</t>
  </si>
  <si>
    <t>AC-16(07)</t>
  </si>
  <si>
    <t>Security and Privacy Attributes | Consistent Attribute Interpretation</t>
  </si>
  <si>
    <t>Enhances AC-16 (Security and Privacy Attributes): configure and enforce 'Consistent Attribute Interpretation' in addition to the base setting, keep it consistent across applicable systems and document approved exceptions. Base scope: Configure security labels and attributes on data, users and processes such as classification tags</t>
  </si>
  <si>
    <r>
      <rPr>
        <rFont val="FreeSans"/>
        <color theme="1"/>
        <sz val="14.0"/>
      </rPr>
      <t xml:space="preserve">ส่วนขยายของ </t>
    </r>
    <r>
      <rPr>
        <rFont val="Calibri"/>
        <color theme="1"/>
        <sz val="14.0"/>
      </rPr>
      <t xml:space="preserve">AC-16: </t>
    </r>
    <r>
      <rPr>
        <rFont val="FreeSans"/>
        <color theme="1"/>
        <sz val="14.0"/>
      </rPr>
      <t xml:space="preserve">กำหนดค่าและบังคับใช้ </t>
    </r>
    <r>
      <rPr>
        <rFont val="Calibri"/>
        <color theme="1"/>
        <sz val="14.0"/>
      </rPr>
      <t xml:space="preserve">'Consistent Attribute Interpretation'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กำหนดป้ายกำกับ</t>
    </r>
    <r>
      <rPr>
        <rFont val="Calibri"/>
        <color theme="1"/>
        <sz val="14.0"/>
      </rPr>
      <t>/</t>
    </r>
    <r>
      <rPr>
        <rFont val="FreeSans"/>
        <color theme="1"/>
        <sz val="14.0"/>
      </rPr>
      <t xml:space="preserve">แอตทริบิวต์ด้านความปลอดภัย เช่น </t>
    </r>
    <r>
      <rPr>
        <rFont val="Calibri"/>
        <color theme="1"/>
        <sz val="14.0"/>
      </rPr>
      <t xml:space="preserve">Data Classification Tag </t>
    </r>
    <r>
      <rPr>
        <rFont val="FreeSans"/>
        <color theme="1"/>
        <sz val="14.0"/>
      </rPr>
      <t>บนข้อมูล ผู้ใช้ และโปรเซส</t>
    </r>
  </si>
  <si>
    <t>ESBIT-AC-16(08)</t>
  </si>
  <si>
    <t>AC-16(08)</t>
  </si>
  <si>
    <t>Security and Privacy Attributes | Association Techniques and Technologies</t>
  </si>
  <si>
    <t>Enhances AC-16 (Security and Privacy Attributes): configure and enforce 'Association Techniques and Technologies' in addition to the base setting, keep it consistent across applicable systems and document approved exceptions. Base scope: Configure security labels and attributes on data, users and processes such as classification tags</t>
  </si>
  <si>
    <r>
      <rPr>
        <rFont val="FreeSans"/>
        <color theme="1"/>
        <sz val="14.0"/>
      </rPr>
      <t xml:space="preserve">ส่วนขยายของ </t>
    </r>
    <r>
      <rPr>
        <rFont val="Calibri"/>
        <color theme="1"/>
        <sz val="14.0"/>
      </rPr>
      <t xml:space="preserve">AC-16: </t>
    </r>
    <r>
      <rPr>
        <rFont val="FreeSans"/>
        <color theme="1"/>
        <sz val="14.0"/>
      </rPr>
      <t xml:space="preserve">กำหนดค่าและบังคับใช้ </t>
    </r>
    <r>
      <rPr>
        <rFont val="Calibri"/>
        <color theme="1"/>
        <sz val="14.0"/>
      </rPr>
      <t xml:space="preserve">'Association Techniques and Technologies'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กำหนดป้ายกำกับ</t>
    </r>
    <r>
      <rPr>
        <rFont val="Calibri"/>
        <color theme="1"/>
        <sz val="14.0"/>
      </rPr>
      <t>/</t>
    </r>
    <r>
      <rPr>
        <rFont val="FreeSans"/>
        <color theme="1"/>
        <sz val="14.0"/>
      </rPr>
      <t xml:space="preserve">แอตทริบิวต์ด้านความปลอดภัย เช่น </t>
    </r>
    <r>
      <rPr>
        <rFont val="Calibri"/>
        <color theme="1"/>
        <sz val="14.0"/>
      </rPr>
      <t xml:space="preserve">Data Classification Tag </t>
    </r>
    <r>
      <rPr>
        <rFont val="FreeSans"/>
        <color theme="1"/>
        <sz val="14.0"/>
      </rPr>
      <t>บนข้อมูล ผู้ใช้ และโปรเซส</t>
    </r>
  </si>
  <si>
    <t>ESBIT-AC-16(09)</t>
  </si>
  <si>
    <t>AC-16(09)</t>
  </si>
  <si>
    <t>Security and Privacy Attributes | Attribute Reassignment - Regrading Mechanisms</t>
  </si>
  <si>
    <t>Enhances AC-16 (Security and Privacy Attributes): configure and enforce 'Attribute Reassignment - Regrading Mechanisms' in addition to the base setting, keep it consistent across applicable systems and document approved exceptions. Base scope: Configure security labels and attributes on data, users and processes such as classification tags</t>
  </si>
  <si>
    <r>
      <rPr>
        <rFont val="FreeSans"/>
        <color theme="1"/>
        <sz val="14.0"/>
      </rPr>
      <t xml:space="preserve">ส่วนขยายของ </t>
    </r>
    <r>
      <rPr>
        <rFont val="Calibri"/>
        <color theme="1"/>
        <sz val="14.0"/>
      </rPr>
      <t xml:space="preserve">AC-16: </t>
    </r>
    <r>
      <rPr>
        <rFont val="FreeSans"/>
        <color theme="1"/>
        <sz val="14.0"/>
      </rPr>
      <t xml:space="preserve">กำหนดค่าและบังคับใช้ </t>
    </r>
    <r>
      <rPr>
        <rFont val="Calibri"/>
        <color theme="1"/>
        <sz val="14.0"/>
      </rPr>
      <t xml:space="preserve">'Attribute Reassignment - Regrading Mechanisms'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กำหนดป้ายกำกับ</t>
    </r>
    <r>
      <rPr>
        <rFont val="Calibri"/>
        <color theme="1"/>
        <sz val="14.0"/>
      </rPr>
      <t>/</t>
    </r>
    <r>
      <rPr>
        <rFont val="FreeSans"/>
        <color theme="1"/>
        <sz val="14.0"/>
      </rPr>
      <t xml:space="preserve">แอตทริบิวต์ด้านความปลอดภัย เช่น </t>
    </r>
    <r>
      <rPr>
        <rFont val="Calibri"/>
        <color theme="1"/>
        <sz val="14.0"/>
      </rPr>
      <t xml:space="preserve">Data Classification Tag </t>
    </r>
    <r>
      <rPr>
        <rFont val="FreeSans"/>
        <color theme="1"/>
        <sz val="14.0"/>
      </rPr>
      <t>บนข้อมูล ผู้ใช้ และโปรเซส</t>
    </r>
  </si>
  <si>
    <t>ESBIT-AC-16(10)</t>
  </si>
  <si>
    <t>AC-16(10)</t>
  </si>
  <si>
    <t>Security and Privacy Attributes | Attribute Configuration by Authorized Individuals</t>
  </si>
  <si>
    <t>Enhances AC-16 (Security and Privacy Attributes): configure and enforce 'Attribute Configuration by Authorized Individuals' in addition to the base setting, keep it consistent across applicable systems and document approved exceptions. Base scope: Configure security labels and attributes on data, users and processes such as classification tags</t>
  </si>
  <si>
    <r>
      <rPr>
        <rFont val="FreeSans"/>
        <color theme="1"/>
        <sz val="14.0"/>
      </rPr>
      <t xml:space="preserve">ส่วนขยายของ </t>
    </r>
    <r>
      <rPr>
        <rFont val="Calibri"/>
        <color theme="1"/>
        <sz val="14.0"/>
      </rPr>
      <t xml:space="preserve">AC-16: </t>
    </r>
    <r>
      <rPr>
        <rFont val="FreeSans"/>
        <color theme="1"/>
        <sz val="14.0"/>
      </rPr>
      <t xml:space="preserve">กำหนดค่าและบังคับใช้ </t>
    </r>
    <r>
      <rPr>
        <rFont val="Calibri"/>
        <color theme="1"/>
        <sz val="14.0"/>
      </rPr>
      <t xml:space="preserve">'Attribute Configuration by Authorized Individuals'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กำหนดป้ายกำกับ</t>
    </r>
    <r>
      <rPr>
        <rFont val="Calibri"/>
        <color theme="1"/>
        <sz val="14.0"/>
      </rPr>
      <t>/</t>
    </r>
    <r>
      <rPr>
        <rFont val="FreeSans"/>
        <color theme="1"/>
        <sz val="14.0"/>
      </rPr>
      <t xml:space="preserve">แอตทริบิวต์ด้านความปลอดภัย เช่น </t>
    </r>
    <r>
      <rPr>
        <rFont val="Calibri"/>
        <color theme="1"/>
        <sz val="14.0"/>
      </rPr>
      <t xml:space="preserve">Data Classification Tag </t>
    </r>
    <r>
      <rPr>
        <rFont val="FreeSans"/>
        <color theme="1"/>
        <sz val="14.0"/>
      </rPr>
      <t>บนข้อมูล ผู้ใช้ และโปรเซส</t>
    </r>
  </si>
  <si>
    <t>ESBIT-AC-17</t>
  </si>
  <si>
    <t>AC-17</t>
  </si>
  <si>
    <t>Remote Access</t>
  </si>
  <si>
    <t>Configure VPN/remote access gateways, MFA, encryption, allowed protocols, session limits and logging for all remote administration</t>
  </si>
  <si>
    <r>
      <rPr>
        <rFont val="FreeSans"/>
        <color theme="1"/>
        <sz val="14.0"/>
      </rPr>
      <t xml:space="preserve">ตั้งค่า </t>
    </r>
    <r>
      <rPr>
        <rFont val="Calibri"/>
        <color theme="1"/>
        <sz val="14.0"/>
      </rPr>
      <t xml:space="preserve">VPN/Remote Access Gateway, MFA, </t>
    </r>
    <r>
      <rPr>
        <rFont val="FreeSans"/>
        <color theme="1"/>
        <sz val="14.0"/>
      </rPr>
      <t>การเข้ารหัส</t>
    </r>
    <r>
      <rPr>
        <rFont val="Calibri"/>
        <color theme="1"/>
        <sz val="14.0"/>
      </rPr>
      <t xml:space="preserve">, </t>
    </r>
    <r>
      <rPr>
        <rFont val="FreeSans"/>
        <color theme="1"/>
        <sz val="14.0"/>
      </rPr>
      <t>โปรโตคอลที่อนุญาต และการบันทึกล็อกสำหรับการเข้าถึงระยะไกล</t>
    </r>
  </si>
  <si>
    <t>Network, Cloud, Identity &amp; Access Management</t>
  </si>
  <si>
    <t>ESBIT-AC-17(01)</t>
  </si>
  <si>
    <t>AC-17(01)</t>
  </si>
  <si>
    <t>Remote Access | Monitoring and Control</t>
  </si>
  <si>
    <t>Enhances AC-17 (Remote Access): configure and enforce 'Monitoring and Control' in addition to the base setting, keep it consistent across applicable systems and document approved exceptions. Base scope: Configure VPN/remote access gateways, MFA, encryption, allowed protocols, session limits and logging for all remote administration</t>
  </si>
  <si>
    <r>
      <rPr>
        <rFont val="FreeSans"/>
        <color theme="1"/>
        <sz val="14.0"/>
      </rPr>
      <t xml:space="preserve">ส่วนขยายของ </t>
    </r>
    <r>
      <rPr>
        <rFont val="Calibri"/>
        <color theme="1"/>
        <sz val="14.0"/>
      </rPr>
      <t xml:space="preserve">AC-17: </t>
    </r>
    <r>
      <rPr>
        <rFont val="FreeSans"/>
        <color theme="1"/>
        <sz val="14.0"/>
      </rPr>
      <t xml:space="preserve">กำหนดค่าและบังคับใช้ </t>
    </r>
    <r>
      <rPr>
        <rFont val="Calibri"/>
        <color theme="1"/>
        <sz val="14.0"/>
      </rPr>
      <t xml:space="preserve">'Monitoring and Control'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VPN/Remote Access Gateway, MFA, </t>
    </r>
    <r>
      <rPr>
        <rFont val="FreeSans"/>
        <color theme="1"/>
        <sz val="14.0"/>
      </rPr>
      <t>การเข้ารหัส</t>
    </r>
    <r>
      <rPr>
        <rFont val="Calibri"/>
        <color theme="1"/>
        <sz val="14.0"/>
      </rPr>
      <t xml:space="preserve">, </t>
    </r>
    <r>
      <rPr>
        <rFont val="FreeSans"/>
        <color theme="1"/>
        <sz val="14.0"/>
      </rPr>
      <t>โปรโตคอลที่อนุญาต และการบันทึกล็อกสำหรับการเข้าถึงระยะไกล</t>
    </r>
  </si>
  <si>
    <t>ESBIT-AC-17(02)</t>
  </si>
  <si>
    <t>AC-17(02)</t>
  </si>
  <si>
    <t>Remote Access | Protection of Confidentiality and Integrity Using Encryption</t>
  </si>
  <si>
    <t>Enhances AC-17 (Remote Access): configure and enforce 'Protection of Confidentiality and Integrity Using Encryption' in addition to the base setting, keep it consistent across applicable systems and document approved exceptions. Base scope: Configure VPN/remote access gateways, MFA, encryption, allowed protocols, session limits and logging for all remote administration</t>
  </si>
  <si>
    <r>
      <rPr>
        <rFont val="FreeSans"/>
        <color theme="1"/>
        <sz val="14.0"/>
      </rPr>
      <t xml:space="preserve">ส่วนขยายของ </t>
    </r>
    <r>
      <rPr>
        <rFont val="Calibri"/>
        <color theme="1"/>
        <sz val="14.0"/>
      </rPr>
      <t xml:space="preserve">AC-17: </t>
    </r>
    <r>
      <rPr>
        <rFont val="FreeSans"/>
        <color theme="1"/>
        <sz val="14.0"/>
      </rPr>
      <t xml:space="preserve">กำหนดค่าและบังคับใช้ </t>
    </r>
    <r>
      <rPr>
        <rFont val="Calibri"/>
        <color theme="1"/>
        <sz val="14.0"/>
      </rPr>
      <t xml:space="preserve">'Protection of Confidentiality and Integrity Using Encryption'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VPN/Remote Access Gateway, MFA, </t>
    </r>
    <r>
      <rPr>
        <rFont val="FreeSans"/>
        <color theme="1"/>
        <sz val="14.0"/>
      </rPr>
      <t>การเข้ารหัส</t>
    </r>
    <r>
      <rPr>
        <rFont val="Calibri"/>
        <color theme="1"/>
        <sz val="14.0"/>
      </rPr>
      <t xml:space="preserve">, </t>
    </r>
    <r>
      <rPr>
        <rFont val="FreeSans"/>
        <color theme="1"/>
        <sz val="14.0"/>
      </rPr>
      <t>โปรโตคอลที่อนุญาต และการบันทึกล็อกสำหรับการเข้าถึงระยะไกล</t>
    </r>
  </si>
  <si>
    <t>ESBIT-AC-17(03)</t>
  </si>
  <si>
    <t>AC-17(03)</t>
  </si>
  <si>
    <t>Remote Access | Managed Access Control Points</t>
  </si>
  <si>
    <t>Enhances AC-17 (Remote Access): configure and enforce 'Managed Access Control Points' in addition to the base setting, keep it consistent across applicable systems and document approved exceptions. Base scope: Configure VPN/remote access gateways, MFA, encryption, allowed protocols, session limits and logging for all remote administration</t>
  </si>
  <si>
    <r>
      <rPr>
        <rFont val="FreeSans"/>
        <color theme="1"/>
        <sz val="14.0"/>
      </rPr>
      <t xml:space="preserve">ส่วนขยายของ </t>
    </r>
    <r>
      <rPr>
        <rFont val="Calibri"/>
        <color theme="1"/>
        <sz val="14.0"/>
      </rPr>
      <t xml:space="preserve">AC-17: </t>
    </r>
    <r>
      <rPr>
        <rFont val="FreeSans"/>
        <color theme="1"/>
        <sz val="14.0"/>
      </rPr>
      <t xml:space="preserve">กำหนดค่าและบังคับใช้ </t>
    </r>
    <r>
      <rPr>
        <rFont val="Calibri"/>
        <color theme="1"/>
        <sz val="14.0"/>
      </rPr>
      <t xml:space="preserve">'Managed Access Control Points'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VPN/Remote Access Gateway, MFA, </t>
    </r>
    <r>
      <rPr>
        <rFont val="FreeSans"/>
        <color theme="1"/>
        <sz val="14.0"/>
      </rPr>
      <t>การเข้ารหัส</t>
    </r>
    <r>
      <rPr>
        <rFont val="Calibri"/>
        <color theme="1"/>
        <sz val="14.0"/>
      </rPr>
      <t xml:space="preserve">, </t>
    </r>
    <r>
      <rPr>
        <rFont val="FreeSans"/>
        <color theme="1"/>
        <sz val="14.0"/>
      </rPr>
      <t>โปรโตคอลที่อนุญาต และการบันทึกล็อกสำหรับการเข้าถึงระยะไกล</t>
    </r>
  </si>
  <si>
    <t>ESBIT-AC-17(04)</t>
  </si>
  <si>
    <t>AC-17(04)</t>
  </si>
  <si>
    <t>Remote Access | Privileged Commands and Access</t>
  </si>
  <si>
    <t>Enhances AC-17 (Remote Access): configure and enforce 'Privileged Commands and Access' in addition to the base setting, keep it consistent across applicable systems and document approved exceptions. Base scope: Configure VPN/remote access gateways, MFA, encryption, allowed protocols, session limits and logging for all remote administration</t>
  </si>
  <si>
    <r>
      <rPr>
        <rFont val="FreeSans"/>
        <color theme="1"/>
        <sz val="14.0"/>
      </rPr>
      <t xml:space="preserve">ส่วนขยายของ </t>
    </r>
    <r>
      <rPr>
        <rFont val="Calibri"/>
        <color theme="1"/>
        <sz val="14.0"/>
      </rPr>
      <t xml:space="preserve">AC-17: </t>
    </r>
    <r>
      <rPr>
        <rFont val="FreeSans"/>
        <color theme="1"/>
        <sz val="14.0"/>
      </rPr>
      <t xml:space="preserve">กำหนดค่าและบังคับใช้ </t>
    </r>
    <r>
      <rPr>
        <rFont val="Calibri"/>
        <color theme="1"/>
        <sz val="14.0"/>
      </rPr>
      <t xml:space="preserve">'Privileged Commands and Access'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VPN/Remote Access Gateway, MFA, </t>
    </r>
    <r>
      <rPr>
        <rFont val="FreeSans"/>
        <color theme="1"/>
        <sz val="14.0"/>
      </rPr>
      <t>การเข้ารหัส</t>
    </r>
    <r>
      <rPr>
        <rFont val="Calibri"/>
        <color theme="1"/>
        <sz val="14.0"/>
      </rPr>
      <t xml:space="preserve">, </t>
    </r>
    <r>
      <rPr>
        <rFont val="FreeSans"/>
        <color theme="1"/>
        <sz val="14.0"/>
      </rPr>
      <t>โปรโตคอลที่อนุญาต และการบันทึกล็อกสำหรับการเข้าถึงระยะไกล</t>
    </r>
  </si>
  <si>
    <t>ESBIT-AC-17(09)</t>
  </si>
  <si>
    <t>AC-17(09)</t>
  </si>
  <si>
    <t>Remote Access | Disconnect or Disable Access</t>
  </si>
  <si>
    <t>Enhances AC-17 (Remote Access): configure and enforce 'Disconnect or Disable Access' in addition to the base setting, keep it consistent across applicable systems and document approved exceptions. Base scope: Configure VPN/remote access gateways, MFA, encryption, allowed protocols, session limits and logging for all remote administration</t>
  </si>
  <si>
    <r>
      <rPr>
        <rFont val="FreeSans"/>
        <color theme="1"/>
        <sz val="14.0"/>
      </rPr>
      <t xml:space="preserve">ส่วนขยายของ </t>
    </r>
    <r>
      <rPr>
        <rFont val="Calibri"/>
        <color theme="1"/>
        <sz val="14.0"/>
      </rPr>
      <t xml:space="preserve">AC-17: </t>
    </r>
    <r>
      <rPr>
        <rFont val="FreeSans"/>
        <color theme="1"/>
        <sz val="14.0"/>
      </rPr>
      <t xml:space="preserve">กำหนดค่าและบังคับใช้ </t>
    </r>
    <r>
      <rPr>
        <rFont val="Calibri"/>
        <color theme="1"/>
        <sz val="14.0"/>
      </rPr>
      <t xml:space="preserve">'Disconnect or Disable Access'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VPN/Remote Access Gateway, MFA, </t>
    </r>
    <r>
      <rPr>
        <rFont val="FreeSans"/>
        <color theme="1"/>
        <sz val="14.0"/>
      </rPr>
      <t>การเข้ารหัส</t>
    </r>
    <r>
      <rPr>
        <rFont val="Calibri"/>
        <color theme="1"/>
        <sz val="14.0"/>
      </rPr>
      <t xml:space="preserve">, </t>
    </r>
    <r>
      <rPr>
        <rFont val="FreeSans"/>
        <color theme="1"/>
        <sz val="14.0"/>
      </rPr>
      <t>โปรโตคอลที่อนุญาต และการบันทึกล็อกสำหรับการเข้าถึงระยะไกล</t>
    </r>
  </si>
  <si>
    <t>ESBIT-AC-17(10)</t>
  </si>
  <si>
    <t>AC-17(10)</t>
  </si>
  <si>
    <t>Remote Access | Authenticate Remote Commands</t>
  </si>
  <si>
    <t>Enhances AC-17 (Remote Access): configure and enforce 'Authenticate Remote Commands' in addition to the base setting, keep it consistent across applicable systems and document approved exceptions. Base scope: Configure VPN/remote access gateways, MFA, encryption, allowed protocols, session limits and logging for all remote administration</t>
  </si>
  <si>
    <r>
      <rPr>
        <rFont val="FreeSans"/>
        <color theme="1"/>
        <sz val="14.0"/>
      </rPr>
      <t xml:space="preserve">ส่วนขยายของ </t>
    </r>
    <r>
      <rPr>
        <rFont val="Calibri"/>
        <color theme="1"/>
        <sz val="14.0"/>
      </rPr>
      <t xml:space="preserve">AC-17: </t>
    </r>
    <r>
      <rPr>
        <rFont val="FreeSans"/>
        <color theme="1"/>
        <sz val="14.0"/>
      </rPr>
      <t xml:space="preserve">กำหนดค่าและบังคับใช้ </t>
    </r>
    <r>
      <rPr>
        <rFont val="Calibri"/>
        <color theme="1"/>
        <sz val="14.0"/>
      </rPr>
      <t xml:space="preserve">'Authenticate Remote Commands'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VPN/Remote Access Gateway, MFA, </t>
    </r>
    <r>
      <rPr>
        <rFont val="FreeSans"/>
        <color theme="1"/>
        <sz val="14.0"/>
      </rPr>
      <t>การเข้ารหัส</t>
    </r>
    <r>
      <rPr>
        <rFont val="Calibri"/>
        <color theme="1"/>
        <sz val="14.0"/>
      </rPr>
      <t xml:space="preserve">, </t>
    </r>
    <r>
      <rPr>
        <rFont val="FreeSans"/>
        <color theme="1"/>
        <sz val="14.0"/>
      </rPr>
      <t>โปรโตคอลที่อนุญาต และการบันทึกล็อกสำหรับการเข้าถึงระยะไกล</t>
    </r>
  </si>
  <si>
    <t>ESBIT-AC-18</t>
  </si>
  <si>
    <t>AC-18</t>
  </si>
  <si>
    <t>Wireless Access</t>
  </si>
  <si>
    <t>Configure WLAN security (WPA3/802.1X), SSID policy, rogue AP protection and guest wireless isolation</t>
  </si>
  <si>
    <r>
      <rPr>
        <rFont val="FreeSans"/>
        <color theme="1"/>
        <sz val="14.0"/>
      </rPr>
      <t xml:space="preserve">ตั้งค่าความปลอดภัย </t>
    </r>
    <r>
      <rPr>
        <rFont val="Calibri"/>
        <color theme="1"/>
        <sz val="14.0"/>
      </rPr>
      <t xml:space="preserve">WLAN (WPA3/802.1X) </t>
    </r>
    <r>
      <rPr>
        <rFont val="FreeSans"/>
        <color theme="1"/>
        <sz val="14.0"/>
      </rPr>
      <t xml:space="preserve">นโยบาย </t>
    </r>
    <r>
      <rPr>
        <rFont val="Calibri"/>
        <color theme="1"/>
        <sz val="14.0"/>
      </rPr>
      <t xml:space="preserve">SSID </t>
    </r>
    <r>
      <rPr>
        <rFont val="FreeSans"/>
        <color theme="1"/>
        <sz val="14.0"/>
      </rPr>
      <t xml:space="preserve">ป้องกัน </t>
    </r>
    <r>
      <rPr>
        <rFont val="Calibri"/>
        <color theme="1"/>
        <sz val="14.0"/>
      </rPr>
      <t xml:space="preserve">Rogue AP </t>
    </r>
    <r>
      <rPr>
        <rFont val="FreeSans"/>
        <color theme="1"/>
        <sz val="14.0"/>
      </rPr>
      <t xml:space="preserve">และแยก </t>
    </r>
    <r>
      <rPr>
        <rFont val="Calibri"/>
        <color theme="1"/>
        <sz val="14.0"/>
      </rPr>
      <t>Guest Wi-Fi</t>
    </r>
  </si>
  <si>
    <t>ESBIT-AC-18(01)</t>
  </si>
  <si>
    <t>AC-18(01)</t>
  </si>
  <si>
    <t>Wireless Access | Authentication and Encryption</t>
  </si>
  <si>
    <t>Enhances AC-18 (Wireless Access): configure and enforce 'Authentication and Encryption' in addition to the base setting, keep it consistent across applicable systems and document approved exceptions. Base scope: Configure WLAN security (WPA3/802.1X), SSID policy, rogue AP protection and guest wireless isolation</t>
  </si>
  <si>
    <r>
      <rPr>
        <rFont val="FreeSans"/>
        <color theme="1"/>
        <sz val="14.0"/>
      </rPr>
      <t xml:space="preserve">ส่วนขยายของ </t>
    </r>
    <r>
      <rPr>
        <rFont val="Calibri"/>
        <color theme="1"/>
        <sz val="14.0"/>
      </rPr>
      <t xml:space="preserve">AC-18: </t>
    </r>
    <r>
      <rPr>
        <rFont val="FreeSans"/>
        <color theme="1"/>
        <sz val="14.0"/>
      </rPr>
      <t xml:space="preserve">กำหนดค่าและบังคับใช้ </t>
    </r>
    <r>
      <rPr>
        <rFont val="Calibri"/>
        <color theme="1"/>
        <sz val="14.0"/>
      </rPr>
      <t xml:space="preserve">'Authentication and Encryption'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ตั้งค่าความปลอดภัย </t>
    </r>
    <r>
      <rPr>
        <rFont val="Calibri"/>
        <color theme="1"/>
        <sz val="14.0"/>
      </rPr>
      <t xml:space="preserve">WLAN (WPA3/802.1X) </t>
    </r>
    <r>
      <rPr>
        <rFont val="FreeSans"/>
        <color theme="1"/>
        <sz val="14.0"/>
      </rPr>
      <t xml:space="preserve">นโยบาย </t>
    </r>
    <r>
      <rPr>
        <rFont val="Calibri"/>
        <color theme="1"/>
        <sz val="14.0"/>
      </rPr>
      <t xml:space="preserve">SSID </t>
    </r>
    <r>
      <rPr>
        <rFont val="FreeSans"/>
        <color theme="1"/>
        <sz val="14.0"/>
      </rPr>
      <t xml:space="preserve">ป้องกัน </t>
    </r>
    <r>
      <rPr>
        <rFont val="Calibri"/>
        <color theme="1"/>
        <sz val="14.0"/>
      </rPr>
      <t xml:space="preserve">Rogue AP </t>
    </r>
    <r>
      <rPr>
        <rFont val="FreeSans"/>
        <color theme="1"/>
        <sz val="14.0"/>
      </rPr>
      <t xml:space="preserve">และแยก </t>
    </r>
    <r>
      <rPr>
        <rFont val="Calibri"/>
        <color theme="1"/>
        <sz val="14.0"/>
      </rPr>
      <t>Guest Wi-Fi</t>
    </r>
  </si>
  <si>
    <t>ESBIT-AC-18(03)</t>
  </si>
  <si>
    <t>AC-18(03)</t>
  </si>
  <si>
    <t>Wireless Access | Disable Wireless Networking</t>
  </si>
  <si>
    <t>Enhances AC-18 (Wireless Access): configure and enforce 'Disable Wireless Networking' in addition to the base setting, keep it consistent across applicable systems and document approved exceptions. Base scope: Configure WLAN security (WPA3/802.1X), SSID policy, rogue AP protection and guest wireless isolation</t>
  </si>
  <si>
    <r>
      <rPr>
        <rFont val="FreeSans"/>
        <color theme="1"/>
        <sz val="14.0"/>
      </rPr>
      <t xml:space="preserve">ส่วนขยายของ </t>
    </r>
    <r>
      <rPr>
        <rFont val="Calibri"/>
        <color theme="1"/>
        <sz val="14.0"/>
      </rPr>
      <t xml:space="preserve">AC-18: </t>
    </r>
    <r>
      <rPr>
        <rFont val="FreeSans"/>
        <color theme="1"/>
        <sz val="14.0"/>
      </rPr>
      <t xml:space="preserve">กำหนดค่าและบังคับใช้ </t>
    </r>
    <r>
      <rPr>
        <rFont val="Calibri"/>
        <color theme="1"/>
        <sz val="14.0"/>
      </rPr>
      <t xml:space="preserve">'Disable Wireless Networking'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ตั้งค่าความปลอดภัย </t>
    </r>
    <r>
      <rPr>
        <rFont val="Calibri"/>
        <color theme="1"/>
        <sz val="14.0"/>
      </rPr>
      <t xml:space="preserve">WLAN (WPA3/802.1X) </t>
    </r>
    <r>
      <rPr>
        <rFont val="FreeSans"/>
        <color theme="1"/>
        <sz val="14.0"/>
      </rPr>
      <t xml:space="preserve">นโยบาย </t>
    </r>
    <r>
      <rPr>
        <rFont val="Calibri"/>
        <color theme="1"/>
        <sz val="14.0"/>
      </rPr>
      <t xml:space="preserve">SSID </t>
    </r>
    <r>
      <rPr>
        <rFont val="FreeSans"/>
        <color theme="1"/>
        <sz val="14.0"/>
      </rPr>
      <t xml:space="preserve">ป้องกัน </t>
    </r>
    <r>
      <rPr>
        <rFont val="Calibri"/>
        <color theme="1"/>
        <sz val="14.0"/>
      </rPr>
      <t xml:space="preserve">Rogue AP </t>
    </r>
    <r>
      <rPr>
        <rFont val="FreeSans"/>
        <color theme="1"/>
        <sz val="14.0"/>
      </rPr>
      <t xml:space="preserve">และแยก </t>
    </r>
    <r>
      <rPr>
        <rFont val="Calibri"/>
        <color theme="1"/>
        <sz val="14.0"/>
      </rPr>
      <t>Guest Wi-Fi</t>
    </r>
  </si>
  <si>
    <t>ESBIT-AC-18(04)</t>
  </si>
  <si>
    <t>AC-18(04)</t>
  </si>
  <si>
    <t>Wireless Access | Restrict Configurations by Users</t>
  </si>
  <si>
    <t>Enhances AC-18 (Wireless Access): configure and enforce 'Restrict Configurations by Users' in addition to the base setting, keep it consistent across applicable systems and document approved exceptions. Base scope: Configure WLAN security (WPA3/802.1X), SSID policy, rogue AP protection and guest wireless isolation</t>
  </si>
  <si>
    <r>
      <rPr>
        <rFont val="FreeSans"/>
        <color theme="1"/>
        <sz val="14.0"/>
      </rPr>
      <t xml:space="preserve">ส่วนขยายของ </t>
    </r>
    <r>
      <rPr>
        <rFont val="Calibri"/>
        <color theme="1"/>
        <sz val="14.0"/>
      </rPr>
      <t xml:space="preserve">AC-18: </t>
    </r>
    <r>
      <rPr>
        <rFont val="FreeSans"/>
        <color theme="1"/>
        <sz val="14.0"/>
      </rPr>
      <t xml:space="preserve">กำหนดค่าและบังคับใช้ </t>
    </r>
    <r>
      <rPr>
        <rFont val="Calibri"/>
        <color theme="1"/>
        <sz val="14.0"/>
      </rPr>
      <t xml:space="preserve">'Restrict Configurations by Users'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ตั้งค่าความปลอดภัย </t>
    </r>
    <r>
      <rPr>
        <rFont val="Calibri"/>
        <color theme="1"/>
        <sz val="14.0"/>
      </rPr>
      <t xml:space="preserve">WLAN (WPA3/802.1X) </t>
    </r>
    <r>
      <rPr>
        <rFont val="FreeSans"/>
        <color theme="1"/>
        <sz val="14.0"/>
      </rPr>
      <t xml:space="preserve">นโยบาย </t>
    </r>
    <r>
      <rPr>
        <rFont val="Calibri"/>
        <color theme="1"/>
        <sz val="14.0"/>
      </rPr>
      <t xml:space="preserve">SSID </t>
    </r>
    <r>
      <rPr>
        <rFont val="FreeSans"/>
        <color theme="1"/>
        <sz val="14.0"/>
      </rPr>
      <t xml:space="preserve">ป้องกัน </t>
    </r>
    <r>
      <rPr>
        <rFont val="Calibri"/>
        <color theme="1"/>
        <sz val="14.0"/>
      </rPr>
      <t xml:space="preserve">Rogue AP </t>
    </r>
    <r>
      <rPr>
        <rFont val="FreeSans"/>
        <color theme="1"/>
        <sz val="14.0"/>
      </rPr>
      <t xml:space="preserve">และแยก </t>
    </r>
    <r>
      <rPr>
        <rFont val="Calibri"/>
        <color theme="1"/>
        <sz val="14.0"/>
      </rPr>
      <t>Guest Wi-Fi</t>
    </r>
  </si>
  <si>
    <t>ESBIT-AC-18(05)</t>
  </si>
  <si>
    <t>AC-18(05)</t>
  </si>
  <si>
    <t>Wireless Access | Antennas and Transmit Power Levels</t>
  </si>
  <si>
    <t>Enhances AC-18 (Wireless Access): configure and enforce 'Antennas and Transmit Power Levels' in addition to the base setting, keep it consistent across applicable systems and document approved exceptions. Base scope: Configure WLAN security (WPA3/802.1X), SSID policy, rogue AP protection and guest wireless isolation</t>
  </si>
  <si>
    <r>
      <rPr>
        <rFont val="FreeSans"/>
        <color theme="1"/>
        <sz val="14.0"/>
      </rPr>
      <t xml:space="preserve">ส่วนขยายของ </t>
    </r>
    <r>
      <rPr>
        <rFont val="Calibri"/>
        <color theme="1"/>
        <sz val="14.0"/>
      </rPr>
      <t xml:space="preserve">AC-18: </t>
    </r>
    <r>
      <rPr>
        <rFont val="FreeSans"/>
        <color theme="1"/>
        <sz val="14.0"/>
      </rPr>
      <t xml:space="preserve">กำหนดค่าและบังคับใช้ </t>
    </r>
    <r>
      <rPr>
        <rFont val="Calibri"/>
        <color theme="1"/>
        <sz val="14.0"/>
      </rPr>
      <t xml:space="preserve">'Antennas and Transmit Power Levels'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ตั้งค่าความปลอดภัย </t>
    </r>
    <r>
      <rPr>
        <rFont val="Calibri"/>
        <color theme="1"/>
        <sz val="14.0"/>
      </rPr>
      <t xml:space="preserve">WLAN (WPA3/802.1X) </t>
    </r>
    <r>
      <rPr>
        <rFont val="FreeSans"/>
        <color theme="1"/>
        <sz val="14.0"/>
      </rPr>
      <t xml:space="preserve">นโยบาย </t>
    </r>
    <r>
      <rPr>
        <rFont val="Calibri"/>
        <color theme="1"/>
        <sz val="14.0"/>
      </rPr>
      <t xml:space="preserve">SSID </t>
    </r>
    <r>
      <rPr>
        <rFont val="FreeSans"/>
        <color theme="1"/>
        <sz val="14.0"/>
      </rPr>
      <t xml:space="preserve">ป้องกัน </t>
    </r>
    <r>
      <rPr>
        <rFont val="Calibri"/>
        <color theme="1"/>
        <sz val="14.0"/>
      </rPr>
      <t xml:space="preserve">Rogue AP </t>
    </r>
    <r>
      <rPr>
        <rFont val="FreeSans"/>
        <color theme="1"/>
        <sz val="14.0"/>
      </rPr>
      <t xml:space="preserve">และแยก </t>
    </r>
    <r>
      <rPr>
        <rFont val="Calibri"/>
        <color theme="1"/>
        <sz val="14.0"/>
      </rPr>
      <t>Guest Wi-Fi</t>
    </r>
  </si>
  <si>
    <t>ESBIT-AC-19</t>
  </si>
  <si>
    <t>AC-19</t>
  </si>
  <si>
    <t>Access Control for Mobile Devices</t>
  </si>
  <si>
    <t>PR.PS - Platform Security</t>
  </si>
  <si>
    <t>PR.PS-01</t>
  </si>
  <si>
    <t>Configuration management practices are established and applied</t>
  </si>
  <si>
    <t>Configure MDM/MAM policies: device encryption, passcode, remote wipe and app restrictions</t>
  </si>
  <si>
    <r>
      <rPr>
        <rFont val="FreeSans"/>
        <color theme="1"/>
        <sz val="14.0"/>
      </rPr>
      <t xml:space="preserve">ตั้งค่านโยบาย </t>
    </r>
    <r>
      <rPr>
        <rFont val="Calibri"/>
        <color theme="1"/>
        <sz val="14.0"/>
      </rPr>
      <t xml:space="preserve">MDM/MAM </t>
    </r>
    <r>
      <rPr>
        <rFont val="FreeSans"/>
        <color theme="1"/>
        <sz val="14.0"/>
      </rPr>
      <t xml:space="preserve">เช่น เข้ารหัสอุปกรณ์ รหัสผ่าน </t>
    </r>
    <r>
      <rPr>
        <rFont val="Calibri"/>
        <color theme="1"/>
        <sz val="14.0"/>
      </rPr>
      <t xml:space="preserve">Remote Wipe </t>
    </r>
    <r>
      <rPr>
        <rFont val="FreeSans"/>
        <color theme="1"/>
        <sz val="14.0"/>
      </rPr>
      <t>และจำกัดแอป</t>
    </r>
  </si>
  <si>
    <t>ESBIT-AC-19(05)</t>
  </si>
  <si>
    <t>AC-19(05)</t>
  </si>
  <si>
    <t>Access Control for Mobile Devices | Full Device or Container-based Encryption</t>
  </si>
  <si>
    <t>Enhances AC-19 (Access Control for Mobile Devices): configure and enforce 'Full Device or Container-based Encryption' in addition to the base setting, keep it consistent across applicable systems and document approved exceptions. Base scope: Configure MDM/MAM policies: device encryption, passcode, remote wipe and app restrictions</t>
  </si>
  <si>
    <r>
      <rPr>
        <rFont val="FreeSans"/>
        <color theme="1"/>
        <sz val="14.0"/>
      </rPr>
      <t xml:space="preserve">ส่วนขยายของ </t>
    </r>
    <r>
      <rPr>
        <rFont val="Calibri"/>
        <color theme="1"/>
        <sz val="14.0"/>
      </rPr>
      <t xml:space="preserve">AC-19: </t>
    </r>
    <r>
      <rPr>
        <rFont val="FreeSans"/>
        <color theme="1"/>
        <sz val="14.0"/>
      </rPr>
      <t xml:space="preserve">กำหนดค่าและบังคับใช้ </t>
    </r>
    <r>
      <rPr>
        <rFont val="Calibri"/>
        <color theme="1"/>
        <sz val="14.0"/>
      </rPr>
      <t xml:space="preserve">'Full Device or Container-based Encryption'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ตั้งค่านโยบาย </t>
    </r>
    <r>
      <rPr>
        <rFont val="Calibri"/>
        <color theme="1"/>
        <sz val="14.0"/>
      </rPr>
      <t xml:space="preserve">MDM/MAM </t>
    </r>
    <r>
      <rPr>
        <rFont val="FreeSans"/>
        <color theme="1"/>
        <sz val="14.0"/>
      </rPr>
      <t xml:space="preserve">เช่น เข้ารหัสอุปกรณ์ รหัสผ่าน </t>
    </r>
    <r>
      <rPr>
        <rFont val="Calibri"/>
        <color theme="1"/>
        <sz val="14.0"/>
      </rPr>
      <t xml:space="preserve">Remote Wipe </t>
    </r>
    <r>
      <rPr>
        <rFont val="FreeSans"/>
        <color theme="1"/>
        <sz val="14.0"/>
      </rPr>
      <t>และจำกัดแอป</t>
    </r>
  </si>
  <si>
    <t>ESBIT-AC-20</t>
  </si>
  <si>
    <t>AC-20</t>
  </si>
  <si>
    <t>Use of External Systems</t>
  </si>
  <si>
    <t>Configure controls limiting connection to and use of external and third-party systems and portable storage</t>
  </si>
  <si>
    <r>
      <rPr>
        <rFont val="FreeSans"/>
        <color theme="1"/>
        <sz val="14.0"/>
      </rPr>
      <t>กำหนดการควบคุมการเชื่อมต่อและใช้งานระบบภายนอก</t>
    </r>
    <r>
      <rPr>
        <rFont val="Calibri"/>
        <color theme="1"/>
        <sz val="14.0"/>
      </rPr>
      <t>/</t>
    </r>
    <r>
      <rPr>
        <rFont val="FreeSans"/>
        <color theme="1"/>
        <sz val="14.0"/>
      </rPr>
      <t>บุคคลที่สาม และอุปกรณ์จัดเก็บพกพา</t>
    </r>
  </si>
  <si>
    <t>Cloud, Network</t>
  </si>
  <si>
    <t>ESBIT-AC-20(01)</t>
  </si>
  <si>
    <t>AC-20(01)</t>
  </si>
  <si>
    <t>Use of External Systems | Limits on Authorized Use</t>
  </si>
  <si>
    <t>Enhances AC-20 (Use of External Systems): configure and enforce 'Limits on Authorized Use' in addition to the base setting, keep it consistent across applicable systems and document approved exceptions. Base scope: Configure controls limiting connection to and use of external and third-party systems and portable storage</t>
  </si>
  <si>
    <r>
      <rPr>
        <rFont val="FreeSans"/>
        <color theme="1"/>
        <sz val="14.0"/>
      </rPr>
      <t xml:space="preserve">ส่วนขยายของ </t>
    </r>
    <r>
      <rPr>
        <rFont val="Calibri"/>
        <color theme="1"/>
        <sz val="14.0"/>
      </rPr>
      <t xml:space="preserve">AC-20: </t>
    </r>
    <r>
      <rPr>
        <rFont val="FreeSans"/>
        <color theme="1"/>
        <sz val="14.0"/>
      </rPr>
      <t xml:space="preserve">กำหนดค่าและบังคับใช้ </t>
    </r>
    <r>
      <rPr>
        <rFont val="Calibri"/>
        <color theme="1"/>
        <sz val="14.0"/>
      </rPr>
      <t xml:space="preserve">'Limits on Authorized Use'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กำหนดการควบคุมการเชื่อมต่อและใช้งานระบบภายนอก</t>
    </r>
    <r>
      <rPr>
        <rFont val="Calibri"/>
        <color theme="1"/>
        <sz val="14.0"/>
      </rPr>
      <t>/</t>
    </r>
    <r>
      <rPr>
        <rFont val="FreeSans"/>
        <color theme="1"/>
        <sz val="14.0"/>
      </rPr>
      <t>บุคคลที่สาม และอุปกรณ์จัดเก็บพกพา</t>
    </r>
  </si>
  <si>
    <t>ESBIT-AC-20(02)</t>
  </si>
  <si>
    <t>AC-20(02)</t>
  </si>
  <si>
    <t>Use of External Systems | Portable Storage Devices - Restricted Use</t>
  </si>
  <si>
    <t>Enhances AC-20 (Use of External Systems): configure and enforce 'Portable Storage Devices - Restricted Use' in addition to the base setting, keep it consistent across applicable systems and document approved exceptions. Base scope: Configure controls limiting connection to and use of external and third-party systems and portable storage</t>
  </si>
  <si>
    <r>
      <rPr>
        <rFont val="FreeSans"/>
        <color theme="1"/>
        <sz val="14.0"/>
      </rPr>
      <t xml:space="preserve">ส่วนขยายของ </t>
    </r>
    <r>
      <rPr>
        <rFont val="Calibri"/>
        <color theme="1"/>
        <sz val="14.0"/>
      </rPr>
      <t xml:space="preserve">AC-20: </t>
    </r>
    <r>
      <rPr>
        <rFont val="FreeSans"/>
        <color theme="1"/>
        <sz val="14.0"/>
      </rPr>
      <t xml:space="preserve">กำหนดค่าและบังคับใช้ </t>
    </r>
    <r>
      <rPr>
        <rFont val="Calibri"/>
        <color theme="1"/>
        <sz val="14.0"/>
      </rPr>
      <t xml:space="preserve">'Portable Storage Devices - Restricted Use'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กำหนดการควบคุมการเชื่อมต่อและใช้งานระบบภายนอก</t>
    </r>
    <r>
      <rPr>
        <rFont val="Calibri"/>
        <color theme="1"/>
        <sz val="14.0"/>
      </rPr>
      <t>/</t>
    </r>
    <r>
      <rPr>
        <rFont val="FreeSans"/>
        <color theme="1"/>
        <sz val="14.0"/>
      </rPr>
      <t>บุคคลที่สาม และอุปกรณ์จัดเก็บพกพา</t>
    </r>
  </si>
  <si>
    <t>ESBIT-AC-20(03)</t>
  </si>
  <si>
    <t>AC-20(03)</t>
  </si>
  <si>
    <t>Use of External Systems | Non-organizationally Owned Systems - Restricted Use</t>
  </si>
  <si>
    <t>Enhances AC-20 (Use of External Systems): configure and enforce 'Non-organizationally Owned Systems - Restricted Use' in addition to the base setting, keep it consistent across applicable systems and document approved exceptions. Base scope: Configure controls limiting connection to and use of external and third-party systems and portable storage</t>
  </si>
  <si>
    <r>
      <rPr>
        <rFont val="FreeSans"/>
        <color theme="1"/>
        <sz val="14.0"/>
      </rPr>
      <t xml:space="preserve">ส่วนขยายของ </t>
    </r>
    <r>
      <rPr>
        <rFont val="Calibri"/>
        <color theme="1"/>
        <sz val="14.0"/>
      </rPr>
      <t xml:space="preserve">AC-20: </t>
    </r>
    <r>
      <rPr>
        <rFont val="FreeSans"/>
        <color theme="1"/>
        <sz val="14.0"/>
      </rPr>
      <t xml:space="preserve">กำหนดค่าและบังคับใช้ </t>
    </r>
    <r>
      <rPr>
        <rFont val="Calibri"/>
        <color theme="1"/>
        <sz val="14.0"/>
      </rPr>
      <t xml:space="preserve">'Non-organizationally Owned Systems - Restricted Use'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กำหนดการควบคุมการเชื่อมต่อและใช้งานระบบภายนอก</t>
    </r>
    <r>
      <rPr>
        <rFont val="Calibri"/>
        <color theme="1"/>
        <sz val="14.0"/>
      </rPr>
      <t>/</t>
    </r>
    <r>
      <rPr>
        <rFont val="FreeSans"/>
        <color theme="1"/>
        <sz val="14.0"/>
      </rPr>
      <t>บุคคลที่สาม และอุปกรณ์จัดเก็บพกพา</t>
    </r>
  </si>
  <si>
    <t>ESBIT-AC-20(04)</t>
  </si>
  <si>
    <t>AC-20(04)</t>
  </si>
  <si>
    <t>Use of External Systems | Network Accessible Storage Devices - Prohibited Use</t>
  </si>
  <si>
    <t>Enhances AC-20 (Use of External Systems): configure and enforce 'Network Accessible Storage Devices - Prohibited Use' in addition to the base setting, keep it consistent across applicable systems and document approved exceptions. Base scope: Configure controls limiting connection to and use of external and third-party systems and portable storage</t>
  </si>
  <si>
    <r>
      <rPr>
        <rFont val="FreeSans"/>
        <color theme="1"/>
        <sz val="14.0"/>
      </rPr>
      <t xml:space="preserve">ส่วนขยายของ </t>
    </r>
    <r>
      <rPr>
        <rFont val="Calibri"/>
        <color theme="1"/>
        <sz val="14.0"/>
      </rPr>
      <t xml:space="preserve">AC-20: </t>
    </r>
    <r>
      <rPr>
        <rFont val="FreeSans"/>
        <color theme="1"/>
        <sz val="14.0"/>
      </rPr>
      <t xml:space="preserve">กำหนดค่าและบังคับใช้ </t>
    </r>
    <r>
      <rPr>
        <rFont val="Calibri"/>
        <color theme="1"/>
        <sz val="14.0"/>
      </rPr>
      <t xml:space="preserve">'Network Accessible Storage Devices - Prohibited Use'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กำหนดการควบคุมการเชื่อมต่อและใช้งานระบบภายนอก</t>
    </r>
    <r>
      <rPr>
        <rFont val="Calibri"/>
        <color theme="1"/>
        <sz val="14.0"/>
      </rPr>
      <t>/</t>
    </r>
    <r>
      <rPr>
        <rFont val="FreeSans"/>
        <color theme="1"/>
        <sz val="14.0"/>
      </rPr>
      <t>บุคคลที่สาม และอุปกรณ์จัดเก็บพกพา</t>
    </r>
  </si>
  <si>
    <t>ESBIT-AC-20(05)</t>
  </si>
  <si>
    <t>AC-20(05)</t>
  </si>
  <si>
    <t>Use of External Systems | Portable Storage Devices - Prohibited Use</t>
  </si>
  <si>
    <t>Enhances AC-20 (Use of External Systems): configure and enforce 'Portable Storage Devices - Prohibited Use' in addition to the base setting, keep it consistent across applicable systems and document approved exceptions. Base scope: Configure controls limiting connection to and use of external and third-party systems and portable storage</t>
  </si>
  <si>
    <r>
      <rPr>
        <rFont val="FreeSans"/>
        <color theme="1"/>
        <sz val="14.0"/>
      </rPr>
      <t xml:space="preserve">ส่วนขยายของ </t>
    </r>
    <r>
      <rPr>
        <rFont val="Calibri"/>
        <color theme="1"/>
        <sz val="14.0"/>
      </rPr>
      <t xml:space="preserve">AC-20: </t>
    </r>
    <r>
      <rPr>
        <rFont val="FreeSans"/>
        <color theme="1"/>
        <sz val="14.0"/>
      </rPr>
      <t xml:space="preserve">กำหนดค่าและบังคับใช้ </t>
    </r>
    <r>
      <rPr>
        <rFont val="Calibri"/>
        <color theme="1"/>
        <sz val="14.0"/>
      </rPr>
      <t xml:space="preserve">'Portable Storage Devices - Prohibited Use'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กำหนดการควบคุมการเชื่อมต่อและใช้งานระบบภายนอก</t>
    </r>
    <r>
      <rPr>
        <rFont val="Calibri"/>
        <color theme="1"/>
        <sz val="14.0"/>
      </rPr>
      <t>/</t>
    </r>
    <r>
      <rPr>
        <rFont val="FreeSans"/>
        <color theme="1"/>
        <sz val="14.0"/>
      </rPr>
      <t>บุคคลที่สาม และอุปกรณ์จัดเก็บพกพา</t>
    </r>
  </si>
  <si>
    <t>ESBIT-AC-21</t>
  </si>
  <si>
    <t>AC-21</t>
  </si>
  <si>
    <t>Information Sharing</t>
  </si>
  <si>
    <t>Configure sharing permissions and approval for information sharing (shared drives, external links)</t>
  </si>
  <si>
    <r>
      <rPr>
        <rFont val="FreeSans"/>
        <color theme="1"/>
        <sz val="14.0"/>
      </rPr>
      <t xml:space="preserve">กำหนดสิทธิ์และการอนุมัติการแชร์ข้อมูล </t>
    </r>
    <r>
      <rPr>
        <rFont val="Calibri"/>
        <color theme="1"/>
        <sz val="14.0"/>
      </rPr>
      <t>(Shared Drive, External Link)</t>
    </r>
  </si>
  <si>
    <t>ESBIT-AC-21(01)</t>
  </si>
  <si>
    <t>AC-21(01)</t>
  </si>
  <si>
    <t>Information Sharing | Automated Decision Support</t>
  </si>
  <si>
    <t>Enhances AC-21 (Information Sharing): configure and enforce 'Automated Decision Support' in addition to the base setting, keep it consistent across applicable systems and document approved exceptions. Base scope: Configure sharing permissions and approval for information sharing (shared drives, external links)</t>
  </si>
  <si>
    <r>
      <rPr>
        <rFont val="FreeSans"/>
        <color theme="1"/>
        <sz val="14.0"/>
      </rPr>
      <t xml:space="preserve">ส่วนขยายของ </t>
    </r>
    <r>
      <rPr>
        <rFont val="Calibri"/>
        <color theme="1"/>
        <sz val="14.0"/>
      </rPr>
      <t xml:space="preserve">AC-21: </t>
    </r>
    <r>
      <rPr>
        <rFont val="FreeSans"/>
        <color theme="1"/>
        <sz val="14.0"/>
      </rPr>
      <t xml:space="preserve">กำหนดค่าและบังคับใช้ </t>
    </r>
    <r>
      <rPr>
        <rFont val="Calibri"/>
        <color theme="1"/>
        <sz val="14.0"/>
      </rPr>
      <t xml:space="preserve">'Automated Decision Support'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กำหนดสิทธิ์และการอนุมัติการแชร์ข้อมูล </t>
    </r>
    <r>
      <rPr>
        <rFont val="Calibri"/>
        <color theme="1"/>
        <sz val="14.0"/>
      </rPr>
      <t>(Shared Drive, External Link)</t>
    </r>
  </si>
  <si>
    <t>ESBIT-AC-21(02)</t>
  </si>
  <si>
    <t>AC-21(02)</t>
  </si>
  <si>
    <t>Information Sharing | Information Search and Retrieval</t>
  </si>
  <si>
    <t>Enhances AC-21 (Information Sharing): configure and enforce 'Information Search and Retrieval' in addition to the base setting, keep it consistent across applicable systems and document approved exceptions. Base scope: Configure sharing permissions and approval for information sharing (shared drives, external links)</t>
  </si>
  <si>
    <r>
      <rPr>
        <rFont val="FreeSans"/>
        <color theme="1"/>
        <sz val="14.0"/>
      </rPr>
      <t xml:space="preserve">ส่วนขยายของ </t>
    </r>
    <r>
      <rPr>
        <rFont val="Calibri"/>
        <color theme="1"/>
        <sz val="14.0"/>
      </rPr>
      <t xml:space="preserve">AC-21: </t>
    </r>
    <r>
      <rPr>
        <rFont val="FreeSans"/>
        <color theme="1"/>
        <sz val="14.0"/>
      </rPr>
      <t xml:space="preserve">กำหนดค่าและบังคับใช้ </t>
    </r>
    <r>
      <rPr>
        <rFont val="Calibri"/>
        <color theme="1"/>
        <sz val="14.0"/>
      </rPr>
      <t xml:space="preserve">'Information Search and Retrieval'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กำหนดสิทธิ์และการอนุมัติการแชร์ข้อมูล </t>
    </r>
    <r>
      <rPr>
        <rFont val="Calibri"/>
        <color theme="1"/>
        <sz val="14.0"/>
      </rPr>
      <t>(Shared Drive, External Link)</t>
    </r>
  </si>
  <si>
    <t>ESBIT-AC-22</t>
  </si>
  <si>
    <t>AC-22</t>
  </si>
  <si>
    <t>Publicly Accessible Content</t>
  </si>
  <si>
    <t>Configure review and approval before publishing content; restrict non-public data on public web and storage</t>
  </si>
  <si>
    <r>
      <rPr>
        <rFont val="FreeSans"/>
        <color theme="1"/>
        <sz val="14.0"/>
      </rPr>
      <t>ตั้งค่าการทบทวนและอนุมัติก่อนเผยแพร่เนื้อหา และป้องกันข้อมูลที่ไม่เปิดเผยบนเว็บ</t>
    </r>
    <r>
      <rPr>
        <rFont val="Calibri"/>
        <color theme="1"/>
        <sz val="14.0"/>
      </rPr>
      <t xml:space="preserve">/Storage </t>
    </r>
    <r>
      <rPr>
        <rFont val="FreeSans"/>
        <color theme="1"/>
        <sz val="14.0"/>
      </rPr>
      <t>สาธารณะ</t>
    </r>
  </si>
  <si>
    <t>Application/Software, Cloud</t>
  </si>
  <si>
    <t>ESBIT-AC-23</t>
  </si>
  <si>
    <t>AC-23</t>
  </si>
  <si>
    <t>Data Mining Protection</t>
  </si>
  <si>
    <t>Configure query limits, monitoring and anti-scraping to prevent unauthorized data mining</t>
  </si>
  <si>
    <r>
      <rPr>
        <rFont val="FreeSans"/>
        <color theme="1"/>
        <sz val="14.0"/>
      </rPr>
      <t xml:space="preserve">กำหนดข้อจำกัด </t>
    </r>
    <r>
      <rPr>
        <rFont val="Calibri"/>
        <color theme="1"/>
        <sz val="14.0"/>
      </rPr>
      <t xml:space="preserve">Query </t>
    </r>
    <r>
      <rPr>
        <rFont val="FreeSans"/>
        <color theme="1"/>
        <sz val="14.0"/>
      </rPr>
      <t xml:space="preserve">การเฝ้าระวัง และ </t>
    </r>
    <r>
      <rPr>
        <rFont val="Calibri"/>
        <color theme="1"/>
        <sz val="14.0"/>
      </rPr>
      <t xml:space="preserve">Anti-scraping </t>
    </r>
    <r>
      <rPr>
        <rFont val="FreeSans"/>
        <color theme="1"/>
        <sz val="14.0"/>
      </rPr>
      <t>เพื่อป้องกันการขุดข้อมูลโดยไม่ได้รับอนุญาต</t>
    </r>
  </si>
  <si>
    <t>Database, Data Protection/Storage</t>
  </si>
  <si>
    <t>ESBIT-AC-24</t>
  </si>
  <si>
    <t>AC-24</t>
  </si>
  <si>
    <t>Access Control Decisions</t>
  </si>
  <si>
    <t>Configure how access decisions are transmitted and enforced across systems</t>
  </si>
  <si>
    <t>กำหนดวิธีส่งต่อและบังคับใช้ผลการตัดสินสิทธิ์การเข้าถึงระหว่างระบบ</t>
  </si>
  <si>
    <t>ESBIT-AC-24(01)</t>
  </si>
  <si>
    <t>AC-24(01)</t>
  </si>
  <si>
    <t>Access Control Decisions | Transmit Access Authorization Information</t>
  </si>
  <si>
    <t>Enhances AC-24 (Access Control Decisions): configure and enforce 'Transmit Access Authorization Information' in addition to the base setting, keep it consistent across applicable systems and document approved exceptions. Base scope: Configure how access decisions are transmitted and enforced across systems</t>
  </si>
  <si>
    <r>
      <rPr>
        <rFont val="FreeSans"/>
        <color theme="1"/>
        <sz val="14.0"/>
      </rPr>
      <t xml:space="preserve">ส่วนขยายของ </t>
    </r>
    <r>
      <rPr>
        <rFont val="Calibri"/>
        <color theme="1"/>
        <sz val="14.0"/>
      </rPr>
      <t xml:space="preserve">AC-24: </t>
    </r>
    <r>
      <rPr>
        <rFont val="FreeSans"/>
        <color theme="1"/>
        <sz val="14.0"/>
      </rPr>
      <t xml:space="preserve">กำหนดค่าและบังคับใช้ </t>
    </r>
    <r>
      <rPr>
        <rFont val="Calibri"/>
        <color theme="1"/>
        <sz val="14.0"/>
      </rPr>
      <t xml:space="preserve">'Transmit Access Authorization Information'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กำหนดวิธีส่งต่อและบังคับใช้ผลการตัดสินสิทธิ์การเข้าถึงระหว่างระบบ</t>
    </r>
  </si>
  <si>
    <t>ESBIT-AC-24(02)</t>
  </si>
  <si>
    <t>AC-24(02)</t>
  </si>
  <si>
    <t>Access Control Decisions | No User or Process Identity</t>
  </si>
  <si>
    <t>Enhances AC-24 (Access Control Decisions): configure and enforce 'No User or Process Identity' in addition to the base setting, keep it consistent across applicable systems and document approved exceptions. Base scope: Configure how access decisions are transmitted and enforced across systems</t>
  </si>
  <si>
    <r>
      <rPr>
        <rFont val="FreeSans"/>
        <color theme="1"/>
        <sz val="14.0"/>
      </rPr>
      <t xml:space="preserve">ส่วนขยายของ </t>
    </r>
    <r>
      <rPr>
        <rFont val="Calibri"/>
        <color theme="1"/>
        <sz val="14.0"/>
      </rPr>
      <t xml:space="preserve">AC-24: </t>
    </r>
    <r>
      <rPr>
        <rFont val="FreeSans"/>
        <color theme="1"/>
        <sz val="14.0"/>
      </rPr>
      <t xml:space="preserve">กำหนดค่าและบังคับใช้ </t>
    </r>
    <r>
      <rPr>
        <rFont val="Calibri"/>
        <color theme="1"/>
        <sz val="14.0"/>
      </rPr>
      <t xml:space="preserve">'No User or Process Identity'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กำหนดวิธีส่งต่อและบังคับใช้ผลการตัดสินสิทธิ์การเข้าถึงระหว่างระบบ</t>
    </r>
  </si>
  <si>
    <t>ESBIT-AC-25</t>
  </si>
  <si>
    <t>AC-25</t>
  </si>
  <si>
    <t>Reference Monitor</t>
  </si>
  <si>
    <t>Implement a tamper-proof, always-invoked access enforcement mechanism (reference monitor)</t>
  </si>
  <si>
    <r>
      <rPr>
        <rFont val="FreeSans"/>
        <color theme="1"/>
        <sz val="14.0"/>
      </rPr>
      <t xml:space="preserve">ใช้กลไกบังคับสิทธิ์ที่ป้องกันการแก้ไขและทำงานทุกครั้ง </t>
    </r>
    <r>
      <rPr>
        <rFont val="Calibri"/>
        <color theme="1"/>
        <sz val="14.0"/>
      </rPr>
      <t>(Reference Monitor)</t>
    </r>
  </si>
  <si>
    <t>ESBIT-AT-01</t>
  </si>
  <si>
    <t>AT-01</t>
  </si>
  <si>
    <t>Not a direct configuration item - define, document, review and communicate the Awareness and Training policy and procedures that drive the technical configuration standards.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</si>
  <si>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กำหนด จัดทำเอกสาร และทบทวนนโยบาย</t>
    </r>
    <r>
      <rPr>
        <rFont val="Calibri"/>
        <color theme="1"/>
        <sz val="14.0"/>
      </rPr>
      <t>/</t>
    </r>
    <r>
      <rPr>
        <rFont val="FreeSans"/>
        <color theme="1"/>
        <sz val="14.0"/>
      </rPr>
      <t xml:space="preserve">ขั้นตอนของหมวดการอบรมและสร้างความตระหนัก เพื่อเป็นฐานในการกำหนดมาตรฐาน </t>
    </r>
    <r>
      <rPr>
        <rFont val="Calibri"/>
        <color theme="1"/>
        <sz val="14.0"/>
      </rPr>
      <t>Config</t>
    </r>
  </si>
  <si>
    <t>ESBIT-AT-02</t>
  </si>
  <si>
    <t>AT-02</t>
  </si>
  <si>
    <t>Literacy Training and Awareness</t>
  </si>
  <si>
    <t>PR.AT - Awareness and Training</t>
  </si>
  <si>
    <t>PR.AT-01</t>
  </si>
  <si>
    <t>Personnel are provided with awareness and training so that they possess the knowledge and skills to perform general tasks with cybersecurity risks in mind</t>
  </si>
  <si>
    <t>Not a direct configuration item - security awareness training for all users on threats and secure use of systems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</si>
  <si>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การอบรมสร้างความตระหนักด้านความมั่นคงปลอดภัยให้ผู้ใช้ทุกคน</t>
    </r>
  </si>
  <si>
    <t>ESBIT-AT-02(01)</t>
  </si>
  <si>
    <t>AT-02(01)</t>
  </si>
  <si>
    <t>Literacy Training and Awareness | Practical Exercises</t>
  </si>
  <si>
    <t>Not a direct configuration item - enhancement of AT-02 (Literacy Training and Awareness): 'Practical Exercises'; security awareness training for all users on threats and secure use of systems.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</si>
  <si>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AT-02: 'Practical Exercises' - </t>
    </r>
    <r>
      <rPr>
        <rFont val="FreeSans"/>
        <color theme="1"/>
        <sz val="14.0"/>
      </rPr>
      <t>การอบรมสร้างความตระหนักด้านความมั่นคงปลอดภัยให้ผู้ใช้ทุกคน</t>
    </r>
  </si>
  <si>
    <t>ESBIT-AT-02(02)</t>
  </si>
  <si>
    <t>AT-02(02)</t>
  </si>
  <si>
    <t>Literacy Training and Awareness | Insider Threat</t>
  </si>
  <si>
    <t>Not a direct configuration item - enhancement of AT-02 (Literacy Training and Awareness): 'Insider Threat'; security awareness training for all users on threats and secure use of systems.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</si>
  <si>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AT-02: 'Insider Threat' - </t>
    </r>
    <r>
      <rPr>
        <rFont val="FreeSans"/>
        <color theme="1"/>
        <sz val="14.0"/>
      </rPr>
      <t>การอบรมสร้างความตระหนักด้านความมั่นคงปลอดภัยให้ผู้ใช้ทุกคน</t>
    </r>
  </si>
  <si>
    <t>ESBIT-AT-02(03)</t>
  </si>
  <si>
    <t>AT-02(03)</t>
  </si>
  <si>
    <t>Literacy Training and Awareness | Social Engineering and Mining</t>
  </si>
  <si>
    <t>Not a direct configuration item - enhancement of AT-02 (Literacy Training and Awareness): 'Social Engineering and Mining'; security awareness training for all users on threats and secure use of systems.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</si>
  <si>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AT-02: 'Social Engineering and Mining' - </t>
    </r>
    <r>
      <rPr>
        <rFont val="FreeSans"/>
        <color theme="1"/>
        <sz val="14.0"/>
      </rPr>
      <t>การอบรมสร้างความตระหนักด้านความมั่นคงปลอดภัยให้ผู้ใช้ทุกคน</t>
    </r>
  </si>
  <si>
    <t>ESBIT-AT-02(04)</t>
  </si>
  <si>
    <t>AT-02(04)</t>
  </si>
  <si>
    <t>Literacy Training and Awareness | Suspicious Communications and Anomalous System Behavior</t>
  </si>
  <si>
    <t>Not a direct configuration item - enhancement of AT-02 (Literacy Training and Awareness): 'Suspicious Communications and Anomalous System Behavior'; security awareness training for all users on threats and secure use of systems.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</si>
  <si>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AT-02: 'Suspicious Communications and Anomalous System Behavior' - </t>
    </r>
    <r>
      <rPr>
        <rFont val="FreeSans"/>
        <color theme="1"/>
        <sz val="14.0"/>
      </rPr>
      <t>การอบรมสร้างความตระหนักด้านความมั่นคงปลอดภัยให้ผู้ใช้ทุกคน</t>
    </r>
  </si>
  <si>
    <t>ESBIT-AT-02(05)</t>
  </si>
  <si>
    <t>AT-02(05)</t>
  </si>
  <si>
    <t>Literacy Training and Awareness | Advanced Persistent Threat</t>
  </si>
  <si>
    <t>Not a direct configuration item - enhancement of AT-02 (Literacy Training and Awareness): 'Advanced Persistent Threat'; security awareness training for all users on threats and secure use of systems.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</si>
  <si>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AT-02: 'Advanced Persistent Threat' - </t>
    </r>
    <r>
      <rPr>
        <rFont val="FreeSans"/>
        <color theme="1"/>
        <sz val="14.0"/>
      </rPr>
      <t>การอบรมสร้างความตระหนักด้านความมั่นคงปลอดภัยให้ผู้ใช้ทุกคน</t>
    </r>
  </si>
  <si>
    <t>ESBIT-AT-02(06)</t>
  </si>
  <si>
    <t>AT-02(06)</t>
  </si>
  <si>
    <t>Literacy Training and Awareness | Cyber Threat Environment</t>
  </si>
  <si>
    <t>Not a direct configuration item - enhancement of AT-02 (Literacy Training and Awareness): 'Cyber Threat Environment'; security awareness training for all users on threats and secure use of systems.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</si>
  <si>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AT-02: 'Cyber Threat Environment' - </t>
    </r>
    <r>
      <rPr>
        <rFont val="FreeSans"/>
        <color theme="1"/>
        <sz val="14.0"/>
      </rPr>
      <t>การอบรมสร้างความตระหนักด้านความมั่นคงปลอดภัยให้ผู้ใช้ทุกคน</t>
    </r>
  </si>
  <si>
    <t>ESBIT-AT-03</t>
  </si>
  <si>
    <t>AT-03</t>
  </si>
  <si>
    <t>Role-based Training</t>
  </si>
  <si>
    <t>PR.AT-02</t>
  </si>
  <si>
    <t>Individuals in specialized roles are provided with awareness and training so that they possess the knowledge and skills to perform relevant tasks with cybersecurity risks in mind</t>
  </si>
  <si>
    <t>Not a direct configuration item - role-specific security training for administrators, developers and privileged users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</si>
  <si>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การอบรมเฉพาะบทบาท เช่น ผู้ดูแลระบบ นักพัฒนา และผู้ใช้สิทธิ์สูง</t>
    </r>
  </si>
  <si>
    <t>ESBIT-AT-03(01)</t>
  </si>
  <si>
    <t>AT-03(01)</t>
  </si>
  <si>
    <t>Role-based Training | Environmental Controls</t>
  </si>
  <si>
    <t>Not a direct configuration item - enhancement of AT-03 (Role-based Training): 'Environmental Controls'; role-specific security training for administrators, developers and privileged users.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</si>
  <si>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AT-03: 'Environmental Controls' - </t>
    </r>
    <r>
      <rPr>
        <rFont val="FreeSans"/>
        <color theme="1"/>
        <sz val="14.0"/>
      </rPr>
      <t>การอบรมเฉพาะบทบาท เช่น ผู้ดูแลระบบ นักพัฒนา และผู้ใช้สิทธิ์สูง</t>
    </r>
  </si>
  <si>
    <t>ESBIT-AT-03(02)</t>
  </si>
  <si>
    <t>AT-03(02)</t>
  </si>
  <si>
    <t>Role-based Training | Physical Security Controls</t>
  </si>
  <si>
    <t>Not a direct configuration item - enhancement of AT-03 (Role-based Training): 'Physical Security Controls'; role-specific security training for administrators, developers and privileged users.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</si>
  <si>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AT-03: 'Physical Security Controls' - </t>
    </r>
    <r>
      <rPr>
        <rFont val="FreeSans"/>
        <color theme="1"/>
        <sz val="14.0"/>
      </rPr>
      <t>การอบรมเฉพาะบทบาท เช่น ผู้ดูแลระบบ นักพัฒนา และผู้ใช้สิทธิ์สูง</t>
    </r>
  </si>
  <si>
    <t>ESBIT-AT-03(03)</t>
  </si>
  <si>
    <t>AT-03(03)</t>
  </si>
  <si>
    <t>Role-based Training | Practical Exercises</t>
  </si>
  <si>
    <t>Not a direct configuration item - enhancement of AT-03 (Role-based Training): 'Practical Exercises'; role-specific security training for administrators, developers and privileged users.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</si>
  <si>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AT-03: 'Practical Exercises' - </t>
    </r>
    <r>
      <rPr>
        <rFont val="FreeSans"/>
        <color theme="1"/>
        <sz val="14.0"/>
      </rPr>
      <t>การอบรมเฉพาะบทบาท เช่น ผู้ดูแลระบบ นักพัฒนา และผู้ใช้สิทธิ์สูง</t>
    </r>
  </si>
  <si>
    <t>ESBIT-AT-03(04)</t>
  </si>
  <si>
    <t>AT-03(04)</t>
  </si>
  <si>
    <t>Role-based Training | Suspicious Communications and Anomalous System Behavior</t>
  </si>
  <si>
    <t>Not a direct configuration item - enhancement of AT-03 (Role-based Training): 'Suspicious Communications and Anomalous System Behavior'; role-specific security training for administrators, developers and privileged users.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</si>
  <si>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AT-03: 'Suspicious Communications and Anomalous System Behavior' - </t>
    </r>
    <r>
      <rPr>
        <rFont val="FreeSans"/>
        <color theme="1"/>
        <sz val="14.0"/>
      </rPr>
      <t>การอบรมเฉพาะบทบาท เช่น ผู้ดูแลระบบ นักพัฒนา และผู้ใช้สิทธิ์สูง</t>
    </r>
  </si>
  <si>
    <t>ESBIT-AT-03(05)</t>
  </si>
  <si>
    <t>AT-03(05)</t>
  </si>
  <si>
    <t>Role-based Training | Processing Personally Identifiable Information</t>
  </si>
  <si>
    <t>Not a direct configuration item - enhancement of AT-03 (Role-based Training): 'Processing Personally Identifiable Information'; role-specific security training for administrators, developers and privileged users.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</si>
  <si>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AT-03: 'Processing Personally Identifiable Information' - </t>
    </r>
    <r>
      <rPr>
        <rFont val="FreeSans"/>
        <color theme="1"/>
        <sz val="14.0"/>
      </rPr>
      <t>การอบรมเฉพาะบทบาท เช่น ผู้ดูแลระบบ นักพัฒนา และผู้ใช้สิทธิ์สูง</t>
    </r>
  </si>
  <si>
    <t>ESBIT-AT-04</t>
  </si>
  <si>
    <t>AT-04</t>
  </si>
  <si>
    <t>Training Records</t>
  </si>
  <si>
    <t>Not a direct configuration item - keeping records of completed security training</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</si>
  <si>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การเก็บบันทึกผลการอบรมด้านความมั่นคงปลอดภัย</t>
    </r>
  </si>
  <si>
    <t>ESBIT-AT-06</t>
  </si>
  <si>
    <t>AT-06</t>
  </si>
  <si>
    <t>Training Feedback</t>
  </si>
  <si>
    <t>Not a direct configuration item - collecting feedback on training effectiveness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</si>
  <si>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การรวบรวมข้อเสนอแนะเพื่อปรับปรุงการอบรม</t>
    </r>
  </si>
  <si>
    <t>ESBIT-AU-01</t>
  </si>
  <si>
    <t>AU-01</t>
  </si>
  <si>
    <t>Not a direct configuration item - define, document, review and communicate the Audit and Accountability policy and procedures that drive the technical configuration standards.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</si>
  <si>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กำหนด จัดทำเอกสาร และทบทวนนโยบาย</t>
    </r>
    <r>
      <rPr>
        <rFont val="Calibri"/>
        <color theme="1"/>
        <sz val="14.0"/>
      </rPr>
      <t>/</t>
    </r>
    <r>
      <rPr>
        <rFont val="FreeSans"/>
        <color theme="1"/>
        <sz val="14.0"/>
      </rPr>
      <t xml:space="preserve">ขั้นตอนของหมวดการตรวจสอบและบันทึกล็อก เพื่อเป็นฐานในการกำหนดมาตรฐาน </t>
    </r>
    <r>
      <rPr>
        <rFont val="Calibri"/>
        <color theme="1"/>
        <sz val="14.0"/>
      </rPr>
      <t>Config</t>
    </r>
  </si>
  <si>
    <t>ESBIT-AU-02</t>
  </si>
  <si>
    <t>AU-02</t>
  </si>
  <si>
    <t>Event Logging</t>
  </si>
  <si>
    <t>PR.PS-04</t>
  </si>
  <si>
    <t>Log records are generated and made available for continuous monitoring</t>
  </si>
  <si>
    <t>Define and enable auditable events (logon, privilege use, configuration change, admin actions) on OS, database, network devices, applications and cloud</t>
  </si>
  <si>
    <r>
      <rPr>
        <rFont val="FreeSans"/>
        <color theme="1"/>
        <sz val="14.0"/>
      </rPr>
      <t xml:space="preserve">กำหนดและเปิดใช้งานเหตุการณ์ที่ต้องบันทึก </t>
    </r>
    <r>
      <rPr>
        <rFont val="Calibri"/>
        <color theme="1"/>
        <sz val="14.0"/>
      </rPr>
      <t xml:space="preserve">(Logon, </t>
    </r>
    <r>
      <rPr>
        <rFont val="FreeSans"/>
        <color theme="1"/>
        <sz val="14.0"/>
      </rPr>
      <t>ใช้สิทธิ์สูง</t>
    </r>
    <r>
      <rPr>
        <rFont val="Calibri"/>
        <color theme="1"/>
        <sz val="14.0"/>
      </rPr>
      <t xml:space="preserve">, </t>
    </r>
    <r>
      <rPr>
        <rFont val="FreeSans"/>
        <color theme="1"/>
        <sz val="14.0"/>
      </rPr>
      <t xml:space="preserve">เปลี่ยน </t>
    </r>
    <r>
      <rPr>
        <rFont val="Calibri"/>
        <color theme="1"/>
        <sz val="14.0"/>
      </rPr>
      <t xml:space="preserve">Config, </t>
    </r>
    <r>
      <rPr>
        <rFont val="FreeSans"/>
        <color theme="1"/>
        <sz val="14.0"/>
      </rPr>
      <t>งานผู้ดูแล</t>
    </r>
    <r>
      <rPr>
        <rFont val="Calibri"/>
        <color theme="1"/>
        <sz val="14.0"/>
      </rPr>
      <t xml:space="preserve">) </t>
    </r>
    <r>
      <rPr>
        <rFont val="FreeSans"/>
        <color theme="1"/>
        <sz val="14.0"/>
      </rPr>
      <t xml:space="preserve">บน </t>
    </r>
    <r>
      <rPr>
        <rFont val="Calibri"/>
        <color theme="1"/>
        <sz val="14.0"/>
      </rPr>
      <t>OS/DB/Network/App/Cloud</t>
    </r>
  </si>
  <si>
    <t>ESBIT-AU-02(03)</t>
  </si>
  <si>
    <t>AU-02(03)</t>
  </si>
  <si>
    <t>Event Logging | Reviews and Updates</t>
  </si>
  <si>
    <t>Enhances AU-02 (Event Logging): configure and enforce 'Reviews and Updates' in addition to the base setting, keep it consistent across applicable systems and document approved exceptions. Base scope: Define and enable auditable events (logon, privilege use, configuration change, admin actions) on OS, database, network devices, applications and cloud</t>
  </si>
  <si>
    <r>
      <rPr>
        <rFont val="FreeSans"/>
        <color theme="1"/>
        <sz val="14.0"/>
      </rPr>
      <t xml:space="preserve">ส่วนขยายของ </t>
    </r>
    <r>
      <rPr>
        <rFont val="Calibri"/>
        <color theme="1"/>
        <sz val="14.0"/>
      </rPr>
      <t xml:space="preserve">AU-02: </t>
    </r>
    <r>
      <rPr>
        <rFont val="FreeSans"/>
        <color theme="1"/>
        <sz val="14.0"/>
      </rPr>
      <t xml:space="preserve">กำหนดค่าและบังคับใช้ </t>
    </r>
    <r>
      <rPr>
        <rFont val="Calibri"/>
        <color theme="1"/>
        <sz val="14.0"/>
      </rPr>
      <t xml:space="preserve">'Reviews and Updates'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กำหนดและเปิดใช้งานเหตุการณ์ที่ต้องบันทึก </t>
    </r>
    <r>
      <rPr>
        <rFont val="Calibri"/>
        <color theme="1"/>
        <sz val="14.0"/>
      </rPr>
      <t xml:space="preserve">(Logon, </t>
    </r>
    <r>
      <rPr>
        <rFont val="FreeSans"/>
        <color theme="1"/>
        <sz val="14.0"/>
      </rPr>
      <t>ใช้สิทธิ์สูง</t>
    </r>
    <r>
      <rPr>
        <rFont val="Calibri"/>
        <color theme="1"/>
        <sz val="14.0"/>
      </rPr>
      <t xml:space="preserve">, </t>
    </r>
    <r>
      <rPr>
        <rFont val="FreeSans"/>
        <color theme="1"/>
        <sz val="14.0"/>
      </rPr>
      <t xml:space="preserve">เปลี่ยน </t>
    </r>
    <r>
      <rPr>
        <rFont val="Calibri"/>
        <color theme="1"/>
        <sz val="14.0"/>
      </rPr>
      <t xml:space="preserve">Config, </t>
    </r>
    <r>
      <rPr>
        <rFont val="FreeSans"/>
        <color theme="1"/>
        <sz val="14.0"/>
      </rPr>
      <t>งานผู้ดูแล</t>
    </r>
    <r>
      <rPr>
        <rFont val="Calibri"/>
        <color theme="1"/>
        <sz val="14.0"/>
      </rPr>
      <t xml:space="preserve">) </t>
    </r>
    <r>
      <rPr>
        <rFont val="FreeSans"/>
        <color theme="1"/>
        <sz val="14.0"/>
      </rPr>
      <t xml:space="preserve">บน </t>
    </r>
    <r>
      <rPr>
        <rFont val="Calibri"/>
        <color theme="1"/>
        <sz val="14.0"/>
      </rPr>
      <t>OS/DB/Network/App/Cloud</t>
    </r>
  </si>
  <si>
    <t>ESBIT-AU-03</t>
  </si>
  <si>
    <t>AU-03</t>
  </si>
  <si>
    <t>Content of Audit Records</t>
  </si>
  <si>
    <t>Configure log format to include event type, timestamp, source, user identity, outcome and location</t>
  </si>
  <si>
    <r>
      <rPr>
        <rFont val="FreeSans"/>
        <color theme="1"/>
        <sz val="14.0"/>
      </rPr>
      <t xml:space="preserve">ตั้งค่ารูปแบบ </t>
    </r>
    <r>
      <rPr>
        <rFont val="Calibri"/>
        <color theme="1"/>
        <sz val="14.0"/>
      </rPr>
      <t xml:space="preserve">Log </t>
    </r>
    <r>
      <rPr>
        <rFont val="FreeSans"/>
        <color theme="1"/>
        <sz val="14.0"/>
      </rPr>
      <t>ให้มีชนิดเหตุการณ์ เวลา แหล่งที่มา ผู้ใช้ ผลลัพธ์ และตำแหน่ง</t>
    </r>
  </si>
  <si>
    <t>ESBIT-AU-03(01)</t>
  </si>
  <si>
    <t>AU-03(01)</t>
  </si>
  <si>
    <t>Content of Audit Records | Additional Audit Information</t>
  </si>
  <si>
    <t>Enhances AU-03 (Content of Audit Records): configure and enforce 'Additional Audit Information' in addition to the base setting, keep it consistent across applicable systems and document approved exceptions. Base scope: Configure log format to include event type, timestamp, source, user identity, outcome and location</t>
  </si>
  <si>
    <r>
      <rPr>
        <rFont val="FreeSans"/>
        <color theme="1"/>
        <sz val="14.0"/>
      </rPr>
      <t xml:space="preserve">ส่วนขยายของ </t>
    </r>
    <r>
      <rPr>
        <rFont val="Calibri"/>
        <color theme="1"/>
        <sz val="14.0"/>
      </rPr>
      <t xml:space="preserve">AU-03: </t>
    </r>
    <r>
      <rPr>
        <rFont val="FreeSans"/>
        <color theme="1"/>
        <sz val="14.0"/>
      </rPr>
      <t xml:space="preserve">กำหนดค่าและบังคับใช้ </t>
    </r>
    <r>
      <rPr>
        <rFont val="Calibri"/>
        <color theme="1"/>
        <sz val="14.0"/>
      </rPr>
      <t xml:space="preserve">'Additional Audit Information'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ตั้งค่ารูปแบบ </t>
    </r>
    <r>
      <rPr>
        <rFont val="Calibri"/>
        <color theme="1"/>
        <sz val="14.0"/>
      </rPr>
      <t xml:space="preserve">Log </t>
    </r>
    <r>
      <rPr>
        <rFont val="FreeSans"/>
        <color theme="1"/>
        <sz val="14.0"/>
      </rPr>
      <t>ให้มีชนิดเหตุการณ์ เวลา แหล่งที่มา ผู้ใช้ ผลลัพธ์ และตำแหน่ง</t>
    </r>
  </si>
  <si>
    <t>ESBIT-AU-03(03)</t>
  </si>
  <si>
    <t>AU-03(03)</t>
  </si>
  <si>
    <t>Content of Audit Records | Limit Personally Identifiable Information Elements</t>
  </si>
  <si>
    <t>Enhances AU-03 (Content of Audit Records): configure and enforce 'Limit Personally Identifiable Information Elements' in addition to the base setting, keep it consistent across applicable systems and document approved exceptions. Base scope: Configure log format to include event type, timestamp, source, user identity, outcome and location</t>
  </si>
  <si>
    <r>
      <rPr>
        <rFont val="FreeSans"/>
        <color theme="1"/>
        <sz val="14.0"/>
      </rPr>
      <t xml:space="preserve">ส่วนขยายของ </t>
    </r>
    <r>
      <rPr>
        <rFont val="Calibri"/>
        <color theme="1"/>
        <sz val="14.0"/>
      </rPr>
      <t xml:space="preserve">AU-03: </t>
    </r>
    <r>
      <rPr>
        <rFont val="FreeSans"/>
        <color theme="1"/>
        <sz val="14.0"/>
      </rPr>
      <t xml:space="preserve">กำหนดค่าและบังคับใช้ </t>
    </r>
    <r>
      <rPr>
        <rFont val="Calibri"/>
        <color theme="1"/>
        <sz val="14.0"/>
      </rPr>
      <t xml:space="preserve">'Limit Personally Identifiable Information Elements'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ตั้งค่ารูปแบบ </t>
    </r>
    <r>
      <rPr>
        <rFont val="Calibri"/>
        <color theme="1"/>
        <sz val="14.0"/>
      </rPr>
      <t xml:space="preserve">Log </t>
    </r>
    <r>
      <rPr>
        <rFont val="FreeSans"/>
        <color theme="1"/>
        <sz val="14.0"/>
      </rPr>
      <t>ให้มีชนิดเหตุการณ์ เวลา แหล่งที่มา ผู้ใช้ ผลลัพธ์ และตำแหน่ง</t>
    </r>
  </si>
  <si>
    <t>ESBIT-AU-04</t>
  </si>
  <si>
    <t>AU-04</t>
  </si>
  <si>
    <t>Audit Log Storage Capacity</t>
  </si>
  <si>
    <t>PR.IR-04</t>
  </si>
  <si>
    <t>Adequate resource capacity to ensure availability is maintained</t>
  </si>
  <si>
    <t>Allocate log storage capacity and configure log rotation and retention volume on servers and appliances</t>
  </si>
  <si>
    <r>
      <rPr>
        <rFont val="FreeSans"/>
        <color theme="1"/>
        <sz val="14.0"/>
      </rPr>
      <t xml:space="preserve">จัดสรรพื้นที่เก็บ </t>
    </r>
    <r>
      <rPr>
        <rFont val="Calibri"/>
        <color theme="1"/>
        <sz val="14.0"/>
      </rPr>
      <t xml:space="preserve">Log </t>
    </r>
    <r>
      <rPr>
        <rFont val="FreeSans"/>
        <color theme="1"/>
        <sz val="14.0"/>
      </rPr>
      <t xml:space="preserve">และตั้งค่า </t>
    </r>
    <r>
      <rPr>
        <rFont val="Calibri"/>
        <color theme="1"/>
        <sz val="14.0"/>
      </rPr>
      <t xml:space="preserve">Log Rotation/Retention </t>
    </r>
    <r>
      <rPr>
        <rFont val="FreeSans"/>
        <color theme="1"/>
        <sz val="14.0"/>
      </rPr>
      <t>บนเซิร์ฟเวอร์และอุปกรณ์</t>
    </r>
  </si>
  <si>
    <t>ESBIT-AU-04(01)</t>
  </si>
  <si>
    <t>AU-04(01)</t>
  </si>
  <si>
    <t>Audit Log Storage Capacity | Transfer to Alternate Storage</t>
  </si>
  <si>
    <t>Enhances AU-04 (Audit Log Storage Capacity): configure and enforce 'Transfer to Alternate Storage' in addition to the base setting, keep it consistent across applicable systems and document approved exceptions. Base scope: Allocate log storage capacity and configure log rotation and retention volume on servers and appliances</t>
  </si>
  <si>
    <r>
      <rPr>
        <rFont val="FreeSans"/>
        <color theme="1"/>
        <sz val="14.0"/>
      </rPr>
      <t xml:space="preserve">ส่วนขยายของ </t>
    </r>
    <r>
      <rPr>
        <rFont val="Calibri"/>
        <color theme="1"/>
        <sz val="14.0"/>
      </rPr>
      <t xml:space="preserve">AU-04: </t>
    </r>
    <r>
      <rPr>
        <rFont val="FreeSans"/>
        <color theme="1"/>
        <sz val="14.0"/>
      </rPr>
      <t xml:space="preserve">กำหนดค่าและบังคับใช้ </t>
    </r>
    <r>
      <rPr>
        <rFont val="Calibri"/>
        <color theme="1"/>
        <sz val="14.0"/>
      </rPr>
      <t xml:space="preserve">'Transfer to Alternate Storage'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จัดสรรพื้นที่เก็บ </t>
    </r>
    <r>
      <rPr>
        <rFont val="Calibri"/>
        <color theme="1"/>
        <sz val="14.0"/>
      </rPr>
      <t xml:space="preserve">Log </t>
    </r>
    <r>
      <rPr>
        <rFont val="FreeSans"/>
        <color theme="1"/>
        <sz val="14.0"/>
      </rPr>
      <t xml:space="preserve">และตั้งค่า </t>
    </r>
    <r>
      <rPr>
        <rFont val="Calibri"/>
        <color theme="1"/>
        <sz val="14.0"/>
      </rPr>
      <t xml:space="preserve">Log Rotation/Retention </t>
    </r>
    <r>
      <rPr>
        <rFont val="FreeSans"/>
        <color theme="1"/>
        <sz val="14.0"/>
      </rPr>
      <t>บนเซิร์ฟเวอร์และอุปกรณ์</t>
    </r>
  </si>
  <si>
    <t>ESBIT-AU-05</t>
  </si>
  <si>
    <t>AU-05</t>
  </si>
  <si>
    <t>Response to Audit Logging Process Failures</t>
  </si>
  <si>
    <t>DE.CM-09</t>
  </si>
  <si>
    <t>Computing hardware and software, runtime environments, and their data are monitored to find potentially adverse events</t>
  </si>
  <si>
    <t>Configure alerts and defined actions when logging fails or storage is nearly full</t>
  </si>
  <si>
    <r>
      <rPr>
        <rFont val="FreeSans"/>
        <color theme="1"/>
        <sz val="14.0"/>
      </rPr>
      <t xml:space="preserve">ตั้งค่าการแจ้งเตือนและการตอบสนองเมื่อระบบ </t>
    </r>
    <r>
      <rPr>
        <rFont val="Calibri"/>
        <color theme="1"/>
        <sz val="14.0"/>
      </rPr>
      <t xml:space="preserve">Log </t>
    </r>
    <r>
      <rPr>
        <rFont val="FreeSans"/>
        <color theme="1"/>
        <sz val="14.0"/>
      </rPr>
      <t>ล้มเหลวหรือพื้นที่เต็ม</t>
    </r>
  </si>
  <si>
    <t>ESBIT-AU-05(01)</t>
  </si>
  <si>
    <t>AU-05(01)</t>
  </si>
  <si>
    <t>Response to Audit Logging Process Failures | Storage Capacity Warning</t>
  </si>
  <si>
    <t>Enhances AU-05 (Response to Audit Logging Process Failures): configure and enforce 'Storage Capacity Warning' in addition to the base setting, keep it consistent across applicable systems and document approved exceptions. Base scope: Configure alerts and defined actions when logging fails or storage is nearly full</t>
  </si>
  <si>
    <r>
      <rPr>
        <rFont val="FreeSans"/>
        <color theme="1"/>
        <sz val="14.0"/>
      </rPr>
      <t xml:space="preserve">ส่วนขยายของ </t>
    </r>
    <r>
      <rPr>
        <rFont val="Calibri"/>
        <color theme="1"/>
        <sz val="14.0"/>
      </rPr>
      <t xml:space="preserve">AU-05: </t>
    </r>
    <r>
      <rPr>
        <rFont val="FreeSans"/>
        <color theme="1"/>
        <sz val="14.0"/>
      </rPr>
      <t xml:space="preserve">กำหนดค่าและบังคับใช้ </t>
    </r>
    <r>
      <rPr>
        <rFont val="Calibri"/>
        <color theme="1"/>
        <sz val="14.0"/>
      </rPr>
      <t xml:space="preserve">'Storage Capacity Warning'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ตั้งค่าการแจ้งเตือนและการตอบสนองเมื่อระบบ </t>
    </r>
    <r>
      <rPr>
        <rFont val="Calibri"/>
        <color theme="1"/>
        <sz val="14.0"/>
      </rPr>
      <t xml:space="preserve">Log </t>
    </r>
    <r>
      <rPr>
        <rFont val="FreeSans"/>
        <color theme="1"/>
        <sz val="14.0"/>
      </rPr>
      <t>ล้มเหลวหรือพื้นที่เต็ม</t>
    </r>
  </si>
  <si>
    <t>ESBIT-AU-05(02)</t>
  </si>
  <si>
    <t>AU-05(02)</t>
  </si>
  <si>
    <t>Response to Audit Logging Process Failures | Real-time Alerts</t>
  </si>
  <si>
    <t>Enhances AU-05 (Response to Audit Logging Process Failures): configure and enforce 'Real-time Alerts' in addition to the base setting, keep it consistent across applicable systems and document approved exceptions. Base scope: Configure alerts and defined actions when logging fails or storage is nearly full</t>
  </si>
  <si>
    <r>
      <rPr>
        <rFont val="FreeSans"/>
        <color theme="1"/>
        <sz val="14.0"/>
      </rPr>
      <t xml:space="preserve">ส่วนขยายของ </t>
    </r>
    <r>
      <rPr>
        <rFont val="Calibri"/>
        <color theme="1"/>
        <sz val="14.0"/>
      </rPr>
      <t xml:space="preserve">AU-05: </t>
    </r>
    <r>
      <rPr>
        <rFont val="FreeSans"/>
        <color theme="1"/>
        <sz val="14.0"/>
      </rPr>
      <t xml:space="preserve">กำหนดค่าและบังคับใช้ </t>
    </r>
    <r>
      <rPr>
        <rFont val="Calibri"/>
        <color theme="1"/>
        <sz val="14.0"/>
      </rPr>
      <t xml:space="preserve">'Real-time Alerts'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ตั้งค่าการแจ้งเตือนและการตอบสนองเมื่อระบบ </t>
    </r>
    <r>
      <rPr>
        <rFont val="Calibri"/>
        <color theme="1"/>
        <sz val="14.0"/>
      </rPr>
      <t xml:space="preserve">Log </t>
    </r>
    <r>
      <rPr>
        <rFont val="FreeSans"/>
        <color theme="1"/>
        <sz val="14.0"/>
      </rPr>
      <t>ล้มเหลวหรือพื้นที่เต็ม</t>
    </r>
  </si>
  <si>
    <t>ESBIT-AU-05(03)</t>
  </si>
  <si>
    <t>AU-05(03)</t>
  </si>
  <si>
    <t>Response to Audit Logging Process Failures | Configurable Traffic Volume Thresholds</t>
  </si>
  <si>
    <t>Enhances AU-05 (Response to Audit Logging Process Failures): configure and enforce 'Configurable Traffic Volume Thresholds' in addition to the base setting, keep it consistent across applicable systems and document approved exceptions. Base scope: Configure alerts and defined actions when logging fails or storage is nearly full</t>
  </si>
  <si>
    <r>
      <rPr>
        <rFont val="FreeSans"/>
        <color theme="1"/>
        <sz val="14.0"/>
      </rPr>
      <t xml:space="preserve">ส่วนขยายของ </t>
    </r>
    <r>
      <rPr>
        <rFont val="Calibri"/>
        <color theme="1"/>
        <sz val="14.0"/>
      </rPr>
      <t xml:space="preserve">AU-05: </t>
    </r>
    <r>
      <rPr>
        <rFont val="FreeSans"/>
        <color theme="1"/>
        <sz val="14.0"/>
      </rPr>
      <t xml:space="preserve">กำหนดค่าและบังคับใช้ </t>
    </r>
    <r>
      <rPr>
        <rFont val="Calibri"/>
        <color theme="1"/>
        <sz val="14.0"/>
      </rPr>
      <t xml:space="preserve">'Configurable Traffic Volume Thresholds'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ตั้งค่าการแจ้งเตือนและการตอบสนองเมื่อระบบ </t>
    </r>
    <r>
      <rPr>
        <rFont val="Calibri"/>
        <color theme="1"/>
        <sz val="14.0"/>
      </rPr>
      <t xml:space="preserve">Log </t>
    </r>
    <r>
      <rPr>
        <rFont val="FreeSans"/>
        <color theme="1"/>
        <sz val="14.0"/>
      </rPr>
      <t>ล้มเหลวหรือพื้นที่เต็ม</t>
    </r>
  </si>
  <si>
    <t>ESBIT-AU-05(04)</t>
  </si>
  <si>
    <t>AU-05(04)</t>
  </si>
  <si>
    <t>Response to Audit Logging Process Failures | Shutdown on Failure</t>
  </si>
  <si>
    <t>Enhances AU-05 (Response to Audit Logging Process Failures): configure and enforce 'Shutdown on Failure' in addition to the base setting, keep it consistent across applicable systems and document approved exceptions. Base scope: Configure alerts and defined actions when logging fails or storage is nearly full</t>
  </si>
  <si>
    <r>
      <rPr>
        <rFont val="FreeSans"/>
        <color theme="1"/>
        <sz val="14.0"/>
      </rPr>
      <t xml:space="preserve">ส่วนขยายของ </t>
    </r>
    <r>
      <rPr>
        <rFont val="Calibri"/>
        <color theme="1"/>
        <sz val="14.0"/>
      </rPr>
      <t xml:space="preserve">AU-05: </t>
    </r>
    <r>
      <rPr>
        <rFont val="FreeSans"/>
        <color theme="1"/>
        <sz val="14.0"/>
      </rPr>
      <t xml:space="preserve">กำหนดค่าและบังคับใช้ </t>
    </r>
    <r>
      <rPr>
        <rFont val="Calibri"/>
        <color theme="1"/>
        <sz val="14.0"/>
      </rPr>
      <t xml:space="preserve">'Shutdown on Failure'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ตั้งค่าการแจ้งเตือนและการตอบสนองเมื่อระบบ </t>
    </r>
    <r>
      <rPr>
        <rFont val="Calibri"/>
        <color theme="1"/>
        <sz val="14.0"/>
      </rPr>
      <t xml:space="preserve">Log </t>
    </r>
    <r>
      <rPr>
        <rFont val="FreeSans"/>
        <color theme="1"/>
        <sz val="14.0"/>
      </rPr>
      <t>ล้มเหลวหรือพื้นที่เต็ม</t>
    </r>
  </si>
  <si>
    <t>ESBIT-AU-05(05)</t>
  </si>
  <si>
    <t>AU-05(05)</t>
  </si>
  <si>
    <t>Response to Audit Logging Process Failures | Alternate Audit Logging Capability</t>
  </si>
  <si>
    <t>Enhances AU-05 (Response to Audit Logging Process Failures): configure and enforce 'Alternate Audit Logging Capability' in addition to the base setting, keep it consistent across applicable systems and document approved exceptions. Base scope: Configure alerts and defined actions when logging fails or storage is nearly full</t>
  </si>
  <si>
    <r>
      <rPr>
        <rFont val="FreeSans"/>
        <color theme="1"/>
        <sz val="14.0"/>
      </rPr>
      <t xml:space="preserve">ส่วนขยายของ </t>
    </r>
    <r>
      <rPr>
        <rFont val="Calibri"/>
        <color theme="1"/>
        <sz val="14.0"/>
      </rPr>
      <t xml:space="preserve">AU-05: </t>
    </r>
    <r>
      <rPr>
        <rFont val="FreeSans"/>
        <color theme="1"/>
        <sz val="14.0"/>
      </rPr>
      <t xml:space="preserve">กำหนดค่าและบังคับใช้ </t>
    </r>
    <r>
      <rPr>
        <rFont val="Calibri"/>
        <color theme="1"/>
        <sz val="14.0"/>
      </rPr>
      <t xml:space="preserve">'Alternate Audit Logging Capability'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ตั้งค่าการแจ้งเตือนและการตอบสนองเมื่อระบบ </t>
    </r>
    <r>
      <rPr>
        <rFont val="Calibri"/>
        <color theme="1"/>
        <sz val="14.0"/>
      </rPr>
      <t xml:space="preserve">Log </t>
    </r>
    <r>
      <rPr>
        <rFont val="FreeSans"/>
        <color theme="1"/>
        <sz val="14.0"/>
      </rPr>
      <t>ล้มเหลวหรือพื้นที่เต็ม</t>
    </r>
  </si>
  <si>
    <t>ESBIT-AU-06</t>
  </si>
  <si>
    <t>AU-06</t>
  </si>
  <si>
    <t>Audit Record Review, Analysis, and Reporting</t>
  </si>
  <si>
    <t>DE.AE - Adverse Event Analysis</t>
  </si>
  <si>
    <t>DE.AE-02</t>
  </si>
  <si>
    <t>Potentially adverse events are analyzed to better understand associated activities</t>
  </si>
  <si>
    <t>Configure SIEM correlation rules, alert thresholds and review schedule for audit logs</t>
  </si>
  <si>
    <r>
      <rPr>
        <rFont val="FreeSans"/>
        <color theme="1"/>
        <sz val="14.0"/>
      </rPr>
      <t xml:space="preserve">ตั้งค่า </t>
    </r>
    <r>
      <rPr>
        <rFont val="Calibri"/>
        <color theme="1"/>
        <sz val="14.0"/>
      </rPr>
      <t xml:space="preserve">SIEM Correlation Rule </t>
    </r>
    <r>
      <rPr>
        <rFont val="FreeSans"/>
        <color theme="1"/>
        <sz val="14.0"/>
      </rPr>
      <t xml:space="preserve">เกณฑ์แจ้งเตือน และรอบการทบทวน </t>
    </r>
    <r>
      <rPr>
        <rFont val="Calibri"/>
        <color theme="1"/>
        <sz val="14.0"/>
      </rPr>
      <t>Log</t>
    </r>
  </si>
  <si>
    <t>Logging &amp; Monitoring, Governance/Process</t>
  </si>
  <si>
    <t>ESBIT-AU-06(01)</t>
  </si>
  <si>
    <t>AU-06(01)</t>
  </si>
  <si>
    <t>Audit Record Review, Analysis, and Reporting | Automated Process Integration</t>
  </si>
  <si>
    <t>Enhances AU-06 (Audit Record Review, Analysis, and Reporting): configure and enforce 'Automated Process Integration' in addition to the base setting, keep it consistent across applicable systems and document approved exceptions. Base scope: Configure SIEM correlation rules, alert thresholds and review schedule for audit logs</t>
  </si>
  <si>
    <r>
      <rPr>
        <rFont val="FreeSans"/>
        <color theme="1"/>
        <sz val="14.0"/>
      </rPr>
      <t xml:space="preserve">ส่วนขยายของ </t>
    </r>
    <r>
      <rPr>
        <rFont val="Calibri"/>
        <color theme="1"/>
        <sz val="14.0"/>
      </rPr>
      <t xml:space="preserve">AU-06: </t>
    </r>
    <r>
      <rPr>
        <rFont val="FreeSans"/>
        <color theme="1"/>
        <sz val="14.0"/>
      </rPr>
      <t xml:space="preserve">กำหนดค่าและบังคับใช้ </t>
    </r>
    <r>
      <rPr>
        <rFont val="Calibri"/>
        <color theme="1"/>
        <sz val="14.0"/>
      </rPr>
      <t xml:space="preserve">'Automated Process Integration'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SIEM Correlation Rule </t>
    </r>
    <r>
      <rPr>
        <rFont val="FreeSans"/>
        <color theme="1"/>
        <sz val="14.0"/>
      </rPr>
      <t xml:space="preserve">เกณฑ์แจ้งเตือน และรอบการทบทวน </t>
    </r>
    <r>
      <rPr>
        <rFont val="Calibri"/>
        <color theme="1"/>
        <sz val="14.0"/>
      </rPr>
      <t>Log</t>
    </r>
  </si>
  <si>
    <t>ESBIT-AU-06(03)</t>
  </si>
  <si>
    <t>AU-06(03)</t>
  </si>
  <si>
    <t>Audit Record Review, Analysis, and Reporting | Correlate Audit Record Repositories</t>
  </si>
  <si>
    <t>Enhances AU-06 (Audit Record Review, Analysis, and Reporting): configure and enforce 'Correlate Audit Record Repositories' in addition to the base setting, keep it consistent across applicable systems and document approved exceptions. Base scope: Configure SIEM correlation rules, alert thresholds and review schedule for audit logs</t>
  </si>
  <si>
    <r>
      <rPr>
        <rFont val="FreeSans"/>
        <color theme="1"/>
        <sz val="14.0"/>
      </rPr>
      <t xml:space="preserve">ส่วนขยายของ </t>
    </r>
    <r>
      <rPr>
        <rFont val="Calibri"/>
        <color theme="1"/>
        <sz val="14.0"/>
      </rPr>
      <t xml:space="preserve">AU-06: </t>
    </r>
    <r>
      <rPr>
        <rFont val="FreeSans"/>
        <color theme="1"/>
        <sz val="14.0"/>
      </rPr>
      <t xml:space="preserve">กำหนดค่าและบังคับใช้ </t>
    </r>
    <r>
      <rPr>
        <rFont val="Calibri"/>
        <color theme="1"/>
        <sz val="14.0"/>
      </rPr>
      <t xml:space="preserve">'Correlate Audit Record Repositories'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SIEM Correlation Rule </t>
    </r>
    <r>
      <rPr>
        <rFont val="FreeSans"/>
        <color theme="1"/>
        <sz val="14.0"/>
      </rPr>
      <t xml:space="preserve">เกณฑ์แจ้งเตือน และรอบการทบทวน </t>
    </r>
    <r>
      <rPr>
        <rFont val="Calibri"/>
        <color theme="1"/>
        <sz val="14.0"/>
      </rPr>
      <t>Log</t>
    </r>
  </si>
  <si>
    <t>ESBIT-AU-06(04)</t>
  </si>
  <si>
    <t>AU-06(04)</t>
  </si>
  <si>
    <t>Audit Record Review, Analysis, and Reporting | Central Review and Analysis</t>
  </si>
  <si>
    <t>Enhances AU-06 (Audit Record Review, Analysis, and Reporting): configure and enforce 'Central Review and Analysis' in addition to the base setting, keep it consistent across applicable systems and document approved exceptions. Base scope: Configure SIEM correlation rules, alert thresholds and review schedule for audit logs</t>
  </si>
  <si>
    <r>
      <rPr>
        <rFont val="FreeSans"/>
        <color theme="1"/>
        <sz val="14.0"/>
      </rPr>
      <t xml:space="preserve">ส่วนขยายของ </t>
    </r>
    <r>
      <rPr>
        <rFont val="Calibri"/>
        <color theme="1"/>
        <sz val="14.0"/>
      </rPr>
      <t xml:space="preserve">AU-06: </t>
    </r>
    <r>
      <rPr>
        <rFont val="FreeSans"/>
        <color theme="1"/>
        <sz val="14.0"/>
      </rPr>
      <t xml:space="preserve">กำหนดค่าและบังคับใช้ </t>
    </r>
    <r>
      <rPr>
        <rFont val="Calibri"/>
        <color theme="1"/>
        <sz val="14.0"/>
      </rPr>
      <t xml:space="preserve">'Central Review and Analysis'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SIEM Correlation Rule </t>
    </r>
    <r>
      <rPr>
        <rFont val="FreeSans"/>
        <color theme="1"/>
        <sz val="14.0"/>
      </rPr>
      <t xml:space="preserve">เกณฑ์แจ้งเตือน และรอบการทบทวน </t>
    </r>
    <r>
      <rPr>
        <rFont val="Calibri"/>
        <color theme="1"/>
        <sz val="14.0"/>
      </rPr>
      <t>Log</t>
    </r>
  </si>
  <si>
    <t>ESBIT-AU-06(05)</t>
  </si>
  <si>
    <t>AU-06(05)</t>
  </si>
  <si>
    <t>Audit Record Review, Analysis, and Reporting | Integrated Analysis of Audit Records</t>
  </si>
  <si>
    <t>Enhances AU-06 (Audit Record Review, Analysis, and Reporting): configure and enforce 'Integrated Analysis of Audit Records' in addition to the base setting, keep it consistent across applicable systems and document approved exceptions. Base scope: Configure SIEM correlation rules, alert thresholds and review schedule for audit logs</t>
  </si>
  <si>
    <r>
      <rPr>
        <rFont val="FreeSans"/>
        <color theme="1"/>
        <sz val="14.0"/>
      </rPr>
      <t xml:space="preserve">ส่วนขยายของ </t>
    </r>
    <r>
      <rPr>
        <rFont val="Calibri"/>
        <color theme="1"/>
        <sz val="14.0"/>
      </rPr>
      <t xml:space="preserve">AU-06: </t>
    </r>
    <r>
      <rPr>
        <rFont val="FreeSans"/>
        <color theme="1"/>
        <sz val="14.0"/>
      </rPr>
      <t xml:space="preserve">กำหนดค่าและบังคับใช้ </t>
    </r>
    <r>
      <rPr>
        <rFont val="Calibri"/>
        <color theme="1"/>
        <sz val="14.0"/>
      </rPr>
      <t xml:space="preserve">'Integrated Analysis of Audit Records'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SIEM Correlation Rule </t>
    </r>
    <r>
      <rPr>
        <rFont val="FreeSans"/>
        <color theme="1"/>
        <sz val="14.0"/>
      </rPr>
      <t xml:space="preserve">เกณฑ์แจ้งเตือน และรอบการทบทวน </t>
    </r>
    <r>
      <rPr>
        <rFont val="Calibri"/>
        <color theme="1"/>
        <sz val="14.0"/>
      </rPr>
      <t>Log</t>
    </r>
  </si>
  <si>
    <t>ESBIT-AU-06(06)</t>
  </si>
  <si>
    <t>AU-06(06)</t>
  </si>
  <si>
    <t>Audit Record Review, Analysis, and Reporting | Correlation with Physical Monitoring</t>
  </si>
  <si>
    <t>Enhances AU-06 (Audit Record Review, Analysis, and Reporting): configure and enforce 'Correlation with Physical Monitoring' in addition to the base setting, keep it consistent across applicable systems and document approved exceptions. Base scope: Configure SIEM correlation rules, alert thresholds and review schedule for audit logs</t>
  </si>
  <si>
    <r>
      <rPr>
        <rFont val="FreeSans"/>
        <color theme="1"/>
        <sz val="14.0"/>
      </rPr>
      <t xml:space="preserve">ส่วนขยายของ </t>
    </r>
    <r>
      <rPr>
        <rFont val="Calibri"/>
        <color theme="1"/>
        <sz val="14.0"/>
      </rPr>
      <t xml:space="preserve">AU-06: </t>
    </r>
    <r>
      <rPr>
        <rFont val="FreeSans"/>
        <color theme="1"/>
        <sz val="14.0"/>
      </rPr>
      <t xml:space="preserve">กำหนดค่าและบังคับใช้ </t>
    </r>
    <r>
      <rPr>
        <rFont val="Calibri"/>
        <color theme="1"/>
        <sz val="14.0"/>
      </rPr>
      <t xml:space="preserve">'Correlation with Physical Monitoring'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SIEM Correlation Rule </t>
    </r>
    <r>
      <rPr>
        <rFont val="FreeSans"/>
        <color theme="1"/>
        <sz val="14.0"/>
      </rPr>
      <t xml:space="preserve">เกณฑ์แจ้งเตือน และรอบการทบทวน </t>
    </r>
    <r>
      <rPr>
        <rFont val="Calibri"/>
        <color theme="1"/>
        <sz val="14.0"/>
      </rPr>
      <t>Log</t>
    </r>
  </si>
  <si>
    <t>ESBIT-AU-06(07)</t>
  </si>
  <si>
    <t>AU-06(07)</t>
  </si>
  <si>
    <t>Audit Record Review, Analysis, and Reporting | Permitted Actions</t>
  </si>
  <si>
    <t>Enhances AU-06 (Audit Record Review, Analysis, and Reporting): configure and enforce 'Permitted Actions' in addition to the base setting, keep it consistent across applicable systems and document approved exceptions. Base scope: Configure SIEM correlation rules, alert thresholds and review schedule for audit logs</t>
  </si>
  <si>
    <r>
      <rPr>
        <rFont val="FreeSans"/>
        <color theme="1"/>
        <sz val="14.0"/>
      </rPr>
      <t xml:space="preserve">ส่วนขยายของ </t>
    </r>
    <r>
      <rPr>
        <rFont val="Calibri"/>
        <color theme="1"/>
        <sz val="14.0"/>
      </rPr>
      <t xml:space="preserve">AU-06: </t>
    </r>
    <r>
      <rPr>
        <rFont val="FreeSans"/>
        <color theme="1"/>
        <sz val="14.0"/>
      </rPr>
      <t xml:space="preserve">กำหนดค่าและบังคับใช้ </t>
    </r>
    <r>
      <rPr>
        <rFont val="Calibri"/>
        <color theme="1"/>
        <sz val="14.0"/>
      </rPr>
      <t xml:space="preserve">'Permitted Actions'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SIEM Correlation Rule </t>
    </r>
    <r>
      <rPr>
        <rFont val="FreeSans"/>
        <color theme="1"/>
        <sz val="14.0"/>
      </rPr>
      <t xml:space="preserve">เกณฑ์แจ้งเตือน และรอบการทบทวน </t>
    </r>
    <r>
      <rPr>
        <rFont val="Calibri"/>
        <color theme="1"/>
        <sz val="14.0"/>
      </rPr>
      <t>Log</t>
    </r>
  </si>
  <si>
    <t>ESBIT-AU-06(08)</t>
  </si>
  <si>
    <t>AU-06(08)</t>
  </si>
  <si>
    <t>Audit Record Review, Analysis, and Reporting | Full Text Analysis of Privileged Commands</t>
  </si>
  <si>
    <t>Enhances AU-06 (Audit Record Review, Analysis, and Reporting): configure and enforce 'Full Text Analysis of Privileged Commands' in addition to the base setting, keep it consistent across applicable systems and document approved exceptions. Base scope: Configure SIEM correlation rules, alert thresholds and review schedule for audit logs</t>
  </si>
  <si>
    <r>
      <rPr>
        <rFont val="FreeSans"/>
        <color theme="1"/>
        <sz val="14.0"/>
      </rPr>
      <t xml:space="preserve">ส่วนขยายของ </t>
    </r>
    <r>
      <rPr>
        <rFont val="Calibri"/>
        <color theme="1"/>
        <sz val="14.0"/>
      </rPr>
      <t xml:space="preserve">AU-06: </t>
    </r>
    <r>
      <rPr>
        <rFont val="FreeSans"/>
        <color theme="1"/>
        <sz val="14.0"/>
      </rPr>
      <t xml:space="preserve">กำหนดค่าและบังคับใช้ </t>
    </r>
    <r>
      <rPr>
        <rFont val="Calibri"/>
        <color theme="1"/>
        <sz val="14.0"/>
      </rPr>
      <t xml:space="preserve">'Full Text Analysis of Privileged Commands'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SIEM Correlation Rule </t>
    </r>
    <r>
      <rPr>
        <rFont val="FreeSans"/>
        <color theme="1"/>
        <sz val="14.0"/>
      </rPr>
      <t xml:space="preserve">เกณฑ์แจ้งเตือน และรอบการทบทวน </t>
    </r>
    <r>
      <rPr>
        <rFont val="Calibri"/>
        <color theme="1"/>
        <sz val="14.0"/>
      </rPr>
      <t>Log</t>
    </r>
  </si>
  <si>
    <t>ESBIT-AU-06(09)</t>
  </si>
  <si>
    <t>AU-06(09)</t>
  </si>
  <si>
    <t>Audit Record Review, Analysis, and Reporting | Correlation with Information from Nontechnical Sources</t>
  </si>
  <si>
    <t>Enhances AU-06 (Audit Record Review, Analysis, and Reporting): configure and enforce 'Correlation with Information from Nontechnical Sources' in addition to the base setting, keep it consistent across applicable systems and document approved exceptions. Base scope: Configure SIEM correlation rules, alert thresholds and review schedule for audit logs</t>
  </si>
  <si>
    <r>
      <rPr>
        <rFont val="FreeSans"/>
        <color theme="1"/>
        <sz val="14.0"/>
      </rPr>
      <t xml:space="preserve">ส่วนขยายของ </t>
    </r>
    <r>
      <rPr>
        <rFont val="Calibri"/>
        <color theme="1"/>
        <sz val="14.0"/>
      </rPr>
      <t xml:space="preserve">AU-06: </t>
    </r>
    <r>
      <rPr>
        <rFont val="FreeSans"/>
        <color theme="1"/>
        <sz val="14.0"/>
      </rPr>
      <t xml:space="preserve">กำหนดค่าและบังคับใช้ </t>
    </r>
    <r>
      <rPr>
        <rFont val="Calibri"/>
        <color theme="1"/>
        <sz val="14.0"/>
      </rPr>
      <t xml:space="preserve">'Correlation with Information from Nontechnical Sources'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SIEM Correlation Rule </t>
    </r>
    <r>
      <rPr>
        <rFont val="FreeSans"/>
        <color theme="1"/>
        <sz val="14.0"/>
      </rPr>
      <t xml:space="preserve">เกณฑ์แจ้งเตือน และรอบการทบทวน </t>
    </r>
    <r>
      <rPr>
        <rFont val="Calibri"/>
        <color theme="1"/>
        <sz val="14.0"/>
      </rPr>
      <t>Log</t>
    </r>
  </si>
  <si>
    <t>ESBIT-AU-07</t>
  </si>
  <si>
    <t>AU-07</t>
  </si>
  <si>
    <t>Audit Record Reduction and Report Generation</t>
  </si>
  <si>
    <t>DE.AE-06</t>
  </si>
  <si>
    <t>Information on adverse events is provided to authorized staff and tools</t>
  </si>
  <si>
    <t>Configure log search, filtering and on-demand report generation in SIEM</t>
  </si>
  <si>
    <r>
      <rPr>
        <rFont val="FreeSans"/>
        <color theme="1"/>
        <sz val="14.0"/>
      </rPr>
      <t xml:space="preserve">ตั้งค่าการค้นหา กรอง และสร้างรายงาน </t>
    </r>
    <r>
      <rPr>
        <rFont val="Calibri"/>
        <color theme="1"/>
        <sz val="14.0"/>
      </rPr>
      <t xml:space="preserve">Log </t>
    </r>
    <r>
      <rPr>
        <rFont val="FreeSans"/>
        <color theme="1"/>
        <sz val="14.0"/>
      </rPr>
      <t xml:space="preserve">ตามต้องการใน </t>
    </r>
    <r>
      <rPr>
        <rFont val="Calibri"/>
        <color theme="1"/>
        <sz val="14.0"/>
      </rPr>
      <t>SIEM</t>
    </r>
  </si>
  <si>
    <t>ESBIT-AU-07(01)</t>
  </si>
  <si>
    <t>AU-07(01)</t>
  </si>
  <si>
    <t>Audit Record Reduction and Report Generation | Automatic Processing</t>
  </si>
  <si>
    <t>Enhances AU-07 (Audit Record Reduction and Report Generation): configure and enforce 'Automatic Processing' in addition to the base setting, keep it consistent across applicable systems and document approved exceptions. Base scope: Configure log search, filtering and on-demand report generation in SIEM</t>
  </si>
  <si>
    <r>
      <rPr>
        <rFont val="FreeSans"/>
        <color theme="1"/>
        <sz val="14.0"/>
      </rPr>
      <t xml:space="preserve">ส่วนขยายของ </t>
    </r>
    <r>
      <rPr>
        <rFont val="Calibri"/>
        <color theme="1"/>
        <sz val="14.0"/>
      </rPr>
      <t xml:space="preserve">AU-07: </t>
    </r>
    <r>
      <rPr>
        <rFont val="FreeSans"/>
        <color theme="1"/>
        <sz val="14.0"/>
      </rPr>
      <t xml:space="preserve">กำหนดค่าและบังคับใช้ </t>
    </r>
    <r>
      <rPr>
        <rFont val="Calibri"/>
        <color theme="1"/>
        <sz val="14.0"/>
      </rPr>
      <t xml:space="preserve">'Automatic Processing'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ตั้งค่าการค้นหา กรอง และสร้างรายงาน </t>
    </r>
    <r>
      <rPr>
        <rFont val="Calibri"/>
        <color theme="1"/>
        <sz val="14.0"/>
      </rPr>
      <t xml:space="preserve">Log </t>
    </r>
    <r>
      <rPr>
        <rFont val="FreeSans"/>
        <color theme="1"/>
        <sz val="14.0"/>
      </rPr>
      <t xml:space="preserve">ตามต้องการใน </t>
    </r>
    <r>
      <rPr>
        <rFont val="Calibri"/>
        <color theme="1"/>
        <sz val="14.0"/>
      </rPr>
      <t>SIEM</t>
    </r>
  </si>
  <si>
    <t>ESBIT-AU-08</t>
  </si>
  <si>
    <t>AU-08</t>
  </si>
  <si>
    <t>Time Stamps</t>
  </si>
  <si>
    <t>Configure NTP synchronization to authoritative time source and consistent timezone on all devices</t>
  </si>
  <si>
    <r>
      <rPr>
        <rFont val="FreeSans"/>
        <color theme="1"/>
        <sz val="14.0"/>
      </rPr>
      <t xml:space="preserve">ตั้งค่า </t>
    </r>
    <r>
      <rPr>
        <rFont val="Calibri"/>
        <color theme="1"/>
        <sz val="14.0"/>
      </rPr>
      <t xml:space="preserve">NTP </t>
    </r>
    <r>
      <rPr>
        <rFont val="FreeSans"/>
        <color theme="1"/>
        <sz val="14.0"/>
      </rPr>
      <t xml:space="preserve">ซิงค์เวลากับแหล่งเวลาที่เชื่อถือได้และ </t>
    </r>
    <r>
      <rPr>
        <rFont val="Calibri"/>
        <color theme="1"/>
        <sz val="14.0"/>
      </rPr>
      <t xml:space="preserve">Timezone </t>
    </r>
    <r>
      <rPr>
        <rFont val="FreeSans"/>
        <color theme="1"/>
        <sz val="14.0"/>
      </rPr>
      <t>ให้สอดคล้องทุกอุปกรณ์</t>
    </r>
  </si>
  <si>
    <t>Network, Infrastructure (Server/OS)</t>
  </si>
  <si>
    <t>ESBIT-AU-09</t>
  </si>
  <si>
    <t>AU-09</t>
  </si>
  <si>
    <t>Protection of Audit Information</t>
  </si>
  <si>
    <t>Restrict access to logs, forward to central write-protected store and enable integrity protection</t>
  </si>
  <si>
    <r>
      <rPr>
        <rFont val="FreeSans"/>
        <color theme="1"/>
        <sz val="14.0"/>
      </rPr>
      <t xml:space="preserve">จำกัดสิทธิ์เข้าถึง </t>
    </r>
    <r>
      <rPr>
        <rFont val="Calibri"/>
        <color theme="1"/>
        <sz val="14.0"/>
      </rPr>
      <t xml:space="preserve">Log </t>
    </r>
    <r>
      <rPr>
        <rFont val="FreeSans"/>
        <color theme="1"/>
        <sz val="14.0"/>
      </rPr>
      <t xml:space="preserve">ส่งไปยังที่เก็บกลางแบบป้องกันการแก้ไข และเปิด </t>
    </r>
    <r>
      <rPr>
        <rFont val="Calibri"/>
        <color theme="1"/>
        <sz val="14.0"/>
      </rPr>
      <t>Integrity Protection</t>
    </r>
  </si>
  <si>
    <t>Logging &amp; Monitoring, Infrastructure (Server/OS)</t>
  </si>
  <si>
    <t>ESBIT-AU-09(01)</t>
  </si>
  <si>
    <t>AU-09(01)</t>
  </si>
  <si>
    <t>Protection of Audit Information | Hardware Write-once Media</t>
  </si>
  <si>
    <t>Enhances AU-09 (Protection of Audit Information): configure and enforce 'Hardware Write-once Media' in addition to the base setting, keep it consistent across applicable systems and document approved exceptions. Base scope: Restrict access to logs, forward to central write-protected store and enable integrity protection</t>
  </si>
  <si>
    <r>
      <rPr>
        <rFont val="FreeSans"/>
        <color theme="1"/>
        <sz val="14.0"/>
      </rPr>
      <t xml:space="preserve">ส่วนขยายของ </t>
    </r>
    <r>
      <rPr>
        <rFont val="Calibri"/>
        <color theme="1"/>
        <sz val="14.0"/>
      </rPr>
      <t xml:space="preserve">AU-09: </t>
    </r>
    <r>
      <rPr>
        <rFont val="FreeSans"/>
        <color theme="1"/>
        <sz val="14.0"/>
      </rPr>
      <t xml:space="preserve">กำหนดค่าและบังคับใช้ </t>
    </r>
    <r>
      <rPr>
        <rFont val="Calibri"/>
        <color theme="1"/>
        <sz val="14.0"/>
      </rPr>
      <t xml:space="preserve">'Hardware Write-once Media'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จำกัดสิทธิ์เข้าถึง </t>
    </r>
    <r>
      <rPr>
        <rFont val="Calibri"/>
        <color theme="1"/>
        <sz val="14.0"/>
      </rPr>
      <t xml:space="preserve">Log </t>
    </r>
    <r>
      <rPr>
        <rFont val="FreeSans"/>
        <color theme="1"/>
        <sz val="14.0"/>
      </rPr>
      <t xml:space="preserve">ส่งไปยังที่เก็บกลางแบบป้องกันการแก้ไข และเปิด </t>
    </r>
    <r>
      <rPr>
        <rFont val="Calibri"/>
        <color theme="1"/>
        <sz val="14.0"/>
      </rPr>
      <t>Integrity Protection</t>
    </r>
  </si>
  <si>
    <t>ESBIT-AU-09(02)</t>
  </si>
  <si>
    <t>AU-09(02)</t>
  </si>
  <si>
    <t>Protection of Audit Information | Store on Separate Physical Systems or Components</t>
  </si>
  <si>
    <t>Enhances AU-09 (Protection of Audit Information): configure and enforce 'Store on Separate Physical Systems or Components' in addition to the base setting, keep it consistent across applicable systems and document approved exceptions. Base scope: Restrict access to logs, forward to central write-protected store and enable integrity protection</t>
  </si>
  <si>
    <r>
      <rPr>
        <rFont val="FreeSans"/>
        <color theme="1"/>
        <sz val="14.0"/>
      </rPr>
      <t xml:space="preserve">ส่วนขยายของ </t>
    </r>
    <r>
      <rPr>
        <rFont val="Calibri"/>
        <color theme="1"/>
        <sz val="14.0"/>
      </rPr>
      <t xml:space="preserve">AU-09: </t>
    </r>
    <r>
      <rPr>
        <rFont val="FreeSans"/>
        <color theme="1"/>
        <sz val="14.0"/>
      </rPr>
      <t xml:space="preserve">กำหนดค่าและบังคับใช้ </t>
    </r>
    <r>
      <rPr>
        <rFont val="Calibri"/>
        <color theme="1"/>
        <sz val="14.0"/>
      </rPr>
      <t xml:space="preserve">'Store on Separate Physical Systems or Components'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จำกัดสิทธิ์เข้าถึง </t>
    </r>
    <r>
      <rPr>
        <rFont val="Calibri"/>
        <color theme="1"/>
        <sz val="14.0"/>
      </rPr>
      <t xml:space="preserve">Log </t>
    </r>
    <r>
      <rPr>
        <rFont val="FreeSans"/>
        <color theme="1"/>
        <sz val="14.0"/>
      </rPr>
      <t xml:space="preserve">ส่งไปยังที่เก็บกลางแบบป้องกันการแก้ไข และเปิด </t>
    </r>
    <r>
      <rPr>
        <rFont val="Calibri"/>
        <color theme="1"/>
        <sz val="14.0"/>
      </rPr>
      <t>Integrity Protection</t>
    </r>
  </si>
  <si>
    <t>ESBIT-AU-09(03)</t>
  </si>
  <si>
    <t>AU-09(03)</t>
  </si>
  <si>
    <t>Protection of Audit Information | Cryptographic Protection</t>
  </si>
  <si>
    <t>Enhances AU-09 (Protection of Audit Information): configure and enforce 'Cryptographic Protection' in addition to the base setting, keep it consistent across applicable systems and document approved exceptions. Base scope: Restrict access to logs, forward to central write-protected store and enable integrity protection</t>
  </si>
  <si>
    <r>
      <rPr>
        <rFont val="FreeSans"/>
        <color theme="1"/>
        <sz val="14.0"/>
      </rPr>
      <t xml:space="preserve">ส่วนขยายของ </t>
    </r>
    <r>
      <rPr>
        <rFont val="Calibri"/>
        <color theme="1"/>
        <sz val="14.0"/>
      </rPr>
      <t xml:space="preserve">AU-09: </t>
    </r>
    <r>
      <rPr>
        <rFont val="FreeSans"/>
        <color theme="1"/>
        <sz val="14.0"/>
      </rPr>
      <t xml:space="preserve">กำหนดค่าและบังคับใช้ </t>
    </r>
    <r>
      <rPr>
        <rFont val="Calibri"/>
        <color theme="1"/>
        <sz val="14.0"/>
      </rPr>
      <t xml:space="preserve">'Cryptographic Protection'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จำกัดสิทธิ์เข้าถึง </t>
    </r>
    <r>
      <rPr>
        <rFont val="Calibri"/>
        <color theme="1"/>
        <sz val="14.0"/>
      </rPr>
      <t xml:space="preserve">Log </t>
    </r>
    <r>
      <rPr>
        <rFont val="FreeSans"/>
        <color theme="1"/>
        <sz val="14.0"/>
      </rPr>
      <t xml:space="preserve">ส่งไปยังที่เก็บกลางแบบป้องกันการแก้ไข และเปิด </t>
    </r>
    <r>
      <rPr>
        <rFont val="Calibri"/>
        <color theme="1"/>
        <sz val="14.0"/>
      </rPr>
      <t>Integrity Protection</t>
    </r>
  </si>
  <si>
    <t>ESBIT-AU-09(04)</t>
  </si>
  <si>
    <t>AU-09(04)</t>
  </si>
  <si>
    <t>Protection of Audit Information | Access by Subset of Privileged Users</t>
  </si>
  <si>
    <t>Enhances AU-09 (Protection of Audit Information): configure and enforce 'Access by Subset of Privileged Users' in addition to the base setting, keep it consistent across applicable systems and document approved exceptions. Base scope: Restrict access to logs, forward to central write-protected store and enable integrity protection</t>
  </si>
  <si>
    <r>
      <rPr>
        <rFont val="FreeSans"/>
        <color theme="1"/>
        <sz val="14.0"/>
      </rPr>
      <t xml:space="preserve">ส่วนขยายของ </t>
    </r>
    <r>
      <rPr>
        <rFont val="Calibri"/>
        <color theme="1"/>
        <sz val="14.0"/>
      </rPr>
      <t xml:space="preserve">AU-09: </t>
    </r>
    <r>
      <rPr>
        <rFont val="FreeSans"/>
        <color theme="1"/>
        <sz val="14.0"/>
      </rPr>
      <t xml:space="preserve">กำหนดค่าและบังคับใช้ </t>
    </r>
    <r>
      <rPr>
        <rFont val="Calibri"/>
        <color theme="1"/>
        <sz val="14.0"/>
      </rPr>
      <t xml:space="preserve">'Access by Subset of Privileged Users'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จำกัดสิทธิ์เข้าถึง </t>
    </r>
    <r>
      <rPr>
        <rFont val="Calibri"/>
        <color theme="1"/>
        <sz val="14.0"/>
      </rPr>
      <t xml:space="preserve">Log </t>
    </r>
    <r>
      <rPr>
        <rFont val="FreeSans"/>
        <color theme="1"/>
        <sz val="14.0"/>
      </rPr>
      <t xml:space="preserve">ส่งไปยังที่เก็บกลางแบบป้องกันการแก้ไข และเปิด </t>
    </r>
    <r>
      <rPr>
        <rFont val="Calibri"/>
        <color theme="1"/>
        <sz val="14.0"/>
      </rPr>
      <t>Integrity Protection</t>
    </r>
  </si>
  <si>
    <t>ESBIT-AU-09(05)</t>
  </si>
  <si>
    <t>AU-09(05)</t>
  </si>
  <si>
    <t>Protection of Audit Information | Dual Authorization</t>
  </si>
  <si>
    <t>Enhances AU-09 (Protection of Audit Information): configure and enforce 'Dual Authorization' in addition to the base setting, keep it consistent across applicable systems and document approved exceptions. Base scope: Restrict access to logs, forward to central write-protected store and enable integrity protection</t>
  </si>
  <si>
    <r>
      <rPr>
        <rFont val="FreeSans"/>
        <color theme="1"/>
        <sz val="14.0"/>
      </rPr>
      <t xml:space="preserve">ส่วนขยายของ </t>
    </r>
    <r>
      <rPr>
        <rFont val="Calibri"/>
        <color theme="1"/>
        <sz val="14.0"/>
      </rPr>
      <t xml:space="preserve">AU-09: </t>
    </r>
    <r>
      <rPr>
        <rFont val="FreeSans"/>
        <color theme="1"/>
        <sz val="14.0"/>
      </rPr>
      <t xml:space="preserve">กำหนดค่าและบังคับใช้ </t>
    </r>
    <r>
      <rPr>
        <rFont val="Calibri"/>
        <color theme="1"/>
        <sz val="14.0"/>
      </rPr>
      <t xml:space="preserve">'Dual Authorization'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จำกัดสิทธิ์เข้าถึง </t>
    </r>
    <r>
      <rPr>
        <rFont val="Calibri"/>
        <color theme="1"/>
        <sz val="14.0"/>
      </rPr>
      <t xml:space="preserve">Log </t>
    </r>
    <r>
      <rPr>
        <rFont val="FreeSans"/>
        <color theme="1"/>
        <sz val="14.0"/>
      </rPr>
      <t xml:space="preserve">ส่งไปยังที่เก็บกลางแบบป้องกันการแก้ไข และเปิด </t>
    </r>
    <r>
      <rPr>
        <rFont val="Calibri"/>
        <color theme="1"/>
        <sz val="14.0"/>
      </rPr>
      <t>Integrity Protection</t>
    </r>
  </si>
  <si>
    <t>ESBIT-AU-09(06)</t>
  </si>
  <si>
    <t>AU-09(06)</t>
  </si>
  <si>
    <t>Protection of Audit Information | Read-only Access</t>
  </si>
  <si>
    <t>Enhances AU-09 (Protection of Audit Information): configure and enforce 'Read-only Access' in addition to the base setting, keep it consistent across applicable systems and document approved exceptions. Base scope: Restrict access to logs, forward to central write-protected store and enable integrity protection</t>
  </si>
  <si>
    <r>
      <rPr>
        <rFont val="FreeSans"/>
        <color theme="1"/>
        <sz val="14.0"/>
      </rPr>
      <t xml:space="preserve">ส่วนขยายของ </t>
    </r>
    <r>
      <rPr>
        <rFont val="Calibri"/>
        <color theme="1"/>
        <sz val="14.0"/>
      </rPr>
      <t xml:space="preserve">AU-09: </t>
    </r>
    <r>
      <rPr>
        <rFont val="FreeSans"/>
        <color theme="1"/>
        <sz val="14.0"/>
      </rPr>
      <t xml:space="preserve">กำหนดค่าและบังคับใช้ </t>
    </r>
    <r>
      <rPr>
        <rFont val="Calibri"/>
        <color theme="1"/>
        <sz val="14.0"/>
      </rPr>
      <t xml:space="preserve">'Read-only Access'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จำกัดสิทธิ์เข้าถึง </t>
    </r>
    <r>
      <rPr>
        <rFont val="Calibri"/>
        <color theme="1"/>
        <sz val="14.0"/>
      </rPr>
      <t xml:space="preserve">Log </t>
    </r>
    <r>
      <rPr>
        <rFont val="FreeSans"/>
        <color theme="1"/>
        <sz val="14.0"/>
      </rPr>
      <t xml:space="preserve">ส่งไปยังที่เก็บกลางแบบป้องกันการแก้ไข และเปิด </t>
    </r>
    <r>
      <rPr>
        <rFont val="Calibri"/>
        <color theme="1"/>
        <sz val="14.0"/>
      </rPr>
      <t>Integrity Protection</t>
    </r>
  </si>
  <si>
    <t>ESBIT-AU-09(07)</t>
  </si>
  <si>
    <t>AU-09(07)</t>
  </si>
  <si>
    <t>Protection of Audit Information | Store on Component with Different Operating System</t>
  </si>
  <si>
    <t>Enhances AU-09 (Protection of Audit Information): configure and enforce 'Store on Component with Different Operating System' in addition to the base setting, keep it consistent across applicable systems and document approved exceptions. Base scope: Restrict access to logs, forward to central write-protected store and enable integrity protection</t>
  </si>
  <si>
    <r>
      <rPr>
        <rFont val="FreeSans"/>
        <color theme="1"/>
        <sz val="14.0"/>
      </rPr>
      <t xml:space="preserve">ส่วนขยายของ </t>
    </r>
    <r>
      <rPr>
        <rFont val="Calibri"/>
        <color theme="1"/>
        <sz val="14.0"/>
      </rPr>
      <t xml:space="preserve">AU-09: </t>
    </r>
    <r>
      <rPr>
        <rFont val="FreeSans"/>
        <color theme="1"/>
        <sz val="14.0"/>
      </rPr>
      <t xml:space="preserve">กำหนดค่าและบังคับใช้ </t>
    </r>
    <r>
      <rPr>
        <rFont val="Calibri"/>
        <color theme="1"/>
        <sz val="14.0"/>
      </rPr>
      <t xml:space="preserve">'Store on Component with Different Operating System'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จำกัดสิทธิ์เข้าถึง </t>
    </r>
    <r>
      <rPr>
        <rFont val="Calibri"/>
        <color theme="1"/>
        <sz val="14.0"/>
      </rPr>
      <t xml:space="preserve">Log </t>
    </r>
    <r>
      <rPr>
        <rFont val="FreeSans"/>
        <color theme="1"/>
        <sz val="14.0"/>
      </rPr>
      <t xml:space="preserve">ส่งไปยังที่เก็บกลางแบบป้องกันการแก้ไข และเปิด </t>
    </r>
    <r>
      <rPr>
        <rFont val="Calibri"/>
        <color theme="1"/>
        <sz val="14.0"/>
      </rPr>
      <t>Integrity Protection</t>
    </r>
  </si>
  <si>
    <t>ESBIT-AU-10</t>
  </si>
  <si>
    <t>AU-10</t>
  </si>
  <si>
    <t>Non-repudiation</t>
  </si>
  <si>
    <t>Configure digital signatures or log signing to provide non-repudiation</t>
  </si>
  <si>
    <r>
      <rPr>
        <rFont val="FreeSans"/>
        <color theme="1"/>
        <sz val="14.0"/>
      </rPr>
      <t xml:space="preserve">ตั้งค่า </t>
    </r>
    <r>
      <rPr>
        <rFont val="Calibri"/>
        <color theme="1"/>
        <sz val="14.0"/>
      </rPr>
      <t xml:space="preserve">Digital Signature/Log Signing </t>
    </r>
    <r>
      <rPr>
        <rFont val="FreeSans"/>
        <color theme="1"/>
        <sz val="14.0"/>
      </rPr>
      <t>เพื่อป้องกันการปฏิเสธความรับผิด</t>
    </r>
  </si>
  <si>
    <t>Application/Software, Cryptography/PKI</t>
  </si>
  <si>
    <t>ESBIT-AU-10(01)</t>
  </si>
  <si>
    <t>AU-10(01)</t>
  </si>
  <si>
    <t>Non-repudiation | Association of Identities</t>
  </si>
  <si>
    <t>Enhances AU-10 (Non-repudiation): configure and enforce 'Association of Identities' in addition to the base setting, keep it consistent across applicable systems and document approved exceptions. Base scope: Configure digital signatures or log signing to provide non-repudiation</t>
  </si>
  <si>
    <r>
      <rPr>
        <rFont val="FreeSans"/>
        <color theme="1"/>
        <sz val="14.0"/>
      </rPr>
      <t xml:space="preserve">ส่วนขยายของ </t>
    </r>
    <r>
      <rPr>
        <rFont val="Calibri"/>
        <color theme="1"/>
        <sz val="14.0"/>
      </rPr>
      <t xml:space="preserve">AU-10: </t>
    </r>
    <r>
      <rPr>
        <rFont val="FreeSans"/>
        <color theme="1"/>
        <sz val="14.0"/>
      </rPr>
      <t xml:space="preserve">กำหนดค่าและบังคับใช้ </t>
    </r>
    <r>
      <rPr>
        <rFont val="Calibri"/>
        <color theme="1"/>
        <sz val="14.0"/>
      </rPr>
      <t xml:space="preserve">'Association of Identities'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Digital Signature/Log Signing </t>
    </r>
    <r>
      <rPr>
        <rFont val="FreeSans"/>
        <color theme="1"/>
        <sz val="14.0"/>
      </rPr>
      <t>เพื่อป้องกันการปฏิเสธความรับผิด</t>
    </r>
  </si>
  <si>
    <t>ESBIT-AU-10(02)</t>
  </si>
  <si>
    <t>AU-10(02)</t>
  </si>
  <si>
    <t>Non-repudiation | Validate Binding of Information Producer Identity</t>
  </si>
  <si>
    <t>Enhances AU-10 (Non-repudiation): configure and enforce 'Validate Binding of Information Producer Identity' in addition to the base setting, keep it consistent across applicable systems and document approved exceptions. Base scope: Configure digital signatures or log signing to provide non-repudiation</t>
  </si>
  <si>
    <r>
      <rPr>
        <rFont val="FreeSans"/>
        <color theme="1"/>
        <sz val="14.0"/>
      </rPr>
      <t xml:space="preserve">ส่วนขยายของ </t>
    </r>
    <r>
      <rPr>
        <rFont val="Calibri"/>
        <color theme="1"/>
        <sz val="14.0"/>
      </rPr>
      <t xml:space="preserve">AU-10: </t>
    </r>
    <r>
      <rPr>
        <rFont val="FreeSans"/>
        <color theme="1"/>
        <sz val="14.0"/>
      </rPr>
      <t xml:space="preserve">กำหนดค่าและบังคับใช้ </t>
    </r>
    <r>
      <rPr>
        <rFont val="Calibri"/>
        <color theme="1"/>
        <sz val="14.0"/>
      </rPr>
      <t xml:space="preserve">'Validate Binding of Information Producer Identity'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Digital Signature/Log Signing </t>
    </r>
    <r>
      <rPr>
        <rFont val="FreeSans"/>
        <color theme="1"/>
        <sz val="14.0"/>
      </rPr>
      <t>เพื่อป้องกันการปฏิเสธความรับผิด</t>
    </r>
  </si>
  <si>
    <t>ESBIT-AU-10(03)</t>
  </si>
  <si>
    <t>AU-10(03)</t>
  </si>
  <si>
    <t>Non-repudiation | Chain of Custody</t>
  </si>
  <si>
    <t>Enhances AU-10 (Non-repudiation): configure and enforce 'Chain of Custody' in addition to the base setting, keep it consistent across applicable systems and document approved exceptions. Base scope: Configure digital signatures or log signing to provide non-repudiation</t>
  </si>
  <si>
    <r>
      <rPr>
        <rFont val="FreeSans"/>
        <color theme="1"/>
        <sz val="14.0"/>
      </rPr>
      <t xml:space="preserve">ส่วนขยายของ </t>
    </r>
    <r>
      <rPr>
        <rFont val="Calibri"/>
        <color theme="1"/>
        <sz val="14.0"/>
      </rPr>
      <t xml:space="preserve">AU-10: </t>
    </r>
    <r>
      <rPr>
        <rFont val="FreeSans"/>
        <color theme="1"/>
        <sz val="14.0"/>
      </rPr>
      <t xml:space="preserve">กำหนดค่าและบังคับใช้ </t>
    </r>
    <r>
      <rPr>
        <rFont val="Calibri"/>
        <color theme="1"/>
        <sz val="14.0"/>
      </rPr>
      <t xml:space="preserve">'Chain of Custody'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Digital Signature/Log Signing </t>
    </r>
    <r>
      <rPr>
        <rFont val="FreeSans"/>
        <color theme="1"/>
        <sz val="14.0"/>
      </rPr>
      <t>เพื่อป้องกันการปฏิเสธความรับผิด</t>
    </r>
  </si>
  <si>
    <t>ESBIT-AU-10(04)</t>
  </si>
  <si>
    <t>AU-10(04)</t>
  </si>
  <si>
    <t>Non-repudiation | Validate Binding of Information Reviewer Identity</t>
  </si>
  <si>
    <t>Enhances AU-10 (Non-repudiation): configure and enforce 'Validate Binding of Information Reviewer Identity' in addition to the base setting, keep it consistent across applicable systems and document approved exceptions. Base scope: Configure digital signatures or log signing to provide non-repudiation</t>
  </si>
  <si>
    <r>
      <rPr>
        <rFont val="FreeSans"/>
        <color theme="1"/>
        <sz val="14.0"/>
      </rPr>
      <t xml:space="preserve">ส่วนขยายของ </t>
    </r>
    <r>
      <rPr>
        <rFont val="Calibri"/>
        <color theme="1"/>
        <sz val="14.0"/>
      </rPr>
      <t xml:space="preserve">AU-10: </t>
    </r>
    <r>
      <rPr>
        <rFont val="FreeSans"/>
        <color theme="1"/>
        <sz val="14.0"/>
      </rPr>
      <t xml:space="preserve">กำหนดค่าและบังคับใช้ </t>
    </r>
    <r>
      <rPr>
        <rFont val="Calibri"/>
        <color theme="1"/>
        <sz val="14.0"/>
      </rPr>
      <t xml:space="preserve">'Validate Binding of Information Reviewer Identity'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Digital Signature/Log Signing </t>
    </r>
    <r>
      <rPr>
        <rFont val="FreeSans"/>
        <color theme="1"/>
        <sz val="14.0"/>
      </rPr>
      <t>เพื่อป้องกันการปฏิเสธความรับผิด</t>
    </r>
  </si>
  <si>
    <t>ESBIT-AU-11</t>
  </si>
  <si>
    <t>AU-11</t>
  </si>
  <si>
    <t>Audit Record Retention</t>
  </si>
  <si>
    <t>PR.DS-11</t>
  </si>
  <si>
    <t>Backups of data are created, protected, maintained, and tested</t>
  </si>
  <si>
    <t>Configure log retention period and archive policy per legal and business requirements</t>
  </si>
  <si>
    <r>
      <rPr>
        <rFont val="FreeSans"/>
        <color theme="1"/>
        <sz val="14.0"/>
      </rPr>
      <t xml:space="preserve">กำหนดระยะเวลาเก็บ </t>
    </r>
    <r>
      <rPr>
        <rFont val="Calibri"/>
        <color theme="1"/>
        <sz val="14.0"/>
      </rPr>
      <t xml:space="preserve">Log </t>
    </r>
    <r>
      <rPr>
        <rFont val="FreeSans"/>
        <color theme="1"/>
        <sz val="14.0"/>
      </rPr>
      <t xml:space="preserve">และนโยบาย </t>
    </r>
    <r>
      <rPr>
        <rFont val="Calibri"/>
        <color theme="1"/>
        <sz val="14.0"/>
      </rPr>
      <t xml:space="preserve">Archive </t>
    </r>
    <r>
      <rPr>
        <rFont val="FreeSans"/>
        <color theme="1"/>
        <sz val="14.0"/>
      </rPr>
      <t>ตามข้อกำหนดกฎหมายและธุรกิจ</t>
    </r>
  </si>
  <si>
    <t>ESBIT-AU-11(01)</t>
  </si>
  <si>
    <t>AU-11(01)</t>
  </si>
  <si>
    <t>Audit Record Retention | Long-term Retrieval Capability</t>
  </si>
  <si>
    <t>Enhances AU-11 (Audit Record Retention): configure and enforce 'Long-term Retrieval Capability' in addition to the base setting, keep it consistent across applicable systems and document approved exceptions. Base scope: Configure log retention period and archive policy per legal and business requirements</t>
  </si>
  <si>
    <r>
      <rPr>
        <rFont val="FreeSans"/>
        <color theme="1"/>
        <sz val="14.0"/>
      </rPr>
      <t xml:space="preserve">ส่วนขยายของ </t>
    </r>
    <r>
      <rPr>
        <rFont val="Calibri"/>
        <color theme="1"/>
        <sz val="14.0"/>
      </rPr>
      <t xml:space="preserve">AU-11: </t>
    </r>
    <r>
      <rPr>
        <rFont val="FreeSans"/>
        <color theme="1"/>
        <sz val="14.0"/>
      </rPr>
      <t xml:space="preserve">กำหนดค่าและบังคับใช้ </t>
    </r>
    <r>
      <rPr>
        <rFont val="Calibri"/>
        <color theme="1"/>
        <sz val="14.0"/>
      </rPr>
      <t xml:space="preserve">'Long-term Retrieval Capability'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กำหนดระยะเวลาเก็บ </t>
    </r>
    <r>
      <rPr>
        <rFont val="Calibri"/>
        <color theme="1"/>
        <sz val="14.0"/>
      </rPr>
      <t xml:space="preserve">Log </t>
    </r>
    <r>
      <rPr>
        <rFont val="FreeSans"/>
        <color theme="1"/>
        <sz val="14.0"/>
      </rPr>
      <t xml:space="preserve">และนโยบาย </t>
    </r>
    <r>
      <rPr>
        <rFont val="Calibri"/>
        <color theme="1"/>
        <sz val="14.0"/>
      </rPr>
      <t xml:space="preserve">Archive </t>
    </r>
    <r>
      <rPr>
        <rFont val="FreeSans"/>
        <color theme="1"/>
        <sz val="14.0"/>
      </rPr>
      <t>ตามข้อกำหนดกฎหมายและธุรกิจ</t>
    </r>
  </si>
  <si>
    <t>ESBIT-AU-12</t>
  </si>
  <si>
    <t>AU-12</t>
  </si>
  <si>
    <t>Audit Record Generation</t>
  </si>
  <si>
    <t>Enable logging on all components for defined events with central forwarding via syslog or agent</t>
  </si>
  <si>
    <r>
      <rPr>
        <rFont val="FreeSans"/>
        <color theme="1"/>
        <sz val="14.0"/>
      </rPr>
      <t xml:space="preserve">เปิด </t>
    </r>
    <r>
      <rPr>
        <rFont val="Calibri"/>
        <color theme="1"/>
        <sz val="14.0"/>
      </rPr>
      <t xml:space="preserve">Logging </t>
    </r>
    <r>
      <rPr>
        <rFont val="FreeSans"/>
        <color theme="1"/>
        <sz val="14.0"/>
      </rPr>
      <t xml:space="preserve">บนทุกคอมโพเนนต์ตามเหตุการณ์ที่กำหนด และส่ง </t>
    </r>
    <r>
      <rPr>
        <rFont val="Calibri"/>
        <color theme="1"/>
        <sz val="14.0"/>
      </rPr>
      <t xml:space="preserve">Log </t>
    </r>
    <r>
      <rPr>
        <rFont val="FreeSans"/>
        <color theme="1"/>
        <sz val="14.0"/>
      </rPr>
      <t xml:space="preserve">ไปศูนย์กลางผ่าน </t>
    </r>
    <r>
      <rPr>
        <rFont val="Calibri"/>
        <color theme="1"/>
        <sz val="14.0"/>
      </rPr>
      <t>Syslog/Agent</t>
    </r>
  </si>
  <si>
    <t>ESBIT-AU-12(01)</t>
  </si>
  <si>
    <t>AU-12(01)</t>
  </si>
  <si>
    <t>Audit Record Generation | System-wide and Time-correlated Audit Trail</t>
  </si>
  <si>
    <t>Enhances AU-12 (Audit Record Generation): configure and enforce 'System-wide and Time-correlated Audit Trail' in addition to the base setting, keep it consistent across applicable systems and document approved exceptions. Base scope: Enable logging on all components for defined events with central forwarding via syslog or agent</t>
  </si>
  <si>
    <r>
      <rPr>
        <rFont val="FreeSans"/>
        <color theme="1"/>
        <sz val="14.0"/>
      </rPr>
      <t xml:space="preserve">ส่วนขยายของ </t>
    </r>
    <r>
      <rPr>
        <rFont val="Calibri"/>
        <color theme="1"/>
        <sz val="14.0"/>
      </rPr>
      <t xml:space="preserve">AU-12: </t>
    </r>
    <r>
      <rPr>
        <rFont val="FreeSans"/>
        <color theme="1"/>
        <sz val="14.0"/>
      </rPr>
      <t xml:space="preserve">กำหนดค่าและบังคับใช้ </t>
    </r>
    <r>
      <rPr>
        <rFont val="Calibri"/>
        <color theme="1"/>
        <sz val="14.0"/>
      </rPr>
      <t xml:space="preserve">'System-wide and Time-correlated Audit Trail'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เปิด </t>
    </r>
    <r>
      <rPr>
        <rFont val="Calibri"/>
        <color theme="1"/>
        <sz val="14.0"/>
      </rPr>
      <t xml:space="preserve">Logging </t>
    </r>
    <r>
      <rPr>
        <rFont val="FreeSans"/>
        <color theme="1"/>
        <sz val="14.0"/>
      </rPr>
      <t xml:space="preserve">บนทุกคอมโพเนนต์ตามเหตุการณ์ที่กำหนด และส่ง </t>
    </r>
    <r>
      <rPr>
        <rFont val="Calibri"/>
        <color theme="1"/>
        <sz val="14.0"/>
      </rPr>
      <t xml:space="preserve">Log </t>
    </r>
    <r>
      <rPr>
        <rFont val="FreeSans"/>
        <color theme="1"/>
        <sz val="14.0"/>
      </rPr>
      <t xml:space="preserve">ไปศูนย์กลางผ่าน </t>
    </r>
    <r>
      <rPr>
        <rFont val="Calibri"/>
        <color theme="1"/>
        <sz val="14.0"/>
      </rPr>
      <t>Syslog/Agent</t>
    </r>
  </si>
  <si>
    <t>ESBIT-AU-12(02)</t>
  </si>
  <si>
    <t>AU-12(02)</t>
  </si>
  <si>
    <t>Audit Record Generation | Standardized Formats</t>
  </si>
  <si>
    <t>Enhances AU-12 (Audit Record Generation): configure and enforce 'Standardized Formats' in addition to the base setting, keep it consistent across applicable systems and document approved exceptions. Base scope: Enable logging on all components for defined events with central forwarding via syslog or agent</t>
  </si>
  <si>
    <r>
      <rPr>
        <rFont val="FreeSans"/>
        <color theme="1"/>
        <sz val="14.0"/>
      </rPr>
      <t xml:space="preserve">ส่วนขยายของ </t>
    </r>
    <r>
      <rPr>
        <rFont val="Calibri"/>
        <color theme="1"/>
        <sz val="14.0"/>
      </rPr>
      <t xml:space="preserve">AU-12: </t>
    </r>
    <r>
      <rPr>
        <rFont val="FreeSans"/>
        <color theme="1"/>
        <sz val="14.0"/>
      </rPr>
      <t xml:space="preserve">กำหนดค่าและบังคับใช้ </t>
    </r>
    <r>
      <rPr>
        <rFont val="Calibri"/>
        <color theme="1"/>
        <sz val="14.0"/>
      </rPr>
      <t xml:space="preserve">'Standardized Formats'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เปิด </t>
    </r>
    <r>
      <rPr>
        <rFont val="Calibri"/>
        <color theme="1"/>
        <sz val="14.0"/>
      </rPr>
      <t xml:space="preserve">Logging </t>
    </r>
    <r>
      <rPr>
        <rFont val="FreeSans"/>
        <color theme="1"/>
        <sz val="14.0"/>
      </rPr>
      <t xml:space="preserve">บนทุกคอมโพเนนต์ตามเหตุการณ์ที่กำหนด และส่ง </t>
    </r>
    <r>
      <rPr>
        <rFont val="Calibri"/>
        <color theme="1"/>
        <sz val="14.0"/>
      </rPr>
      <t xml:space="preserve">Log </t>
    </r>
    <r>
      <rPr>
        <rFont val="FreeSans"/>
        <color theme="1"/>
        <sz val="14.0"/>
      </rPr>
      <t xml:space="preserve">ไปศูนย์กลางผ่าน </t>
    </r>
    <r>
      <rPr>
        <rFont val="Calibri"/>
        <color theme="1"/>
        <sz val="14.0"/>
      </rPr>
      <t>Syslog/Agent</t>
    </r>
  </si>
  <si>
    <t>ESBIT-AU-12(03)</t>
  </si>
  <si>
    <t>AU-12(03)</t>
  </si>
  <si>
    <t>Audit Record Generation | Changes by Authorized Individuals</t>
  </si>
  <si>
    <t>Enhances AU-12 (Audit Record Generation): configure and enforce 'Changes by Authorized Individuals' in addition to the base setting, keep it consistent across applicable systems and document approved exceptions. Base scope: Enable logging on all components for defined events with central forwarding via syslog or agent</t>
  </si>
  <si>
    <r>
      <rPr>
        <rFont val="FreeSans"/>
        <color theme="1"/>
        <sz val="14.0"/>
      </rPr>
      <t xml:space="preserve">ส่วนขยายของ </t>
    </r>
    <r>
      <rPr>
        <rFont val="Calibri"/>
        <color theme="1"/>
        <sz val="14.0"/>
      </rPr>
      <t xml:space="preserve">AU-12: </t>
    </r>
    <r>
      <rPr>
        <rFont val="FreeSans"/>
        <color theme="1"/>
        <sz val="14.0"/>
      </rPr>
      <t xml:space="preserve">กำหนดค่าและบังคับใช้ </t>
    </r>
    <r>
      <rPr>
        <rFont val="Calibri"/>
        <color theme="1"/>
        <sz val="14.0"/>
      </rPr>
      <t xml:space="preserve">'Changes by Authorized Individuals'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เปิด </t>
    </r>
    <r>
      <rPr>
        <rFont val="Calibri"/>
        <color theme="1"/>
        <sz val="14.0"/>
      </rPr>
      <t xml:space="preserve">Logging </t>
    </r>
    <r>
      <rPr>
        <rFont val="FreeSans"/>
        <color theme="1"/>
        <sz val="14.0"/>
      </rPr>
      <t xml:space="preserve">บนทุกคอมโพเนนต์ตามเหตุการณ์ที่กำหนด และส่ง </t>
    </r>
    <r>
      <rPr>
        <rFont val="Calibri"/>
        <color theme="1"/>
        <sz val="14.0"/>
      </rPr>
      <t xml:space="preserve">Log </t>
    </r>
    <r>
      <rPr>
        <rFont val="FreeSans"/>
        <color theme="1"/>
        <sz val="14.0"/>
      </rPr>
      <t xml:space="preserve">ไปศูนย์กลางผ่าน </t>
    </r>
    <r>
      <rPr>
        <rFont val="Calibri"/>
        <color theme="1"/>
        <sz val="14.0"/>
      </rPr>
      <t>Syslog/Agent</t>
    </r>
  </si>
  <si>
    <t>ESBIT-AU-12(04)</t>
  </si>
  <si>
    <t>AU-12(04)</t>
  </si>
  <si>
    <t>Audit Record Generation | Query Parameter Audits of Personally Identifiable Information</t>
  </si>
  <si>
    <t>Enhances AU-12 (Audit Record Generation): configure and enforce 'Query Parameter Audits of Personally Identifiable Information' in addition to the base setting, keep it consistent across applicable systems and document approved exceptions. Base scope: Enable logging on all components for defined events with central forwarding via syslog or agent</t>
  </si>
  <si>
    <r>
      <rPr>
        <rFont val="FreeSans"/>
        <color theme="1"/>
        <sz val="14.0"/>
      </rPr>
      <t xml:space="preserve">ส่วนขยายของ </t>
    </r>
    <r>
      <rPr>
        <rFont val="Calibri"/>
        <color theme="1"/>
        <sz val="14.0"/>
      </rPr>
      <t xml:space="preserve">AU-12: </t>
    </r>
    <r>
      <rPr>
        <rFont val="FreeSans"/>
        <color theme="1"/>
        <sz val="14.0"/>
      </rPr>
      <t xml:space="preserve">กำหนดค่าและบังคับใช้ </t>
    </r>
    <r>
      <rPr>
        <rFont val="Calibri"/>
        <color theme="1"/>
        <sz val="14.0"/>
      </rPr>
      <t xml:space="preserve">'Query Parameter Audits of Personally Identifiable Information'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เปิด </t>
    </r>
    <r>
      <rPr>
        <rFont val="Calibri"/>
        <color theme="1"/>
        <sz val="14.0"/>
      </rPr>
      <t xml:space="preserve">Logging </t>
    </r>
    <r>
      <rPr>
        <rFont val="FreeSans"/>
        <color theme="1"/>
        <sz val="14.0"/>
      </rPr>
      <t xml:space="preserve">บนทุกคอมโพเนนต์ตามเหตุการณ์ที่กำหนด และส่ง </t>
    </r>
    <r>
      <rPr>
        <rFont val="Calibri"/>
        <color theme="1"/>
        <sz val="14.0"/>
      </rPr>
      <t xml:space="preserve">Log </t>
    </r>
    <r>
      <rPr>
        <rFont val="FreeSans"/>
        <color theme="1"/>
        <sz val="14.0"/>
      </rPr>
      <t xml:space="preserve">ไปศูนย์กลางผ่าน </t>
    </r>
    <r>
      <rPr>
        <rFont val="Calibri"/>
        <color theme="1"/>
        <sz val="14.0"/>
      </rPr>
      <t>Syslog/Agent</t>
    </r>
  </si>
  <si>
    <t>ESBIT-AU-13</t>
  </si>
  <si>
    <t>AU-13</t>
  </si>
  <si>
    <t>Monitoring for Information Disclosure</t>
  </si>
  <si>
    <t>Configure monitoring of external sources and DLP for leaked organizational information</t>
  </si>
  <si>
    <r>
      <rPr>
        <rFont val="FreeSans"/>
        <color theme="1"/>
        <sz val="14.0"/>
      </rPr>
      <t xml:space="preserve">ตั้งค่าเฝ้าระวังแหล่งภายนอกและ </t>
    </r>
    <r>
      <rPr>
        <rFont val="Calibri"/>
        <color theme="1"/>
        <sz val="14.0"/>
      </rPr>
      <t xml:space="preserve">DLP </t>
    </r>
    <r>
      <rPr>
        <rFont val="FreeSans"/>
        <color theme="1"/>
        <sz val="14.0"/>
      </rPr>
      <t>เพื่อตรวจจับข้อมูลรั่วไหล</t>
    </r>
  </si>
  <si>
    <t>Data Protection/Storage, Logging &amp; Monitoring</t>
  </si>
  <si>
    <t>ESBIT-AU-13(01)</t>
  </si>
  <si>
    <t>AU-13(01)</t>
  </si>
  <si>
    <t>Monitoring for Information Disclosure | Use of Automated Tools</t>
  </si>
  <si>
    <t>Enhances AU-13 (Monitoring for Information Disclosure): configure and enforce 'Use of Automated Tools' in addition to the base setting, keep it consistent across applicable systems and document approved exceptions. Base scope: Configure monitoring of external sources and DLP for leaked organizational information</t>
  </si>
  <si>
    <r>
      <rPr>
        <rFont val="FreeSans"/>
        <color theme="1"/>
        <sz val="14.0"/>
      </rPr>
      <t xml:space="preserve">ส่วนขยายของ </t>
    </r>
    <r>
      <rPr>
        <rFont val="Calibri"/>
        <color theme="1"/>
        <sz val="14.0"/>
      </rPr>
      <t xml:space="preserve">AU-13: </t>
    </r>
    <r>
      <rPr>
        <rFont val="FreeSans"/>
        <color theme="1"/>
        <sz val="14.0"/>
      </rPr>
      <t xml:space="preserve">กำหนดค่าและบังคับใช้ </t>
    </r>
    <r>
      <rPr>
        <rFont val="Calibri"/>
        <color theme="1"/>
        <sz val="14.0"/>
      </rPr>
      <t xml:space="preserve">'Use of Automated Tools'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ตั้งค่าเฝ้าระวังแหล่งภายนอกและ </t>
    </r>
    <r>
      <rPr>
        <rFont val="Calibri"/>
        <color theme="1"/>
        <sz val="14.0"/>
      </rPr>
      <t xml:space="preserve">DLP </t>
    </r>
    <r>
      <rPr>
        <rFont val="FreeSans"/>
        <color theme="1"/>
        <sz val="14.0"/>
      </rPr>
      <t>เพื่อตรวจจับข้อมูลรั่วไหล</t>
    </r>
  </si>
  <si>
    <t>ESBIT-AU-13(02)</t>
  </si>
  <si>
    <t>AU-13(02)</t>
  </si>
  <si>
    <t>Monitoring for Information Disclosure | Review of Monitored Sites</t>
  </si>
  <si>
    <t>Enhances AU-13 (Monitoring for Information Disclosure): configure and enforce 'Review of Monitored Sites' in addition to the base setting, keep it consistent across applicable systems and document approved exceptions. Base scope: Configure monitoring of external sources and DLP for leaked organizational information</t>
  </si>
  <si>
    <r>
      <rPr>
        <rFont val="FreeSans"/>
        <color theme="1"/>
        <sz val="14.0"/>
      </rPr>
      <t xml:space="preserve">ส่วนขยายของ </t>
    </r>
    <r>
      <rPr>
        <rFont val="Calibri"/>
        <color theme="1"/>
        <sz val="14.0"/>
      </rPr>
      <t xml:space="preserve">AU-13: </t>
    </r>
    <r>
      <rPr>
        <rFont val="FreeSans"/>
        <color theme="1"/>
        <sz val="14.0"/>
      </rPr>
      <t xml:space="preserve">กำหนดค่าและบังคับใช้ </t>
    </r>
    <r>
      <rPr>
        <rFont val="Calibri"/>
        <color theme="1"/>
        <sz val="14.0"/>
      </rPr>
      <t xml:space="preserve">'Review of Monitored Sites'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ตั้งค่าเฝ้าระวังแหล่งภายนอกและ </t>
    </r>
    <r>
      <rPr>
        <rFont val="Calibri"/>
        <color theme="1"/>
        <sz val="14.0"/>
      </rPr>
      <t xml:space="preserve">DLP </t>
    </r>
    <r>
      <rPr>
        <rFont val="FreeSans"/>
        <color theme="1"/>
        <sz val="14.0"/>
      </rPr>
      <t>เพื่อตรวจจับข้อมูลรั่วไหล</t>
    </r>
  </si>
  <si>
    <t>ESBIT-AU-13(03)</t>
  </si>
  <si>
    <t>AU-13(03)</t>
  </si>
  <si>
    <t>Monitoring for Information Disclosure | Unauthorized Replication of Information</t>
  </si>
  <si>
    <t>Enhances AU-13 (Monitoring for Information Disclosure): configure and enforce 'Unauthorized Replication of Information' in addition to the base setting, keep it consistent across applicable systems and document approved exceptions. Base scope: Configure monitoring of external sources and DLP for leaked organizational information</t>
  </si>
  <si>
    <r>
      <rPr>
        <rFont val="FreeSans"/>
        <color theme="1"/>
        <sz val="14.0"/>
      </rPr>
      <t xml:space="preserve">ส่วนขยายของ </t>
    </r>
    <r>
      <rPr>
        <rFont val="Calibri"/>
        <color theme="1"/>
        <sz val="14.0"/>
      </rPr>
      <t xml:space="preserve">AU-13: </t>
    </r>
    <r>
      <rPr>
        <rFont val="FreeSans"/>
        <color theme="1"/>
        <sz val="14.0"/>
      </rPr>
      <t xml:space="preserve">กำหนดค่าและบังคับใช้ </t>
    </r>
    <r>
      <rPr>
        <rFont val="Calibri"/>
        <color theme="1"/>
        <sz val="14.0"/>
      </rPr>
      <t xml:space="preserve">'Unauthorized Replication of Information'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ตั้งค่าเฝ้าระวังแหล่งภายนอกและ </t>
    </r>
    <r>
      <rPr>
        <rFont val="Calibri"/>
        <color theme="1"/>
        <sz val="14.0"/>
      </rPr>
      <t xml:space="preserve">DLP </t>
    </r>
    <r>
      <rPr>
        <rFont val="FreeSans"/>
        <color theme="1"/>
        <sz val="14.0"/>
      </rPr>
      <t>เพื่อตรวจจับข้อมูลรั่วไหล</t>
    </r>
  </si>
  <si>
    <t>ESBIT-AU-14</t>
  </si>
  <si>
    <t>AU-14</t>
  </si>
  <si>
    <t>Session Audit</t>
  </si>
  <si>
    <t>Configure recording and audit of privileged user sessions</t>
  </si>
  <si>
    <r>
      <rPr>
        <rFont val="FreeSans"/>
        <color theme="1"/>
        <sz val="14.0"/>
      </rPr>
      <t xml:space="preserve">ตั้งค่าการบันทึกและตรวจสอบ </t>
    </r>
    <r>
      <rPr>
        <rFont val="Calibri"/>
        <color theme="1"/>
        <sz val="14.0"/>
      </rPr>
      <t xml:space="preserve">Session </t>
    </r>
    <r>
      <rPr>
        <rFont val="FreeSans"/>
        <color theme="1"/>
        <sz val="14.0"/>
      </rPr>
      <t>ของผู้ใช้สิทธิ์สูง</t>
    </r>
  </si>
  <si>
    <t>Infrastructure (Server/OS), Logging &amp; Monitoring</t>
  </si>
  <si>
    <t>ESBIT-AU-14(01)</t>
  </si>
  <si>
    <t>AU-14(01)</t>
  </si>
  <si>
    <t>Session Audit | System Start-up</t>
  </si>
  <si>
    <t>Enhances AU-14 (Session Audit): configure and enforce 'System Start-up' in addition to the base setting, keep it consistent across applicable systems and document approved exceptions. Base scope: Configure recording and audit of privileged user sessions</t>
  </si>
  <si>
    <r>
      <rPr>
        <rFont val="FreeSans"/>
        <color theme="1"/>
        <sz val="14.0"/>
      </rPr>
      <t xml:space="preserve">ส่วนขยายของ </t>
    </r>
    <r>
      <rPr>
        <rFont val="Calibri"/>
        <color theme="1"/>
        <sz val="14.0"/>
      </rPr>
      <t xml:space="preserve">AU-14: </t>
    </r>
    <r>
      <rPr>
        <rFont val="FreeSans"/>
        <color theme="1"/>
        <sz val="14.0"/>
      </rPr>
      <t xml:space="preserve">กำหนดค่าและบังคับใช้ </t>
    </r>
    <r>
      <rPr>
        <rFont val="Calibri"/>
        <color theme="1"/>
        <sz val="14.0"/>
      </rPr>
      <t xml:space="preserve">'System Start-up'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ตั้งค่าการบันทึกและตรวจสอบ </t>
    </r>
    <r>
      <rPr>
        <rFont val="Calibri"/>
        <color theme="1"/>
        <sz val="14.0"/>
      </rPr>
      <t xml:space="preserve">Session </t>
    </r>
    <r>
      <rPr>
        <rFont val="FreeSans"/>
        <color theme="1"/>
        <sz val="14.0"/>
      </rPr>
      <t>ของผู้ใช้สิทธิ์สูง</t>
    </r>
  </si>
  <si>
    <t>ESBIT-AU-14(03)</t>
  </si>
  <si>
    <t>AU-14(03)</t>
  </si>
  <si>
    <t>Session Audit | Remote Viewing and Listening</t>
  </si>
  <si>
    <t>Enhances AU-14 (Session Audit): configure and enforce 'Remote Viewing and Listening' in addition to the base setting, keep it consistent across applicable systems and document approved exceptions. Base scope: Configure recording and audit of privileged user sessions</t>
  </si>
  <si>
    <r>
      <rPr>
        <rFont val="FreeSans"/>
        <color theme="1"/>
        <sz val="14.0"/>
      </rPr>
      <t xml:space="preserve">ส่วนขยายของ </t>
    </r>
    <r>
      <rPr>
        <rFont val="Calibri"/>
        <color theme="1"/>
        <sz val="14.0"/>
      </rPr>
      <t xml:space="preserve">AU-14: </t>
    </r>
    <r>
      <rPr>
        <rFont val="FreeSans"/>
        <color theme="1"/>
        <sz val="14.0"/>
      </rPr>
      <t xml:space="preserve">กำหนดค่าและบังคับใช้ </t>
    </r>
    <r>
      <rPr>
        <rFont val="Calibri"/>
        <color theme="1"/>
        <sz val="14.0"/>
      </rPr>
      <t xml:space="preserve">'Remote Viewing and Listening'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ตั้งค่าการบันทึกและตรวจสอบ </t>
    </r>
    <r>
      <rPr>
        <rFont val="Calibri"/>
        <color theme="1"/>
        <sz val="14.0"/>
      </rPr>
      <t xml:space="preserve">Session </t>
    </r>
    <r>
      <rPr>
        <rFont val="FreeSans"/>
        <color theme="1"/>
        <sz val="14.0"/>
      </rPr>
      <t>ของผู้ใช้สิทธิ์สูง</t>
    </r>
  </si>
  <si>
    <t>ESBIT-AU-16</t>
  </si>
  <si>
    <t>AU-16</t>
  </si>
  <si>
    <t>Cross-organizational Audit Logging</t>
  </si>
  <si>
    <t>DE.AE-03</t>
  </si>
  <si>
    <t>Information is correlated from multiple sources</t>
  </si>
  <si>
    <t>Configure log sharing and identity preservation across organizations</t>
  </si>
  <si>
    <r>
      <rPr>
        <rFont val="FreeSans"/>
        <color theme="1"/>
        <sz val="14.0"/>
      </rPr>
      <t xml:space="preserve">ตั้งค่าการแชร์ </t>
    </r>
    <r>
      <rPr>
        <rFont val="Calibri"/>
        <color theme="1"/>
        <sz val="14.0"/>
      </rPr>
      <t xml:space="preserve">Log </t>
    </r>
    <r>
      <rPr>
        <rFont val="FreeSans"/>
        <color theme="1"/>
        <sz val="14.0"/>
      </rPr>
      <t>และรักษาข้อมูลตัวตนระหว่างองค์กร</t>
    </r>
  </si>
  <si>
    <t>ESBIT-AU-16(01)</t>
  </si>
  <si>
    <t>AU-16(01)</t>
  </si>
  <si>
    <t>Cross-organizational Audit Logging | Identity Preservation</t>
  </si>
  <si>
    <t>Enhances AU-16 (Cross-organizational Audit Logging): configure and enforce 'Identity Preservation' in addition to the base setting, keep it consistent across applicable systems and document approved exceptions. Base scope: Configure log sharing and identity preservation across organizations</t>
  </si>
  <si>
    <r>
      <rPr>
        <rFont val="FreeSans"/>
        <color theme="1"/>
        <sz val="14.0"/>
      </rPr>
      <t xml:space="preserve">ส่วนขยายของ </t>
    </r>
    <r>
      <rPr>
        <rFont val="Calibri"/>
        <color theme="1"/>
        <sz val="14.0"/>
      </rPr>
      <t xml:space="preserve">AU-16: </t>
    </r>
    <r>
      <rPr>
        <rFont val="FreeSans"/>
        <color theme="1"/>
        <sz val="14.0"/>
      </rPr>
      <t xml:space="preserve">กำหนดค่าและบังคับใช้ </t>
    </r>
    <r>
      <rPr>
        <rFont val="Calibri"/>
        <color theme="1"/>
        <sz val="14.0"/>
      </rPr>
      <t xml:space="preserve">'Identity Preservation'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ตั้งค่าการแชร์ </t>
    </r>
    <r>
      <rPr>
        <rFont val="Calibri"/>
        <color theme="1"/>
        <sz val="14.0"/>
      </rPr>
      <t xml:space="preserve">Log </t>
    </r>
    <r>
      <rPr>
        <rFont val="FreeSans"/>
        <color theme="1"/>
        <sz val="14.0"/>
      </rPr>
      <t>และรักษาข้อมูลตัวตนระหว่างองค์กร</t>
    </r>
  </si>
  <si>
    <t>ESBIT-AU-16(02)</t>
  </si>
  <si>
    <t>AU-16(02)</t>
  </si>
  <si>
    <t>Cross-organizational Audit Logging | Sharing of Audit Information</t>
  </si>
  <si>
    <t>Enhances AU-16 (Cross-organizational Audit Logging): configure and enforce 'Sharing of Audit Information' in addition to the base setting, keep it consistent across applicable systems and document approved exceptions. Base scope: Configure log sharing and identity preservation across organizations</t>
  </si>
  <si>
    <r>
      <rPr>
        <rFont val="FreeSans"/>
        <color theme="1"/>
        <sz val="14.0"/>
      </rPr>
      <t xml:space="preserve">ส่วนขยายของ </t>
    </r>
    <r>
      <rPr>
        <rFont val="Calibri"/>
        <color theme="1"/>
        <sz val="14.0"/>
      </rPr>
      <t xml:space="preserve">AU-16: </t>
    </r>
    <r>
      <rPr>
        <rFont val="FreeSans"/>
        <color theme="1"/>
        <sz val="14.0"/>
      </rPr>
      <t xml:space="preserve">กำหนดค่าและบังคับใช้ </t>
    </r>
    <r>
      <rPr>
        <rFont val="Calibri"/>
        <color theme="1"/>
        <sz val="14.0"/>
      </rPr>
      <t xml:space="preserve">'Sharing of Audit Information'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ตั้งค่าการแชร์ </t>
    </r>
    <r>
      <rPr>
        <rFont val="Calibri"/>
        <color theme="1"/>
        <sz val="14.0"/>
      </rPr>
      <t xml:space="preserve">Log </t>
    </r>
    <r>
      <rPr>
        <rFont val="FreeSans"/>
        <color theme="1"/>
        <sz val="14.0"/>
      </rPr>
      <t>และรักษาข้อมูลตัวตนระหว่างองค์กร</t>
    </r>
  </si>
  <si>
    <t>ESBIT-AU-16(03)</t>
  </si>
  <si>
    <t>AU-16(03)</t>
  </si>
  <si>
    <t>Cross-organizational Audit Logging | Disassociability</t>
  </si>
  <si>
    <t>Enhances AU-16 (Cross-organizational Audit Logging): configure and enforce 'Disassociability' in addition to the base setting, keep it consistent across applicable systems and document approved exceptions. Base scope: Configure log sharing and identity preservation across organizations</t>
  </si>
  <si>
    <r>
      <rPr>
        <rFont val="FreeSans"/>
        <color theme="1"/>
        <sz val="14.0"/>
      </rPr>
      <t xml:space="preserve">ส่วนขยายของ </t>
    </r>
    <r>
      <rPr>
        <rFont val="Calibri"/>
        <color theme="1"/>
        <sz val="14.0"/>
      </rPr>
      <t xml:space="preserve">AU-16: </t>
    </r>
    <r>
      <rPr>
        <rFont val="FreeSans"/>
        <color theme="1"/>
        <sz val="14.0"/>
      </rPr>
      <t xml:space="preserve">กำหนดค่าและบังคับใช้ </t>
    </r>
    <r>
      <rPr>
        <rFont val="Calibri"/>
        <color theme="1"/>
        <sz val="14.0"/>
      </rPr>
      <t xml:space="preserve">'Disassociability'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ตั้งค่าการแชร์ </t>
    </r>
    <r>
      <rPr>
        <rFont val="Calibri"/>
        <color theme="1"/>
        <sz val="14.0"/>
      </rPr>
      <t xml:space="preserve">Log </t>
    </r>
    <r>
      <rPr>
        <rFont val="FreeSans"/>
        <color theme="1"/>
        <sz val="14.0"/>
      </rPr>
      <t>และรักษาข้อมูลตัวตนระหว่างองค์กร</t>
    </r>
  </si>
  <si>
    <t>ESBIT-CA-01</t>
  </si>
  <si>
    <t>CA-01</t>
  </si>
  <si>
    <t>Not a direct configuration item - define, document, review and communicate the Assessment, Authorization, and Monitoring policy and procedures that drive the technical configuration standards.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</si>
  <si>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กำหนด จัดทำเอกสาร และทบทวนนโยบาย</t>
    </r>
    <r>
      <rPr>
        <rFont val="Calibri"/>
        <color theme="1"/>
        <sz val="14.0"/>
      </rPr>
      <t>/</t>
    </r>
    <r>
      <rPr>
        <rFont val="FreeSans"/>
        <color theme="1"/>
        <sz val="14.0"/>
      </rPr>
      <t xml:space="preserve">ขั้นตอนของหมวดการประเมิน การอนุมัติ และการเฝ้าระวัง เพื่อเป็นฐานในการกำหนดมาตรฐาน </t>
    </r>
    <r>
      <rPr>
        <rFont val="Calibri"/>
        <color theme="1"/>
        <sz val="14.0"/>
      </rPr>
      <t>Config</t>
    </r>
  </si>
  <si>
    <t>ESBIT-CA-02</t>
  </si>
  <si>
    <t>CA-02</t>
  </si>
  <si>
    <t>Control Assessments</t>
  </si>
  <si>
    <t>ID.IM - Improvement</t>
  </si>
  <si>
    <t>ID.IM-01</t>
  </si>
  <si>
    <t>Improvements are identified from evaluations</t>
  </si>
  <si>
    <t>Not a direct configuration item - planning and performing security control assessments and configuration compliance reviews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</si>
  <si>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การวางแผนและประเมินมาตรการความปลอดภัยและการทบทวนความสอดคล้องของ </t>
    </r>
    <r>
      <rPr>
        <rFont val="Calibri"/>
        <color theme="1"/>
        <sz val="14.0"/>
      </rPr>
      <t>Config</t>
    </r>
  </si>
  <si>
    <t>ESBIT-CA-02(01)</t>
  </si>
  <si>
    <t>CA-02(01)</t>
  </si>
  <si>
    <t>Control Assessments | Independent Assessors</t>
  </si>
  <si>
    <t>Not a direct configuration item - enhancement of CA-02 (Control Assessments): 'Independent Assessors'; planning and performing security control assessments and configuration compliance reviews.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</si>
  <si>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CA-02: 'Independent Assessors' - </t>
    </r>
    <r>
      <rPr>
        <rFont val="FreeSans"/>
        <color theme="1"/>
        <sz val="14.0"/>
      </rPr>
      <t xml:space="preserve">การวางแผนและประเมินมาตรการความปลอดภัยและการทบทวนความสอดคล้องของ </t>
    </r>
    <r>
      <rPr>
        <rFont val="Calibri"/>
        <color theme="1"/>
        <sz val="14.0"/>
      </rPr>
      <t>Config</t>
    </r>
  </si>
  <si>
    <t>ESBIT-CA-02(02)</t>
  </si>
  <si>
    <t>CA-02(02)</t>
  </si>
  <si>
    <t>Control Assessments | Specialized Assessments</t>
  </si>
  <si>
    <t>Not a direct configuration item - enhancement of CA-02 (Control Assessments): 'Specialized Assessments'; planning and performing security control assessments and configuration compliance reviews.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</si>
  <si>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CA-02: 'Specialized Assessments' - </t>
    </r>
    <r>
      <rPr>
        <rFont val="FreeSans"/>
        <color theme="1"/>
        <sz val="14.0"/>
      </rPr>
      <t xml:space="preserve">การวางแผนและประเมินมาตรการความปลอดภัยและการทบทวนความสอดคล้องของ </t>
    </r>
    <r>
      <rPr>
        <rFont val="Calibri"/>
        <color theme="1"/>
        <sz val="14.0"/>
      </rPr>
      <t>Config</t>
    </r>
  </si>
  <si>
    <t>ESBIT-CA-02(03)</t>
  </si>
  <si>
    <t>CA-02(03)</t>
  </si>
  <si>
    <t>Control Assessments | Leveraging Results from External Organizations</t>
  </si>
  <si>
    <t>Not a direct configuration item - enhancement of CA-02 (Control Assessments): 'Leveraging Results from External Organizations'; planning and performing security control assessments and configuration compliance reviews.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</si>
  <si>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CA-02: 'Leveraging Results from External Organizations' - </t>
    </r>
    <r>
      <rPr>
        <rFont val="FreeSans"/>
        <color theme="1"/>
        <sz val="14.0"/>
      </rPr>
      <t xml:space="preserve">การวางแผนและประเมินมาตรการความปลอดภัยและการทบทวนความสอดคล้องของ </t>
    </r>
    <r>
      <rPr>
        <rFont val="Calibri"/>
        <color theme="1"/>
        <sz val="14.0"/>
      </rPr>
      <t>Config</t>
    </r>
  </si>
  <si>
    <t>ESBIT-CA-03</t>
  </si>
  <si>
    <t>CA-03</t>
  </si>
  <si>
    <t>Information Exchange</t>
  </si>
  <si>
    <t>Configure secured interconnections (VPN/API/firewall rules) per interconnection agreements</t>
  </si>
  <si>
    <r>
      <rPr>
        <rFont val="FreeSans"/>
        <color theme="1"/>
        <sz val="14.0"/>
      </rPr>
      <t xml:space="preserve">ตั้งค่าการเชื่อมต่อที่ปลอดภัย </t>
    </r>
    <r>
      <rPr>
        <rFont val="Calibri"/>
        <color theme="1"/>
        <sz val="14.0"/>
      </rPr>
      <t xml:space="preserve">(VPN/API/Firewall) </t>
    </r>
    <r>
      <rPr>
        <rFont val="FreeSans"/>
        <color theme="1"/>
        <sz val="14.0"/>
      </rPr>
      <t>ตามข้อตกลงการเชื่อมต่อระบบ</t>
    </r>
  </si>
  <si>
    <t>ESBIT-CA-03(06)</t>
  </si>
  <si>
    <t>CA-03(06)</t>
  </si>
  <si>
    <t>Information Exchange | Transfer Authorizations</t>
  </si>
  <si>
    <t>Enhances CA-03 (Information Exchange): configure and enforce 'Transfer Authorizations' in addition to the base setting, keep it consistent across applicable systems and document approved exceptions. Base scope: Configure secured interconnections (VPN/API/firewall rules) per interconnection agreements</t>
  </si>
  <si>
    <r>
      <rPr>
        <rFont val="FreeSans"/>
        <color theme="1"/>
        <sz val="14.0"/>
      </rPr>
      <t xml:space="preserve">ส่วนขยายของ </t>
    </r>
    <r>
      <rPr>
        <rFont val="Calibri"/>
        <color theme="1"/>
        <sz val="14.0"/>
      </rPr>
      <t xml:space="preserve">CA-03: </t>
    </r>
    <r>
      <rPr>
        <rFont val="FreeSans"/>
        <color theme="1"/>
        <sz val="14.0"/>
      </rPr>
      <t xml:space="preserve">กำหนดค่าและบังคับใช้ </t>
    </r>
    <r>
      <rPr>
        <rFont val="Calibri"/>
        <color theme="1"/>
        <sz val="14.0"/>
      </rPr>
      <t xml:space="preserve">'Transfer Authorizations'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ตั้งค่าการเชื่อมต่อที่ปลอดภัย </t>
    </r>
    <r>
      <rPr>
        <rFont val="Calibri"/>
        <color theme="1"/>
        <sz val="14.0"/>
      </rPr>
      <t xml:space="preserve">(VPN/API/Firewall) </t>
    </r>
    <r>
      <rPr>
        <rFont val="FreeSans"/>
        <color theme="1"/>
        <sz val="14.0"/>
      </rPr>
      <t>ตามข้อตกลงการเชื่อมต่อระบบ</t>
    </r>
  </si>
  <si>
    <t>ESBIT-CA-03(07)</t>
  </si>
  <si>
    <t>CA-03(07)</t>
  </si>
  <si>
    <t>Information Exchange | Transitive Information Exchanges</t>
  </si>
  <si>
    <t>Enhances CA-03 (Information Exchange): configure and enforce 'Transitive Information Exchanges' in addition to the base setting, keep it consistent across applicable systems and document approved exceptions. Base scope: Configure secured interconnections (VPN/API/firewall rules) per interconnection agreements</t>
  </si>
  <si>
    <r>
      <rPr>
        <rFont val="FreeSans"/>
        <color theme="1"/>
        <sz val="14.0"/>
      </rPr>
      <t xml:space="preserve">ส่วนขยายของ </t>
    </r>
    <r>
      <rPr>
        <rFont val="Calibri"/>
        <color theme="1"/>
        <sz val="14.0"/>
      </rPr>
      <t xml:space="preserve">CA-03: </t>
    </r>
    <r>
      <rPr>
        <rFont val="FreeSans"/>
        <color theme="1"/>
        <sz val="14.0"/>
      </rPr>
      <t xml:space="preserve">กำหนดค่าและบังคับใช้ </t>
    </r>
    <r>
      <rPr>
        <rFont val="Calibri"/>
        <color theme="1"/>
        <sz val="14.0"/>
      </rPr>
      <t xml:space="preserve">'Transitive Information Exchanges'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ตั้งค่าการเชื่อมต่อที่ปลอดภัย </t>
    </r>
    <r>
      <rPr>
        <rFont val="Calibri"/>
        <color theme="1"/>
        <sz val="14.0"/>
      </rPr>
      <t xml:space="preserve">(VPN/API/Firewall) </t>
    </r>
    <r>
      <rPr>
        <rFont val="FreeSans"/>
        <color theme="1"/>
        <sz val="14.0"/>
      </rPr>
      <t>ตามข้อตกลงการเชื่อมต่อระบบ</t>
    </r>
  </si>
  <si>
    <t>ESBIT-CA-05</t>
  </si>
  <si>
    <t>CA-05</t>
  </si>
  <si>
    <t>Plan of Action and Milestones</t>
  </si>
  <si>
    <t>ID.RA - Risk Assessment</t>
  </si>
  <si>
    <t>ID.RA-06</t>
  </si>
  <si>
    <t>Risk responses are chosen, prioritized, planned, tracked, and communicated</t>
  </si>
  <si>
    <t>Not a direct configuration item - tracking and remediating identified weaknesses through POA&amp;M</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</si>
  <si>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การติดตามและแก้ไขจุดอ่อนที่พบผ่านแผน </t>
    </r>
    <r>
      <rPr>
        <rFont val="Calibri"/>
        <color theme="1"/>
        <sz val="14.0"/>
      </rPr>
      <t>POA&amp;M</t>
    </r>
  </si>
  <si>
    <t>ESBIT-CA-05(01)</t>
  </si>
  <si>
    <t>CA-05(01)</t>
  </si>
  <si>
    <t>Plan of Action and Milestones | Automation Support for Accuracy and Currency</t>
  </si>
  <si>
    <t>Not a direct configuration item - enhancement of CA-05 (Plan of Action and Milestones): 'Automation Support for Accuracy and Currency'; tracking and remediating identified weaknesses through POA&amp;M.</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</si>
  <si>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CA-05: 'Automation Support for Accuracy and Currency' - </t>
    </r>
    <r>
      <rPr>
        <rFont val="FreeSans"/>
        <color theme="1"/>
        <sz val="14.0"/>
      </rPr>
      <t xml:space="preserve">การติดตามและแก้ไขจุดอ่อนที่พบผ่านแผน </t>
    </r>
    <r>
      <rPr>
        <rFont val="Calibri"/>
        <color theme="1"/>
        <sz val="14.0"/>
      </rPr>
      <t>POA&amp;M</t>
    </r>
  </si>
  <si>
    <t>ESBIT-CA-06</t>
  </si>
  <si>
    <t>CA-06</t>
  </si>
  <si>
    <t>Authorization</t>
  </si>
  <si>
    <t>GV.OV - Oversight</t>
  </si>
  <si>
    <t>GV.OV-02</t>
  </si>
  <si>
    <t>The cybersecurity risk management strategy is reviewed and adjusted to ensure coverage of organizational requirements and risks</t>
  </si>
  <si>
    <t>Not a direct configuration item - management authorization to operate systems based on risk</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</si>
  <si>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การอนุมัติให้ระบบใช้งานตามระดับความเสี่ยงโดยผู้บริหาร</t>
    </r>
  </si>
  <si>
    <t>ESBIT-CA-06(01)</t>
  </si>
  <si>
    <t>CA-06(01)</t>
  </si>
  <si>
    <t>Authorization | Joint Authorization - Intra-organization</t>
  </si>
  <si>
    <t>Not a direct configuration item - enhancement of CA-06 (Authorization): 'Joint Authorization - Intra-organization'; management authorization to operate systems based on risk.</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</si>
  <si>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CA-06: 'Joint Authorization - Intra-organization' - </t>
    </r>
    <r>
      <rPr>
        <rFont val="FreeSans"/>
        <color theme="1"/>
        <sz val="14.0"/>
      </rPr>
      <t>การอนุมัติให้ระบบใช้งานตามระดับความเสี่ยงโดยผู้บริหาร</t>
    </r>
  </si>
  <si>
    <t>ESBIT-CA-06(02)</t>
  </si>
  <si>
    <t>CA-06(02)</t>
  </si>
  <si>
    <t>Authorization | Joint Authorization - Inter-organization</t>
  </si>
  <si>
    <t>Not a direct configuration item - enhancement of CA-06 (Authorization): 'Joint Authorization - Inter-organization'; management authorization to operate systems based on risk.</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</si>
  <si>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CA-06: 'Joint Authorization - Inter-organization' - </t>
    </r>
    <r>
      <rPr>
        <rFont val="FreeSans"/>
        <color theme="1"/>
        <sz val="14.0"/>
      </rPr>
      <t>การอนุมัติให้ระบบใช้งานตามระดับความเสี่ยงโดยผู้บริหาร</t>
    </r>
  </si>
  <si>
    <t>ESBIT-CA-07</t>
  </si>
  <si>
    <t>CA-07</t>
  </si>
  <si>
    <t>Continuous Monitoring</t>
  </si>
  <si>
    <t>Configure continuous monitoring of configuration drift, vulnerabilities and security metrics</t>
  </si>
  <si>
    <r>
      <rPr>
        <rFont val="FreeSans"/>
        <color theme="1"/>
        <sz val="14.0"/>
      </rPr>
      <t xml:space="preserve">ตั้งค่าการเฝ้าระวังต่อเนื่องเรื่อง </t>
    </r>
    <r>
      <rPr>
        <rFont val="Calibri"/>
        <color theme="1"/>
        <sz val="14.0"/>
      </rPr>
      <t xml:space="preserve">Configuration Drift </t>
    </r>
    <r>
      <rPr>
        <rFont val="FreeSans"/>
        <color theme="1"/>
        <sz val="14.0"/>
      </rPr>
      <t>ช่องโหว่ และตัวชี้วัดความปลอดภัย</t>
    </r>
  </si>
  <si>
    <t>ESBIT-CA-07(01)</t>
  </si>
  <si>
    <t>CA-07(01)</t>
  </si>
  <si>
    <t>Continuous Monitoring | Independent Assessment</t>
  </si>
  <si>
    <t>Enhances CA-07 (Continuous Monitoring): configure and enforce 'Independent Assessment' in addition to the base setting, keep it consistent across applicable systems and document approved exceptions. Base scope: Configure continuous monitoring of configuration drift, vulnerabilities and security metrics</t>
  </si>
  <si>
    <r>
      <rPr>
        <rFont val="FreeSans"/>
        <color theme="1"/>
        <sz val="14.0"/>
      </rPr>
      <t xml:space="preserve">ส่วนขยายของ </t>
    </r>
    <r>
      <rPr>
        <rFont val="Calibri"/>
        <color theme="1"/>
        <sz val="14.0"/>
      </rPr>
      <t xml:space="preserve">CA-07: </t>
    </r>
    <r>
      <rPr>
        <rFont val="FreeSans"/>
        <color theme="1"/>
        <sz val="14.0"/>
      </rPr>
      <t xml:space="preserve">กำหนดค่าและบังคับใช้ </t>
    </r>
    <r>
      <rPr>
        <rFont val="Calibri"/>
        <color theme="1"/>
        <sz val="14.0"/>
      </rPr>
      <t xml:space="preserve">'Independent Assessment'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ตั้งค่าการเฝ้าระวังต่อเนื่องเรื่อง </t>
    </r>
    <r>
      <rPr>
        <rFont val="Calibri"/>
        <color theme="1"/>
        <sz val="14.0"/>
      </rPr>
      <t xml:space="preserve">Configuration Drift </t>
    </r>
    <r>
      <rPr>
        <rFont val="FreeSans"/>
        <color theme="1"/>
        <sz val="14.0"/>
      </rPr>
      <t>ช่องโหว่ และตัวชี้วัดความปลอดภัย</t>
    </r>
  </si>
  <si>
    <t>ESBIT-CA-07(03)</t>
  </si>
  <si>
    <t>CA-07(03)</t>
  </si>
  <si>
    <t>Continuous Monitoring | Trend Analyses</t>
  </si>
  <si>
    <t>Enhances CA-07 (Continuous Monitoring): configure and enforce 'Trend Analyses' in addition to the base setting, keep it consistent across applicable systems and document approved exceptions. Base scope: Configure continuous monitoring of configuration drift, vulnerabilities and security metrics</t>
  </si>
  <si>
    <r>
      <rPr>
        <rFont val="FreeSans"/>
        <color theme="1"/>
        <sz val="14.0"/>
      </rPr>
      <t xml:space="preserve">ส่วนขยายของ </t>
    </r>
    <r>
      <rPr>
        <rFont val="Calibri"/>
        <color theme="1"/>
        <sz val="14.0"/>
      </rPr>
      <t xml:space="preserve">CA-07: </t>
    </r>
    <r>
      <rPr>
        <rFont val="FreeSans"/>
        <color theme="1"/>
        <sz val="14.0"/>
      </rPr>
      <t xml:space="preserve">กำหนดค่าและบังคับใช้ </t>
    </r>
    <r>
      <rPr>
        <rFont val="Calibri"/>
        <color theme="1"/>
        <sz val="14.0"/>
      </rPr>
      <t xml:space="preserve">'Trend Analyses'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ตั้งค่าการเฝ้าระวังต่อเนื่องเรื่อง </t>
    </r>
    <r>
      <rPr>
        <rFont val="Calibri"/>
        <color theme="1"/>
        <sz val="14.0"/>
      </rPr>
      <t xml:space="preserve">Configuration Drift </t>
    </r>
    <r>
      <rPr>
        <rFont val="FreeSans"/>
        <color theme="1"/>
        <sz val="14.0"/>
      </rPr>
      <t>ช่องโหว่ และตัวชี้วัดความปลอดภัย</t>
    </r>
  </si>
  <si>
    <t>ESBIT-CA-07(04)</t>
  </si>
  <si>
    <t>CA-07(04)</t>
  </si>
  <si>
    <t>Continuous Monitoring | Risk Monitoring</t>
  </si>
  <si>
    <t>Enhances CA-07 (Continuous Monitoring): configure and enforce 'Risk Monitoring' in addition to the base setting, keep it consistent across applicable systems and document approved exceptions. Base scope: Configure continuous monitoring of configuration drift, vulnerabilities and security metrics</t>
  </si>
  <si>
    <r>
      <rPr>
        <rFont val="FreeSans"/>
        <color theme="1"/>
        <sz val="14.0"/>
      </rPr>
      <t xml:space="preserve">ส่วนขยายของ </t>
    </r>
    <r>
      <rPr>
        <rFont val="Calibri"/>
        <color theme="1"/>
        <sz val="14.0"/>
      </rPr>
      <t xml:space="preserve">CA-07: </t>
    </r>
    <r>
      <rPr>
        <rFont val="FreeSans"/>
        <color theme="1"/>
        <sz val="14.0"/>
      </rPr>
      <t xml:space="preserve">กำหนดค่าและบังคับใช้ </t>
    </r>
    <r>
      <rPr>
        <rFont val="Calibri"/>
        <color theme="1"/>
        <sz val="14.0"/>
      </rPr>
      <t xml:space="preserve">'Risk Monitoring'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ตั้งค่าการเฝ้าระวังต่อเนื่องเรื่อง </t>
    </r>
    <r>
      <rPr>
        <rFont val="Calibri"/>
        <color theme="1"/>
        <sz val="14.0"/>
      </rPr>
      <t xml:space="preserve">Configuration Drift </t>
    </r>
    <r>
      <rPr>
        <rFont val="FreeSans"/>
        <color theme="1"/>
        <sz val="14.0"/>
      </rPr>
      <t>ช่องโหว่ และตัวชี้วัดความปลอดภัย</t>
    </r>
  </si>
  <si>
    <t>ESBIT-CA-07(05)</t>
  </si>
  <si>
    <t>CA-07(05)</t>
  </si>
  <si>
    <t>Continuous Monitoring | Consistency Analysis</t>
  </si>
  <si>
    <t>Enhances CA-07 (Continuous Monitoring): configure and enforce 'Consistency Analysis' in addition to the base setting, keep it consistent across applicable systems and document approved exceptions. Base scope: Configure continuous monitoring of configuration drift, vulnerabilities and security metrics</t>
  </si>
  <si>
    <r>
      <rPr>
        <rFont val="FreeSans"/>
        <color theme="1"/>
        <sz val="14.0"/>
      </rPr>
      <t xml:space="preserve">ส่วนขยายของ </t>
    </r>
    <r>
      <rPr>
        <rFont val="Calibri"/>
        <color theme="1"/>
        <sz val="14.0"/>
      </rPr>
      <t xml:space="preserve">CA-07: </t>
    </r>
    <r>
      <rPr>
        <rFont val="FreeSans"/>
        <color theme="1"/>
        <sz val="14.0"/>
      </rPr>
      <t xml:space="preserve">กำหนดค่าและบังคับใช้ </t>
    </r>
    <r>
      <rPr>
        <rFont val="Calibri"/>
        <color theme="1"/>
        <sz val="14.0"/>
      </rPr>
      <t xml:space="preserve">'Consistency Analysis'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ตั้งค่าการเฝ้าระวังต่อเนื่องเรื่อง </t>
    </r>
    <r>
      <rPr>
        <rFont val="Calibri"/>
        <color theme="1"/>
        <sz val="14.0"/>
      </rPr>
      <t xml:space="preserve">Configuration Drift </t>
    </r>
    <r>
      <rPr>
        <rFont val="FreeSans"/>
        <color theme="1"/>
        <sz val="14.0"/>
      </rPr>
      <t>ช่องโหว่ และตัวชี้วัดความปลอดภัย</t>
    </r>
  </si>
  <si>
    <t>ESBIT-CA-07(06)</t>
  </si>
  <si>
    <t>CA-07(06)</t>
  </si>
  <si>
    <t>Continuous Monitoring | Automation Support for Monitoring</t>
  </si>
  <si>
    <t>Enhances CA-07 (Continuous Monitoring): configure and enforce 'Automation Support for Monitoring' in addition to the base setting, keep it consistent across applicable systems and document approved exceptions. Base scope: Configure continuous monitoring of configuration drift, vulnerabilities and security metrics</t>
  </si>
  <si>
    <r>
      <rPr>
        <rFont val="FreeSans"/>
        <color theme="1"/>
        <sz val="14.0"/>
      </rPr>
      <t xml:space="preserve">ส่วนขยายของ </t>
    </r>
    <r>
      <rPr>
        <rFont val="Calibri"/>
        <color theme="1"/>
        <sz val="14.0"/>
      </rPr>
      <t xml:space="preserve">CA-07: </t>
    </r>
    <r>
      <rPr>
        <rFont val="FreeSans"/>
        <color theme="1"/>
        <sz val="14.0"/>
      </rPr>
      <t xml:space="preserve">กำหนดค่าและบังคับใช้ </t>
    </r>
    <r>
      <rPr>
        <rFont val="Calibri"/>
        <color theme="1"/>
        <sz val="14.0"/>
      </rPr>
      <t xml:space="preserve">'Automation Support for Monitoring'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ตั้งค่าการเฝ้าระวังต่อเนื่องเรื่อง </t>
    </r>
    <r>
      <rPr>
        <rFont val="Calibri"/>
        <color theme="1"/>
        <sz val="14.0"/>
      </rPr>
      <t xml:space="preserve">Configuration Drift </t>
    </r>
    <r>
      <rPr>
        <rFont val="FreeSans"/>
        <color theme="1"/>
        <sz val="14.0"/>
      </rPr>
      <t>ช่องโหว่ และตัวชี้วัดความปลอดภัย</t>
    </r>
  </si>
  <si>
    <t>ESBIT-CA-08</t>
  </si>
  <si>
    <t>CA-08</t>
  </si>
  <si>
    <t>Penetration Testing</t>
  </si>
  <si>
    <t>ID.RA-01</t>
  </si>
  <si>
    <t>Vulnerabilities in assets are identified, validated, and recorded</t>
  </si>
  <si>
    <t>Not a direct configuration item - periodic penetration testing to validate configuration hardening</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</si>
  <si>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การทดสอบเจาะระบบเป็นระยะเพื่อยืนยันความแข็งแกร่งของ </t>
    </r>
    <r>
      <rPr>
        <rFont val="Calibri"/>
        <color theme="1"/>
        <sz val="14.0"/>
      </rPr>
      <t>Config</t>
    </r>
  </si>
  <si>
    <t>ESBIT-CA-08(01)</t>
  </si>
  <si>
    <t>CA-08(01)</t>
  </si>
  <si>
    <t>Penetration Testing | Independent Penetration Testing Agent or Team</t>
  </si>
  <si>
    <t>Not a direct configuration item - enhancement of CA-08 (Penetration Testing): 'Independent Penetration Testing Agent or Team'; periodic penetration testing to validate configuration hardening.</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</si>
  <si>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CA-08: 'Independent Penetration Testing Agent or Team' - </t>
    </r>
    <r>
      <rPr>
        <rFont val="FreeSans"/>
        <color theme="1"/>
        <sz val="14.0"/>
      </rPr>
      <t xml:space="preserve">การทดสอบเจาะระบบเป็นระยะเพื่อยืนยันความแข็งแกร่งของ </t>
    </r>
    <r>
      <rPr>
        <rFont val="Calibri"/>
        <color theme="1"/>
        <sz val="14.0"/>
      </rPr>
      <t>Config</t>
    </r>
  </si>
  <si>
    <t>ESBIT-CA-08(02)</t>
  </si>
  <si>
    <t>CA-08(02)</t>
  </si>
  <si>
    <t>Penetration Testing | Red Team Exercises</t>
  </si>
  <si>
    <t>Not a direct configuration item - enhancement of CA-08 (Penetration Testing): 'Red Team Exercises'; periodic penetration testing to validate configuration hardening.</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</si>
  <si>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CA-08: 'Red Team Exercises' - </t>
    </r>
    <r>
      <rPr>
        <rFont val="FreeSans"/>
        <color theme="1"/>
        <sz val="14.0"/>
      </rPr>
      <t xml:space="preserve">การทดสอบเจาะระบบเป็นระยะเพื่อยืนยันความแข็งแกร่งของ </t>
    </r>
    <r>
      <rPr>
        <rFont val="Calibri"/>
        <color theme="1"/>
        <sz val="14.0"/>
      </rPr>
      <t>Config</t>
    </r>
  </si>
  <si>
    <t>ESBIT-CA-08(03)</t>
  </si>
  <si>
    <t>CA-08(03)</t>
  </si>
  <si>
    <t>Penetration Testing | Facility Penetration Testing</t>
  </si>
  <si>
    <t>Not a direct configuration item - enhancement of CA-08 (Penetration Testing): 'Facility Penetration Testing'; periodic penetration testing to validate configuration hardening.</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</si>
  <si>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CA-08: 'Facility Penetration Testing' - </t>
    </r>
    <r>
      <rPr>
        <rFont val="FreeSans"/>
        <color theme="1"/>
        <sz val="14.0"/>
      </rPr>
      <t xml:space="preserve">การทดสอบเจาะระบบเป็นระยะเพื่อยืนยันความแข็งแกร่งของ </t>
    </r>
    <r>
      <rPr>
        <rFont val="Calibri"/>
        <color theme="1"/>
        <sz val="14.0"/>
      </rPr>
      <t>Config</t>
    </r>
  </si>
  <si>
    <t>ESBIT-CA-09</t>
  </si>
  <si>
    <t>CA-09</t>
  </si>
  <si>
    <t>Internal System Connections</t>
  </si>
  <si>
    <t>Document and restrict internal system connections and configure permitted flows</t>
  </si>
  <si>
    <t>จัดทำเอกสารและจำกัดการเชื่อมต่อภายใน พร้อมตั้งค่าเส้นทางที่อนุญาต</t>
  </si>
  <si>
    <t>ESBIT-CA-09(01)</t>
  </si>
  <si>
    <t>CA-09(01)</t>
  </si>
  <si>
    <t>Internal System Connections | Compliance Checks</t>
  </si>
  <si>
    <t>Enhances CA-09 (Internal System Connections): configure and enforce 'Compliance Checks' in addition to the base setting, keep it consistent across applicable systems and document approved exceptions. Base scope: Document and restrict internal system connections and configure permitted flows</t>
  </si>
  <si>
    <r>
      <rPr>
        <rFont val="FreeSans"/>
        <color theme="1"/>
        <sz val="14.0"/>
      </rPr>
      <t xml:space="preserve">ส่วนขยายของ </t>
    </r>
    <r>
      <rPr>
        <rFont val="Calibri"/>
        <color theme="1"/>
        <sz val="14.0"/>
      </rPr>
      <t xml:space="preserve">CA-09: </t>
    </r>
    <r>
      <rPr>
        <rFont val="FreeSans"/>
        <color theme="1"/>
        <sz val="14.0"/>
      </rPr>
      <t xml:space="preserve">กำหนดค่าและบังคับใช้ </t>
    </r>
    <r>
      <rPr>
        <rFont val="Calibri"/>
        <color theme="1"/>
        <sz val="14.0"/>
      </rPr>
      <t xml:space="preserve">'Compliance Checks'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จัดทำเอกสารและจำกัดการเชื่อมต่อภายใน พร้อมตั้งค่าเส้นทางที่อนุญาต</t>
    </r>
  </si>
  <si>
    <t>ESBIT-CM-01</t>
  </si>
  <si>
    <t>CM-01</t>
  </si>
  <si>
    <t>Not a direct configuration item - define, document, review and communicate the Configuration Management policy and procedures that drive the technical configuration standards.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</si>
  <si>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กำหนด จัดทำเอกสาร และทบทวนนโยบาย</t>
    </r>
    <r>
      <rPr>
        <rFont val="Calibri"/>
        <color theme="1"/>
        <sz val="14.0"/>
      </rPr>
      <t>/</t>
    </r>
    <r>
      <rPr>
        <rFont val="FreeSans"/>
        <color theme="1"/>
        <sz val="14.0"/>
      </rPr>
      <t xml:space="preserve">ขั้นตอนของหมวดการบริหารจัดการ </t>
    </r>
    <r>
      <rPr>
        <rFont val="Calibri"/>
        <color theme="1"/>
        <sz val="14.0"/>
      </rPr>
      <t xml:space="preserve">Configuration </t>
    </r>
    <r>
      <rPr>
        <rFont val="FreeSans"/>
        <color theme="1"/>
        <sz val="14.0"/>
      </rPr>
      <t xml:space="preserve">เพื่อเป็นฐานในการกำหนดมาตรฐาน </t>
    </r>
    <r>
      <rPr>
        <rFont val="Calibri"/>
        <color theme="1"/>
        <sz val="14.0"/>
      </rPr>
      <t>Config</t>
    </r>
  </si>
  <si>
    <t>ESBIT-CM-02</t>
  </si>
  <si>
    <t>CM-02</t>
  </si>
  <si>
    <t>Baseline Configuration</t>
  </si>
  <si>
    <t>Develop, document and maintain secure baseline configurations (CIS/hardened images) for servers, network devices, databases and cloud</t>
  </si>
  <si>
    <r>
      <rPr>
        <rFont val="FreeSans"/>
        <color theme="1"/>
        <sz val="14.0"/>
      </rPr>
      <t xml:space="preserve">จัดทำและดูแล </t>
    </r>
    <r>
      <rPr>
        <rFont val="Calibri"/>
        <color theme="1"/>
        <sz val="14.0"/>
      </rPr>
      <t xml:space="preserve">Baseline Configuration </t>
    </r>
    <r>
      <rPr>
        <rFont val="FreeSans"/>
        <color theme="1"/>
        <sz val="14.0"/>
      </rPr>
      <t xml:space="preserve">ที่ปลอดภัย </t>
    </r>
    <r>
      <rPr>
        <rFont val="Calibri"/>
        <color theme="1"/>
        <sz val="14.0"/>
      </rPr>
      <t xml:space="preserve">(CIS/Hardened Image) </t>
    </r>
    <r>
      <rPr>
        <rFont val="FreeSans"/>
        <color theme="1"/>
        <sz val="14.0"/>
      </rPr>
      <t xml:space="preserve">สำหรับเซิร์ฟเวอร์ เครือข่าย </t>
    </r>
    <r>
      <rPr>
        <rFont val="Calibri"/>
        <color theme="1"/>
        <sz val="14.0"/>
      </rPr>
      <t xml:space="preserve">DB </t>
    </r>
    <r>
      <rPr>
        <rFont val="FreeSans"/>
        <color theme="1"/>
        <sz val="14.0"/>
      </rPr>
      <t xml:space="preserve">และ </t>
    </r>
    <r>
      <rPr>
        <rFont val="Calibri"/>
        <color theme="1"/>
        <sz val="14.0"/>
      </rPr>
      <t>Cloud</t>
    </r>
  </si>
  <si>
    <t>Infrastructure (Server/OS), Network, Cloud, Database</t>
  </si>
  <si>
    <t>ESBIT-CM-02(02)</t>
  </si>
  <si>
    <t>CM-02(02)</t>
  </si>
  <si>
    <t>Baseline Configuration | Automation Support for Accuracy and Currency</t>
  </si>
  <si>
    <t>Enhances CM-02 (Baseline Configuration): configure and enforce 'Automation Support for Accuracy and Currency' in addition to the base setting, keep it consistent across applicable systems and document approved exceptions. Base scope: Develop, document and maintain secure baseline configurations (CIS/hardened images) for servers, network devices, databases and cloud</t>
  </si>
  <si>
    <r>
      <rPr>
        <rFont val="FreeSans"/>
        <color theme="1"/>
        <sz val="14.0"/>
      </rPr>
      <t xml:space="preserve">ส่วนขยายของ </t>
    </r>
    <r>
      <rPr>
        <rFont val="Calibri"/>
        <color theme="1"/>
        <sz val="14.0"/>
      </rPr>
      <t xml:space="preserve">CM-02: </t>
    </r>
    <r>
      <rPr>
        <rFont val="FreeSans"/>
        <color theme="1"/>
        <sz val="14.0"/>
      </rPr>
      <t xml:space="preserve">กำหนดค่าและบังคับใช้ </t>
    </r>
    <r>
      <rPr>
        <rFont val="Calibri"/>
        <color theme="1"/>
        <sz val="14.0"/>
      </rPr>
      <t xml:space="preserve">'Automation Support for Accuracy and Currency'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จัดทำและดูแล </t>
    </r>
    <r>
      <rPr>
        <rFont val="Calibri"/>
        <color theme="1"/>
        <sz val="14.0"/>
      </rPr>
      <t xml:space="preserve">Baseline Configuration </t>
    </r>
    <r>
      <rPr>
        <rFont val="FreeSans"/>
        <color theme="1"/>
        <sz val="14.0"/>
      </rPr>
      <t xml:space="preserve">ที่ปลอดภัย </t>
    </r>
    <r>
      <rPr>
        <rFont val="Calibri"/>
        <color theme="1"/>
        <sz val="14.0"/>
      </rPr>
      <t xml:space="preserve">(CIS/Hardened Image) </t>
    </r>
    <r>
      <rPr>
        <rFont val="FreeSans"/>
        <color theme="1"/>
        <sz val="14.0"/>
      </rPr>
      <t xml:space="preserve">สำหรับเซิร์ฟเวอร์ เครือข่าย </t>
    </r>
    <r>
      <rPr>
        <rFont val="Calibri"/>
        <color theme="1"/>
        <sz val="14.0"/>
      </rPr>
      <t xml:space="preserve">DB </t>
    </r>
    <r>
      <rPr>
        <rFont val="FreeSans"/>
        <color theme="1"/>
        <sz val="14.0"/>
      </rPr>
      <t xml:space="preserve">และ </t>
    </r>
    <r>
      <rPr>
        <rFont val="Calibri"/>
        <color theme="1"/>
        <sz val="14.0"/>
      </rPr>
      <t>Cloud</t>
    </r>
  </si>
  <si>
    <t>ESBIT-CM-02(03)</t>
  </si>
  <si>
    <t>CM-02(03)</t>
  </si>
  <si>
    <t>Baseline Configuration | Retention of Previous Configurations</t>
  </si>
  <si>
    <t>Enhances CM-02 (Baseline Configuration): configure and enforce 'Retention of Previous Configurations' in addition to the base setting, keep it consistent across applicable systems and document approved exceptions. Base scope: Develop, document and maintain secure baseline configurations (CIS/hardened images) for servers, network devices, databases and cloud</t>
  </si>
  <si>
    <r>
      <rPr>
        <rFont val="FreeSans"/>
        <color theme="1"/>
        <sz val="14.0"/>
      </rPr>
      <t xml:space="preserve">ส่วนขยายของ </t>
    </r>
    <r>
      <rPr>
        <rFont val="Calibri"/>
        <color theme="1"/>
        <sz val="14.0"/>
      </rPr>
      <t xml:space="preserve">CM-02: </t>
    </r>
    <r>
      <rPr>
        <rFont val="FreeSans"/>
        <color theme="1"/>
        <sz val="14.0"/>
      </rPr>
      <t xml:space="preserve">กำหนดค่าและบังคับใช้ </t>
    </r>
    <r>
      <rPr>
        <rFont val="Calibri"/>
        <color theme="1"/>
        <sz val="14.0"/>
      </rPr>
      <t xml:space="preserve">'Retention of Previous Configurations'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จัดทำและดูแล </t>
    </r>
    <r>
      <rPr>
        <rFont val="Calibri"/>
        <color theme="1"/>
        <sz val="14.0"/>
      </rPr>
      <t xml:space="preserve">Baseline Configuration </t>
    </r>
    <r>
      <rPr>
        <rFont val="FreeSans"/>
        <color theme="1"/>
        <sz val="14.0"/>
      </rPr>
      <t xml:space="preserve">ที่ปลอดภัย </t>
    </r>
    <r>
      <rPr>
        <rFont val="Calibri"/>
        <color theme="1"/>
        <sz val="14.0"/>
      </rPr>
      <t xml:space="preserve">(CIS/Hardened Image) </t>
    </r>
    <r>
      <rPr>
        <rFont val="FreeSans"/>
        <color theme="1"/>
        <sz val="14.0"/>
      </rPr>
      <t xml:space="preserve">สำหรับเซิร์ฟเวอร์ เครือข่าย </t>
    </r>
    <r>
      <rPr>
        <rFont val="Calibri"/>
        <color theme="1"/>
        <sz val="14.0"/>
      </rPr>
      <t xml:space="preserve">DB </t>
    </r>
    <r>
      <rPr>
        <rFont val="FreeSans"/>
        <color theme="1"/>
        <sz val="14.0"/>
      </rPr>
      <t xml:space="preserve">และ </t>
    </r>
    <r>
      <rPr>
        <rFont val="Calibri"/>
        <color theme="1"/>
        <sz val="14.0"/>
      </rPr>
      <t>Cloud</t>
    </r>
  </si>
  <si>
    <t>ESBIT-CM-02(06)</t>
  </si>
  <si>
    <t>CM-02(06)</t>
  </si>
  <si>
    <t>Baseline Configuration | Development and Test Environments</t>
  </si>
  <si>
    <t>Enhances CM-02 (Baseline Configuration): configure and enforce 'Development and Test Environments' in addition to the base setting, keep it consistent across applicable systems and document approved exceptions. Base scope: Develop, document and maintain secure baseline configurations (CIS/hardened images) for servers, network devices, databases and cloud</t>
  </si>
  <si>
    <r>
      <rPr>
        <rFont val="FreeSans"/>
        <color theme="1"/>
        <sz val="14.0"/>
      </rPr>
      <t xml:space="preserve">ส่วนขยายของ </t>
    </r>
    <r>
      <rPr>
        <rFont val="Calibri"/>
        <color theme="1"/>
        <sz val="14.0"/>
      </rPr>
      <t xml:space="preserve">CM-02: </t>
    </r>
    <r>
      <rPr>
        <rFont val="FreeSans"/>
        <color theme="1"/>
        <sz val="14.0"/>
      </rPr>
      <t xml:space="preserve">กำหนดค่าและบังคับใช้ </t>
    </r>
    <r>
      <rPr>
        <rFont val="Calibri"/>
        <color theme="1"/>
        <sz val="14.0"/>
      </rPr>
      <t xml:space="preserve">'Development and Test Environments'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จัดทำและดูแล </t>
    </r>
    <r>
      <rPr>
        <rFont val="Calibri"/>
        <color theme="1"/>
        <sz val="14.0"/>
      </rPr>
      <t xml:space="preserve">Baseline Configuration </t>
    </r>
    <r>
      <rPr>
        <rFont val="FreeSans"/>
        <color theme="1"/>
        <sz val="14.0"/>
      </rPr>
      <t xml:space="preserve">ที่ปลอดภัย </t>
    </r>
    <r>
      <rPr>
        <rFont val="Calibri"/>
        <color theme="1"/>
        <sz val="14.0"/>
      </rPr>
      <t xml:space="preserve">(CIS/Hardened Image) </t>
    </r>
    <r>
      <rPr>
        <rFont val="FreeSans"/>
        <color theme="1"/>
        <sz val="14.0"/>
      </rPr>
      <t xml:space="preserve">สำหรับเซิร์ฟเวอร์ เครือข่าย </t>
    </r>
    <r>
      <rPr>
        <rFont val="Calibri"/>
        <color theme="1"/>
        <sz val="14.0"/>
      </rPr>
      <t xml:space="preserve">DB </t>
    </r>
    <r>
      <rPr>
        <rFont val="FreeSans"/>
        <color theme="1"/>
        <sz val="14.0"/>
      </rPr>
      <t xml:space="preserve">และ </t>
    </r>
    <r>
      <rPr>
        <rFont val="Calibri"/>
        <color theme="1"/>
        <sz val="14.0"/>
      </rPr>
      <t>Cloud</t>
    </r>
  </si>
  <si>
    <t>ESBIT-CM-02(07)</t>
  </si>
  <si>
    <t>CM-02(07)</t>
  </si>
  <si>
    <t>Baseline Configuration | Configure Systems and Components for High-risk Areas</t>
  </si>
  <si>
    <t>Enhances CM-02 (Baseline Configuration): configure and enforce 'Configure Systems and Components for High-risk Areas' in addition to the base setting, keep it consistent across applicable systems and document approved exceptions. Base scope: Develop, document and maintain secure baseline configurations (CIS/hardened images) for servers, network devices, databases and cloud</t>
  </si>
  <si>
    <r>
      <rPr>
        <rFont val="FreeSans"/>
        <color theme="1"/>
        <sz val="14.0"/>
      </rPr>
      <t xml:space="preserve">ส่วนขยายของ </t>
    </r>
    <r>
      <rPr>
        <rFont val="Calibri"/>
        <color theme="1"/>
        <sz val="14.0"/>
      </rPr>
      <t xml:space="preserve">CM-02: </t>
    </r>
    <r>
      <rPr>
        <rFont val="FreeSans"/>
        <color theme="1"/>
        <sz val="14.0"/>
      </rPr>
      <t xml:space="preserve">กำหนดค่าและบังคับใช้ </t>
    </r>
    <r>
      <rPr>
        <rFont val="Calibri"/>
        <color theme="1"/>
        <sz val="14.0"/>
      </rPr>
      <t xml:space="preserve">'Configure Systems and Components for High-risk Areas'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จัดทำและดูแล </t>
    </r>
    <r>
      <rPr>
        <rFont val="Calibri"/>
        <color theme="1"/>
        <sz val="14.0"/>
      </rPr>
      <t xml:space="preserve">Baseline Configuration </t>
    </r>
    <r>
      <rPr>
        <rFont val="FreeSans"/>
        <color theme="1"/>
        <sz val="14.0"/>
      </rPr>
      <t xml:space="preserve">ที่ปลอดภัย </t>
    </r>
    <r>
      <rPr>
        <rFont val="Calibri"/>
        <color theme="1"/>
        <sz val="14.0"/>
      </rPr>
      <t xml:space="preserve">(CIS/Hardened Image) </t>
    </r>
    <r>
      <rPr>
        <rFont val="FreeSans"/>
        <color theme="1"/>
        <sz val="14.0"/>
      </rPr>
      <t xml:space="preserve">สำหรับเซิร์ฟเวอร์ เครือข่าย </t>
    </r>
    <r>
      <rPr>
        <rFont val="Calibri"/>
        <color theme="1"/>
        <sz val="14.0"/>
      </rPr>
      <t xml:space="preserve">DB </t>
    </r>
    <r>
      <rPr>
        <rFont val="FreeSans"/>
        <color theme="1"/>
        <sz val="14.0"/>
      </rPr>
      <t xml:space="preserve">และ </t>
    </r>
    <r>
      <rPr>
        <rFont val="Calibri"/>
        <color theme="1"/>
        <sz val="14.0"/>
      </rPr>
      <t>Cloud</t>
    </r>
  </si>
  <si>
    <t>ESBIT-CM-03</t>
  </si>
  <si>
    <t>CM-03</t>
  </si>
  <si>
    <t>Configuration Change Control</t>
  </si>
  <si>
    <t>ID.RA-07</t>
  </si>
  <si>
    <t>Changes and exceptions are managed, assessed for risk impact, recorded, and tracked</t>
  </si>
  <si>
    <t>Configure change approval workflow, change tracking and audit of configuration changes</t>
  </si>
  <si>
    <r>
      <rPr>
        <rFont val="FreeSans"/>
        <color theme="1"/>
        <sz val="14.0"/>
      </rPr>
      <t xml:space="preserve">ตั้งค่ากระบวนการอนุมัติ ติดตาม และตรวจสอบการเปลี่ยนแปลง </t>
    </r>
    <r>
      <rPr>
        <rFont val="Calibri"/>
        <color theme="1"/>
        <sz val="14.0"/>
      </rPr>
      <t>Config</t>
    </r>
  </si>
  <si>
    <t>Infrastructure (Server/OS), Network, Cloud</t>
  </si>
  <si>
    <t>ESBIT-CM-03(01)</t>
  </si>
  <si>
    <t>CM-03(01)</t>
  </si>
  <si>
    <t>Configuration Change Control | Automated Documentation, Notification, and Prohibition of Changes</t>
  </si>
  <si>
    <t>Enhances CM-03 (Configuration Change Control): configure and enforce 'Automated Documentation, Notification, and Prohibition of Changes' in addition to the base setting, keep it consistent across applicable systems and document approved exceptions. Base scope: Configure change approval workflow, change tracking and audit of configuration changes</t>
  </si>
  <si>
    <r>
      <rPr>
        <rFont val="FreeSans"/>
        <color theme="1"/>
        <sz val="14.0"/>
      </rPr>
      <t xml:space="preserve">ส่วนขยายของ </t>
    </r>
    <r>
      <rPr>
        <rFont val="Calibri"/>
        <color theme="1"/>
        <sz val="14.0"/>
      </rPr>
      <t xml:space="preserve">CM-03: </t>
    </r>
    <r>
      <rPr>
        <rFont val="FreeSans"/>
        <color theme="1"/>
        <sz val="14.0"/>
      </rPr>
      <t xml:space="preserve">กำหนดค่าและบังคับใช้ </t>
    </r>
    <r>
      <rPr>
        <rFont val="Calibri"/>
        <color theme="1"/>
        <sz val="14.0"/>
      </rPr>
      <t xml:space="preserve">'Automated Documentation, Notification, and Prohibition of Changes'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ตั้งค่ากระบวนการอนุมัติ ติดตาม และตรวจสอบการเปลี่ยนแปลง </t>
    </r>
    <r>
      <rPr>
        <rFont val="Calibri"/>
        <color theme="1"/>
        <sz val="14.0"/>
      </rPr>
      <t>Config</t>
    </r>
  </si>
  <si>
    <t>ESBIT-CM-03(02)</t>
  </si>
  <si>
    <t>CM-03(02)</t>
  </si>
  <si>
    <t>Configuration Change Control | Testing, Validation, and Documentation of Changes</t>
  </si>
  <si>
    <t>Enhances CM-03 (Configuration Change Control): configure and enforce 'Testing, Validation, and Documentation of Changes' in addition to the base setting, keep it consistent across applicable systems and document approved exceptions. Base scope: Configure change approval workflow, change tracking and audit of configuration changes</t>
  </si>
  <si>
    <r>
      <rPr>
        <rFont val="FreeSans"/>
        <color theme="1"/>
        <sz val="14.0"/>
      </rPr>
      <t xml:space="preserve">ส่วนขยายของ </t>
    </r>
    <r>
      <rPr>
        <rFont val="Calibri"/>
        <color theme="1"/>
        <sz val="14.0"/>
      </rPr>
      <t xml:space="preserve">CM-03: </t>
    </r>
    <r>
      <rPr>
        <rFont val="FreeSans"/>
        <color theme="1"/>
        <sz val="14.0"/>
      </rPr>
      <t xml:space="preserve">กำหนดค่าและบังคับใช้ </t>
    </r>
    <r>
      <rPr>
        <rFont val="Calibri"/>
        <color theme="1"/>
        <sz val="14.0"/>
      </rPr>
      <t xml:space="preserve">'Testing, Validation, and Documentation of Changes'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ตั้งค่ากระบวนการอนุมัติ ติดตาม และตรวจสอบการเปลี่ยนแปลง </t>
    </r>
    <r>
      <rPr>
        <rFont val="Calibri"/>
        <color theme="1"/>
        <sz val="14.0"/>
      </rPr>
      <t>Config</t>
    </r>
  </si>
  <si>
    <t>ESBIT-CM-03(03)</t>
  </si>
  <si>
    <t>CM-03(03)</t>
  </si>
  <si>
    <t>Configuration Change Control | Automated Change Implementation</t>
  </si>
  <si>
    <t>Enhances CM-03 (Configuration Change Control): configure and enforce 'Automated Change Implementation' in addition to the base setting, keep it consistent across applicable systems and document approved exceptions. Base scope: Configure change approval workflow, change tracking and audit of configuration changes</t>
  </si>
  <si>
    <r>
      <rPr>
        <rFont val="FreeSans"/>
        <color theme="1"/>
        <sz val="14.0"/>
      </rPr>
      <t xml:space="preserve">ส่วนขยายของ </t>
    </r>
    <r>
      <rPr>
        <rFont val="Calibri"/>
        <color theme="1"/>
        <sz val="14.0"/>
      </rPr>
      <t xml:space="preserve">CM-03: </t>
    </r>
    <r>
      <rPr>
        <rFont val="FreeSans"/>
        <color theme="1"/>
        <sz val="14.0"/>
      </rPr>
      <t xml:space="preserve">กำหนดค่าและบังคับใช้ </t>
    </r>
    <r>
      <rPr>
        <rFont val="Calibri"/>
        <color theme="1"/>
        <sz val="14.0"/>
      </rPr>
      <t xml:space="preserve">'Automated Change Implementation'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ตั้งค่ากระบวนการอนุมัติ ติดตาม และตรวจสอบการเปลี่ยนแปลง </t>
    </r>
    <r>
      <rPr>
        <rFont val="Calibri"/>
        <color theme="1"/>
        <sz val="14.0"/>
      </rPr>
      <t>Config</t>
    </r>
  </si>
  <si>
    <t>ESBIT-CM-03(04)</t>
  </si>
  <si>
    <t>CM-03(04)</t>
  </si>
  <si>
    <t>Configuration Change Control | Security and Privacy Representatives</t>
  </si>
  <si>
    <t>Enhances CM-03 (Configuration Change Control): configure and enforce 'Security and Privacy Representatives' in addition to the base setting, keep it consistent across applicable systems and document approved exceptions. Base scope: Configure change approval workflow, change tracking and audit of configuration changes</t>
  </si>
  <si>
    <r>
      <rPr>
        <rFont val="FreeSans"/>
        <color theme="1"/>
        <sz val="14.0"/>
      </rPr>
      <t xml:space="preserve">ส่วนขยายของ </t>
    </r>
    <r>
      <rPr>
        <rFont val="Calibri"/>
        <color theme="1"/>
        <sz val="14.0"/>
      </rPr>
      <t xml:space="preserve">CM-03: </t>
    </r>
    <r>
      <rPr>
        <rFont val="FreeSans"/>
        <color theme="1"/>
        <sz val="14.0"/>
      </rPr>
      <t xml:space="preserve">กำหนดค่าและบังคับใช้ </t>
    </r>
    <r>
      <rPr>
        <rFont val="Calibri"/>
        <color theme="1"/>
        <sz val="14.0"/>
      </rPr>
      <t xml:space="preserve">'Security and Privacy Representatives'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ตั้งค่ากระบวนการอนุมัติ ติดตาม และตรวจสอบการเปลี่ยนแปลง </t>
    </r>
    <r>
      <rPr>
        <rFont val="Calibri"/>
        <color theme="1"/>
        <sz val="14.0"/>
      </rPr>
      <t>Config</t>
    </r>
  </si>
  <si>
    <t>ESBIT-CM-03(05)</t>
  </si>
  <si>
    <t>CM-03(05)</t>
  </si>
  <si>
    <t>Configuration Change Control | Automated Security Response</t>
  </si>
  <si>
    <t>Enhances CM-03 (Configuration Change Control): configure and enforce 'Automated Security Response' in addition to the base setting, keep it consistent across applicable systems and document approved exceptions. Base scope: Configure change approval workflow, change tracking and audit of configuration changes</t>
  </si>
  <si>
    <r>
      <rPr>
        <rFont val="FreeSans"/>
        <color theme="1"/>
        <sz val="14.0"/>
      </rPr>
      <t xml:space="preserve">ส่วนขยายของ </t>
    </r>
    <r>
      <rPr>
        <rFont val="Calibri"/>
        <color theme="1"/>
        <sz val="14.0"/>
      </rPr>
      <t xml:space="preserve">CM-03: </t>
    </r>
    <r>
      <rPr>
        <rFont val="FreeSans"/>
        <color theme="1"/>
        <sz val="14.0"/>
      </rPr>
      <t xml:space="preserve">กำหนดค่าและบังคับใช้ </t>
    </r>
    <r>
      <rPr>
        <rFont val="Calibri"/>
        <color theme="1"/>
        <sz val="14.0"/>
      </rPr>
      <t xml:space="preserve">'Automated Security Response'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ตั้งค่ากระบวนการอนุมัติ ติดตาม และตรวจสอบการเปลี่ยนแปลง </t>
    </r>
    <r>
      <rPr>
        <rFont val="Calibri"/>
        <color theme="1"/>
        <sz val="14.0"/>
      </rPr>
      <t>Config</t>
    </r>
  </si>
  <si>
    <t>ESBIT-CM-03(06)</t>
  </si>
  <si>
    <t>CM-03(06)</t>
  </si>
  <si>
    <t>Configuration Change Control | Cryptography Management</t>
  </si>
  <si>
    <t>Enhances CM-03 (Configuration Change Control): configure and enforce 'Cryptography Management' in addition to the base setting, keep it consistent across applicable systems and document approved exceptions. Base scope: Configure change approval workflow, change tracking and audit of configuration changes</t>
  </si>
  <si>
    <r>
      <rPr>
        <rFont val="FreeSans"/>
        <color theme="1"/>
        <sz val="14.0"/>
      </rPr>
      <t xml:space="preserve">ส่วนขยายของ </t>
    </r>
    <r>
      <rPr>
        <rFont val="Calibri"/>
        <color theme="1"/>
        <sz val="14.0"/>
      </rPr>
      <t xml:space="preserve">CM-03: </t>
    </r>
    <r>
      <rPr>
        <rFont val="FreeSans"/>
        <color theme="1"/>
        <sz val="14.0"/>
      </rPr>
      <t xml:space="preserve">กำหนดค่าและบังคับใช้ </t>
    </r>
    <r>
      <rPr>
        <rFont val="Calibri"/>
        <color theme="1"/>
        <sz val="14.0"/>
      </rPr>
      <t xml:space="preserve">'Cryptography Management'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ตั้งค่ากระบวนการอนุมัติ ติดตาม และตรวจสอบการเปลี่ยนแปลง </t>
    </r>
    <r>
      <rPr>
        <rFont val="Calibri"/>
        <color theme="1"/>
        <sz val="14.0"/>
      </rPr>
      <t>Config</t>
    </r>
  </si>
  <si>
    <t>ESBIT-CM-03(07)</t>
  </si>
  <si>
    <t>CM-03(07)</t>
  </si>
  <si>
    <t>Configuration Change Control | Review System Changes</t>
  </si>
  <si>
    <t>Enhances CM-03 (Configuration Change Control): configure and enforce 'Review System Changes' in addition to the base setting, keep it consistent across applicable systems and document approved exceptions. Base scope: Configure change approval workflow, change tracking and audit of configuration changes</t>
  </si>
  <si>
    <r>
      <rPr>
        <rFont val="FreeSans"/>
        <color theme="1"/>
        <sz val="14.0"/>
      </rPr>
      <t xml:space="preserve">ส่วนขยายของ </t>
    </r>
    <r>
      <rPr>
        <rFont val="Calibri"/>
        <color theme="1"/>
        <sz val="14.0"/>
      </rPr>
      <t xml:space="preserve">CM-03: </t>
    </r>
    <r>
      <rPr>
        <rFont val="FreeSans"/>
        <color theme="1"/>
        <sz val="14.0"/>
      </rPr>
      <t xml:space="preserve">กำหนดค่าและบังคับใช้ </t>
    </r>
    <r>
      <rPr>
        <rFont val="Calibri"/>
        <color theme="1"/>
        <sz val="14.0"/>
      </rPr>
      <t xml:space="preserve">'Review System Changes'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ตั้งค่ากระบวนการอนุมัติ ติดตาม และตรวจสอบการเปลี่ยนแปลง </t>
    </r>
    <r>
      <rPr>
        <rFont val="Calibri"/>
        <color theme="1"/>
        <sz val="14.0"/>
      </rPr>
      <t>Config</t>
    </r>
  </si>
  <si>
    <t>ESBIT-CM-03(08)</t>
  </si>
  <si>
    <t>CM-03(08)</t>
  </si>
  <si>
    <t>Configuration Change Control | Prevent or Restrict Configuration Changes</t>
  </si>
  <si>
    <t>Enhances CM-03 (Configuration Change Control): configure and enforce 'Prevent or Restrict Configuration Changes' in addition to the base setting, keep it consistent across applicable systems and document approved exceptions. Base scope: Configure change approval workflow, change tracking and audit of configuration changes</t>
  </si>
  <si>
    <r>
      <rPr>
        <rFont val="FreeSans"/>
        <color theme="1"/>
        <sz val="14.0"/>
      </rPr>
      <t xml:space="preserve">ส่วนขยายของ </t>
    </r>
    <r>
      <rPr>
        <rFont val="Calibri"/>
        <color theme="1"/>
        <sz val="14.0"/>
      </rPr>
      <t xml:space="preserve">CM-03: </t>
    </r>
    <r>
      <rPr>
        <rFont val="FreeSans"/>
        <color theme="1"/>
        <sz val="14.0"/>
      </rPr>
      <t xml:space="preserve">กำหนดค่าและบังคับใช้ </t>
    </r>
    <r>
      <rPr>
        <rFont val="Calibri"/>
        <color theme="1"/>
        <sz val="14.0"/>
      </rPr>
      <t xml:space="preserve">'Prevent or Restrict Configuration Changes'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ตั้งค่ากระบวนการอนุมัติ ติดตาม และตรวจสอบการเปลี่ยนแปลง </t>
    </r>
    <r>
      <rPr>
        <rFont val="Calibri"/>
        <color theme="1"/>
        <sz val="14.0"/>
      </rPr>
      <t>Config</t>
    </r>
  </si>
  <si>
    <t>ESBIT-CM-04</t>
  </si>
  <si>
    <t>CM-04</t>
  </si>
  <si>
    <t>Impact Analyses</t>
  </si>
  <si>
    <t>Not a direct configuration item - security impact analysis of changes before implementation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</si>
  <si>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การวิเคราะห์ผลกระทบด้านความปลอดภัยก่อนเปลี่ยนแปลง</t>
    </r>
  </si>
  <si>
    <t>ESBIT-CM-04(01)</t>
  </si>
  <si>
    <t>CM-04(01)</t>
  </si>
  <si>
    <t>Impact Analyses | Separate Test Environments</t>
  </si>
  <si>
    <t>Not a direct configuration item - enhancement of CM-04 (Impact Analyses): 'Separate Test Environments'; security impact analysis of changes before implementation.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</si>
  <si>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CM-04: 'Separate Test Environments' - </t>
    </r>
    <r>
      <rPr>
        <rFont val="FreeSans"/>
        <color theme="1"/>
        <sz val="14.0"/>
      </rPr>
      <t>การวิเคราะห์ผลกระทบด้านความปลอดภัยก่อนเปลี่ยนแปลง</t>
    </r>
  </si>
  <si>
    <t>ESBIT-CM-04(02)</t>
  </si>
  <si>
    <t>CM-04(02)</t>
  </si>
  <si>
    <t>Impact Analyses | Verification of Controls</t>
  </si>
  <si>
    <t>Not a direct configuration item - enhancement of CM-04 (Impact Analyses): 'Verification of Controls'; security impact analysis of changes before implementation.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</si>
  <si>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CM-04: 'Verification of Controls' - </t>
    </r>
    <r>
      <rPr>
        <rFont val="FreeSans"/>
        <color theme="1"/>
        <sz val="14.0"/>
      </rPr>
      <t>การวิเคราะห์ผลกระทบด้านความปลอดภัยก่อนเปลี่ยนแปลง</t>
    </r>
  </si>
  <si>
    <t>ESBIT-CM-05</t>
  </si>
  <si>
    <t>CM-05</t>
  </si>
  <si>
    <t>Access Restrictions for Change</t>
  </si>
  <si>
    <t>Restrict who can change configuration; enforce privileged access and audit for change on devices and CI/CD</t>
  </si>
  <si>
    <r>
      <rPr>
        <rFont val="FreeSans"/>
        <color theme="1"/>
        <sz val="14.0"/>
      </rPr>
      <t xml:space="preserve">จำกัดผู้มีสิทธิ์เปลี่ยน </t>
    </r>
    <r>
      <rPr>
        <rFont val="Calibri"/>
        <color theme="1"/>
        <sz val="14.0"/>
      </rPr>
      <t xml:space="preserve">Config </t>
    </r>
    <r>
      <rPr>
        <rFont val="FreeSans"/>
        <color theme="1"/>
        <sz val="14.0"/>
      </rPr>
      <t xml:space="preserve">บังคับใช้สิทธิ์พิเศษและตรวจสอบบนอุปกรณ์และ </t>
    </r>
    <r>
      <rPr>
        <rFont val="Calibri"/>
        <color theme="1"/>
        <sz val="14.0"/>
      </rPr>
      <t>CI/CD</t>
    </r>
  </si>
  <si>
    <t>ESBIT-CM-05(01)</t>
  </si>
  <si>
    <t>CM-05(01)</t>
  </si>
  <si>
    <t>Access Restrictions for Change | Automated Access Enforcement and Audit Records</t>
  </si>
  <si>
    <t>Enhances CM-05 (Access Restrictions for Change): configure and enforce 'Automated Access Enforcement and Audit Records' in addition to the base setting, keep it consistent across applicable systems and document approved exceptions. Base scope: Restrict who can change configuration; enforce privileged access and audit for change on devices and CI/CD</t>
  </si>
  <si>
    <r>
      <rPr>
        <rFont val="FreeSans"/>
        <color theme="1"/>
        <sz val="14.0"/>
      </rPr>
      <t xml:space="preserve">ส่วนขยายของ </t>
    </r>
    <r>
      <rPr>
        <rFont val="Calibri"/>
        <color theme="1"/>
        <sz val="14.0"/>
      </rPr>
      <t xml:space="preserve">CM-05: </t>
    </r>
    <r>
      <rPr>
        <rFont val="FreeSans"/>
        <color theme="1"/>
        <sz val="14.0"/>
      </rPr>
      <t xml:space="preserve">กำหนดค่าและบังคับใช้ </t>
    </r>
    <r>
      <rPr>
        <rFont val="Calibri"/>
        <color theme="1"/>
        <sz val="14.0"/>
      </rPr>
      <t xml:space="preserve">'Automated Access Enforcement and Audit Records'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จำกัดผู้มีสิทธิ์เปลี่ยน </t>
    </r>
    <r>
      <rPr>
        <rFont val="Calibri"/>
        <color theme="1"/>
        <sz val="14.0"/>
      </rPr>
      <t xml:space="preserve">Config </t>
    </r>
    <r>
      <rPr>
        <rFont val="FreeSans"/>
        <color theme="1"/>
        <sz val="14.0"/>
      </rPr>
      <t xml:space="preserve">บังคับใช้สิทธิ์พิเศษและตรวจสอบบนอุปกรณ์และ </t>
    </r>
    <r>
      <rPr>
        <rFont val="Calibri"/>
        <color theme="1"/>
        <sz val="14.0"/>
      </rPr>
      <t>CI/CD</t>
    </r>
  </si>
  <si>
    <t>ESBIT-CM-05(03)</t>
  </si>
  <si>
    <t>CM-05(03)</t>
  </si>
  <si>
    <t>Access Restrictions for Change | Signed Components</t>
  </si>
  <si>
    <t>Enhances CM-05 (Access Restrictions for Change): configure and enforce 'Signed Components' in addition to the base setting, keep it consistent across applicable systems and document approved exceptions. Base scope: Restrict who can change configuration; enforce privileged access and audit for change on devices and CI/CD</t>
  </si>
  <si>
    <r>
      <rPr>
        <rFont val="FreeSans"/>
        <color theme="1"/>
        <sz val="14.0"/>
      </rPr>
      <t xml:space="preserve">ส่วนขยายของ </t>
    </r>
    <r>
      <rPr>
        <rFont val="Calibri"/>
        <color theme="1"/>
        <sz val="14.0"/>
      </rPr>
      <t xml:space="preserve">CM-05: </t>
    </r>
    <r>
      <rPr>
        <rFont val="FreeSans"/>
        <color theme="1"/>
        <sz val="14.0"/>
      </rPr>
      <t xml:space="preserve">กำหนดค่าและบังคับใช้ </t>
    </r>
    <r>
      <rPr>
        <rFont val="Calibri"/>
        <color theme="1"/>
        <sz val="14.0"/>
      </rPr>
      <t xml:space="preserve">'Signed Components'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จำกัดผู้มีสิทธิ์เปลี่ยน </t>
    </r>
    <r>
      <rPr>
        <rFont val="Calibri"/>
        <color theme="1"/>
        <sz val="14.0"/>
      </rPr>
      <t xml:space="preserve">Config </t>
    </r>
    <r>
      <rPr>
        <rFont val="FreeSans"/>
        <color theme="1"/>
        <sz val="14.0"/>
      </rPr>
      <t xml:space="preserve">บังคับใช้สิทธิ์พิเศษและตรวจสอบบนอุปกรณ์และ </t>
    </r>
    <r>
      <rPr>
        <rFont val="Calibri"/>
        <color theme="1"/>
        <sz val="14.0"/>
      </rPr>
      <t>CI/CD</t>
    </r>
  </si>
  <si>
    <t>ESBIT-CM-05(04)</t>
  </si>
  <si>
    <t>CM-05(04)</t>
  </si>
  <si>
    <t>Access Restrictions for Change | Dual Authorization</t>
  </si>
  <si>
    <t>Enhances CM-05 (Access Restrictions for Change): configure and enforce 'Dual Authorization' in addition to the base setting, keep it consistent across applicable systems and document approved exceptions. Base scope: Restrict who can change configuration; enforce privileged access and audit for change on devices and CI/CD</t>
  </si>
  <si>
    <r>
      <rPr>
        <rFont val="FreeSans"/>
        <color theme="1"/>
        <sz val="14.0"/>
      </rPr>
      <t xml:space="preserve">ส่วนขยายของ </t>
    </r>
    <r>
      <rPr>
        <rFont val="Calibri"/>
        <color theme="1"/>
        <sz val="14.0"/>
      </rPr>
      <t xml:space="preserve">CM-05: </t>
    </r>
    <r>
      <rPr>
        <rFont val="FreeSans"/>
        <color theme="1"/>
        <sz val="14.0"/>
      </rPr>
      <t xml:space="preserve">กำหนดค่าและบังคับใช้ </t>
    </r>
    <r>
      <rPr>
        <rFont val="Calibri"/>
        <color theme="1"/>
        <sz val="14.0"/>
      </rPr>
      <t xml:space="preserve">'Dual Authorization'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จำกัดผู้มีสิทธิ์เปลี่ยน </t>
    </r>
    <r>
      <rPr>
        <rFont val="Calibri"/>
        <color theme="1"/>
        <sz val="14.0"/>
      </rPr>
      <t xml:space="preserve">Config </t>
    </r>
    <r>
      <rPr>
        <rFont val="FreeSans"/>
        <color theme="1"/>
        <sz val="14.0"/>
      </rPr>
      <t xml:space="preserve">บังคับใช้สิทธิ์พิเศษและตรวจสอบบนอุปกรณ์และ </t>
    </r>
    <r>
      <rPr>
        <rFont val="Calibri"/>
        <color theme="1"/>
        <sz val="14.0"/>
      </rPr>
      <t>CI/CD</t>
    </r>
  </si>
  <si>
    <t>ESBIT-CM-05(05)</t>
  </si>
  <si>
    <t>CM-05(05)</t>
  </si>
  <si>
    <t>Access Restrictions for Change | Privilege Limitation for Production and Operation</t>
  </si>
  <si>
    <t>Enhances CM-05 (Access Restrictions for Change): configure and enforce 'Privilege Limitation for Production and Operation' in addition to the base setting, keep it consistent across applicable systems and document approved exceptions. Base scope: Restrict who can change configuration; enforce privileged access and audit for change on devices and CI/CD</t>
  </si>
  <si>
    <r>
      <rPr>
        <rFont val="FreeSans"/>
        <color theme="1"/>
        <sz val="14.0"/>
      </rPr>
      <t xml:space="preserve">ส่วนขยายของ </t>
    </r>
    <r>
      <rPr>
        <rFont val="Calibri"/>
        <color theme="1"/>
        <sz val="14.0"/>
      </rPr>
      <t xml:space="preserve">CM-05: </t>
    </r>
    <r>
      <rPr>
        <rFont val="FreeSans"/>
        <color theme="1"/>
        <sz val="14.0"/>
      </rPr>
      <t xml:space="preserve">กำหนดค่าและบังคับใช้ </t>
    </r>
    <r>
      <rPr>
        <rFont val="Calibri"/>
        <color theme="1"/>
        <sz val="14.0"/>
      </rPr>
      <t xml:space="preserve">'Privilege Limitation for Production and Operation'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จำกัดผู้มีสิทธิ์เปลี่ยน </t>
    </r>
    <r>
      <rPr>
        <rFont val="Calibri"/>
        <color theme="1"/>
        <sz val="14.0"/>
      </rPr>
      <t xml:space="preserve">Config </t>
    </r>
    <r>
      <rPr>
        <rFont val="FreeSans"/>
        <color theme="1"/>
        <sz val="14.0"/>
      </rPr>
      <t xml:space="preserve">บังคับใช้สิทธิ์พิเศษและตรวจสอบบนอุปกรณ์และ </t>
    </r>
    <r>
      <rPr>
        <rFont val="Calibri"/>
        <color theme="1"/>
        <sz val="14.0"/>
      </rPr>
      <t>CI/CD</t>
    </r>
  </si>
  <si>
    <t>ESBIT-CM-05(06)</t>
  </si>
  <si>
    <t>CM-05(06)</t>
  </si>
  <si>
    <t>Access Restrictions for Change | Limit Library Privileges</t>
  </si>
  <si>
    <t>Enhances CM-05 (Access Restrictions for Change): configure and enforce 'Limit Library Privileges' in addition to the base setting, keep it consistent across applicable systems and document approved exceptions. Base scope: Restrict who can change configuration; enforce privileged access and audit for change on devices and CI/CD</t>
  </si>
  <si>
    <r>
      <rPr>
        <rFont val="FreeSans"/>
        <color theme="1"/>
        <sz val="14.0"/>
      </rPr>
      <t xml:space="preserve">ส่วนขยายของ </t>
    </r>
    <r>
      <rPr>
        <rFont val="Calibri"/>
        <color theme="1"/>
        <sz val="14.0"/>
      </rPr>
      <t xml:space="preserve">CM-05: </t>
    </r>
    <r>
      <rPr>
        <rFont val="FreeSans"/>
        <color theme="1"/>
        <sz val="14.0"/>
      </rPr>
      <t xml:space="preserve">กำหนดค่าและบังคับใช้ </t>
    </r>
    <r>
      <rPr>
        <rFont val="Calibri"/>
        <color theme="1"/>
        <sz val="14.0"/>
      </rPr>
      <t xml:space="preserve">'Limit Library Privileges'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จำกัดผู้มีสิทธิ์เปลี่ยน </t>
    </r>
    <r>
      <rPr>
        <rFont val="Calibri"/>
        <color theme="1"/>
        <sz val="14.0"/>
      </rPr>
      <t xml:space="preserve">Config </t>
    </r>
    <r>
      <rPr>
        <rFont val="FreeSans"/>
        <color theme="1"/>
        <sz val="14.0"/>
      </rPr>
      <t xml:space="preserve">บังคับใช้สิทธิ์พิเศษและตรวจสอบบนอุปกรณ์และ </t>
    </r>
    <r>
      <rPr>
        <rFont val="Calibri"/>
        <color theme="1"/>
        <sz val="14.0"/>
      </rPr>
      <t>CI/CD</t>
    </r>
  </si>
  <si>
    <t>ESBIT-CM-06</t>
  </si>
  <si>
    <t>CM-06</t>
  </si>
  <si>
    <t>Configuration Settings</t>
  </si>
  <si>
    <t>Establish, implement and monitor mandatory configuration settings (CIS/STIG) and detect or revert unauthorized deviations</t>
  </si>
  <si>
    <r>
      <rPr>
        <rFont val="FreeSans"/>
        <color theme="1"/>
        <sz val="14.0"/>
      </rPr>
      <t xml:space="preserve">กำหนด บังคับใช้ และเฝ้าระวังค่า </t>
    </r>
    <r>
      <rPr>
        <rFont val="Calibri"/>
        <color theme="1"/>
        <sz val="14.0"/>
      </rPr>
      <t xml:space="preserve">Config </t>
    </r>
    <r>
      <rPr>
        <rFont val="FreeSans"/>
        <color theme="1"/>
        <sz val="14.0"/>
      </rPr>
      <t xml:space="preserve">บังคับ </t>
    </r>
    <r>
      <rPr>
        <rFont val="Calibri"/>
        <color theme="1"/>
        <sz val="14.0"/>
      </rPr>
      <t xml:space="preserve">(CIS/STIG) </t>
    </r>
    <r>
      <rPr>
        <rFont val="FreeSans"/>
        <color theme="1"/>
        <sz val="14.0"/>
      </rPr>
      <t>พร้อมตรวจจับและแก้ไขความเบี่ยงเบน</t>
    </r>
  </si>
  <si>
    <t>ESBIT-CM-06(01)</t>
  </si>
  <si>
    <t>CM-06(01)</t>
  </si>
  <si>
    <t>Configuration Settings | Automated Management, Application, and Verification</t>
  </si>
  <si>
    <t>Enhances CM-06 (Configuration Settings): configure and enforce 'Automated Management, Application, and Verification' in addition to the base setting, keep it consistent across applicable systems and document approved exceptions. Base scope: Establish, implement and monitor mandatory configuration settings (CIS/STIG) and detect or revert unauthorized deviations</t>
  </si>
  <si>
    <r>
      <rPr>
        <rFont val="FreeSans"/>
        <color theme="1"/>
        <sz val="14.0"/>
      </rPr>
      <t xml:space="preserve">ส่วนขยายของ </t>
    </r>
    <r>
      <rPr>
        <rFont val="Calibri"/>
        <color theme="1"/>
        <sz val="14.0"/>
      </rPr>
      <t xml:space="preserve">CM-06: </t>
    </r>
    <r>
      <rPr>
        <rFont val="FreeSans"/>
        <color theme="1"/>
        <sz val="14.0"/>
      </rPr>
      <t xml:space="preserve">กำหนดค่าและบังคับใช้ </t>
    </r>
    <r>
      <rPr>
        <rFont val="Calibri"/>
        <color theme="1"/>
        <sz val="14.0"/>
      </rPr>
      <t xml:space="preserve">'Automated Management, Application, and Verification'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บังคับใช้ และเฝ้าระวังค่า </t>
    </r>
    <r>
      <rPr>
        <rFont val="Calibri"/>
        <color theme="1"/>
        <sz val="14.0"/>
      </rPr>
      <t xml:space="preserve">Config </t>
    </r>
    <r>
      <rPr>
        <rFont val="FreeSans"/>
        <color theme="1"/>
        <sz val="14.0"/>
      </rPr>
      <t xml:space="preserve">บังคับ </t>
    </r>
    <r>
      <rPr>
        <rFont val="Calibri"/>
        <color theme="1"/>
        <sz val="14.0"/>
      </rPr>
      <t xml:space="preserve">(CIS/STIG) </t>
    </r>
    <r>
      <rPr>
        <rFont val="FreeSans"/>
        <color theme="1"/>
        <sz val="14.0"/>
      </rPr>
      <t>พร้อมตรวจจับและแก้ไขความเบี่ยงเบน</t>
    </r>
  </si>
  <si>
    <t>ESBIT-CM-06(02)</t>
  </si>
  <si>
    <t>CM-06(02)</t>
  </si>
  <si>
    <t>Configuration Settings | Respond to Unauthorized Changes</t>
  </si>
  <si>
    <t>Enhances CM-06 (Configuration Settings): configure and enforce 'Respond to Unauthorized Changes' in addition to the base setting, keep it consistent across applicable systems and document approved exceptions. Base scope: Establish, implement and monitor mandatory configuration settings (CIS/STIG) and detect or revert unauthorized deviations</t>
  </si>
  <si>
    <r>
      <rPr>
        <rFont val="FreeSans"/>
        <color theme="1"/>
        <sz val="14.0"/>
      </rPr>
      <t xml:space="preserve">ส่วนขยายของ </t>
    </r>
    <r>
      <rPr>
        <rFont val="Calibri"/>
        <color theme="1"/>
        <sz val="14.0"/>
      </rPr>
      <t xml:space="preserve">CM-06: </t>
    </r>
    <r>
      <rPr>
        <rFont val="FreeSans"/>
        <color theme="1"/>
        <sz val="14.0"/>
      </rPr>
      <t xml:space="preserve">กำหนดค่าและบังคับใช้ </t>
    </r>
    <r>
      <rPr>
        <rFont val="Calibri"/>
        <color theme="1"/>
        <sz val="14.0"/>
      </rPr>
      <t xml:space="preserve">'Respond to Unauthorized Changes'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 บังคับใช้ และเฝ้าระวังค่า </t>
    </r>
    <r>
      <rPr>
        <rFont val="Calibri"/>
        <color theme="1"/>
        <sz val="14.0"/>
      </rPr>
      <t xml:space="preserve">Config </t>
    </r>
    <r>
      <rPr>
        <rFont val="FreeSans"/>
        <color theme="1"/>
        <sz val="14.0"/>
      </rPr>
      <t xml:space="preserve">บังคับ </t>
    </r>
    <r>
      <rPr>
        <rFont val="Calibri"/>
        <color theme="1"/>
        <sz val="14.0"/>
      </rPr>
      <t xml:space="preserve">(CIS/STIG) </t>
    </r>
    <r>
      <rPr>
        <rFont val="FreeSans"/>
        <color theme="1"/>
        <sz val="14.0"/>
      </rPr>
      <t>พร้อมตรวจจับและแก้ไขความเบี่ยงเบน</t>
    </r>
  </si>
  <si>
    <t>ESBIT-CM-07</t>
  </si>
  <si>
    <t>CM-07</t>
  </si>
  <si>
    <t>Least Functionality</t>
  </si>
  <si>
    <t>Disable unnecessary ports, protocols, services and software; allowlist only required functions</t>
  </si>
  <si>
    <t>ปิดพอร์ต โปรโตคอล บริการ และซอฟต์แวร์ที่ไม่จำเป็น และอนุญาตเฉพาะที่ต้องใช้</t>
  </si>
  <si>
    <t>Infrastructure (Server/OS), Network, Application/Software</t>
  </si>
  <si>
    <t>ESBIT-CM-07(01)</t>
  </si>
  <si>
    <t>CM-07(01)</t>
  </si>
  <si>
    <t>Least Functionality | Periodic Review</t>
  </si>
  <si>
    <t>Enhances CM-07 (Least Functionality): configure and enforce 'Periodic Review' in addition to the base setting, keep it consistent across applicable systems and document approved exceptions. Base scope: Disable unnecessary ports, protocols, services and software; allowlist only required functions</t>
  </si>
  <si>
    <r>
      <rPr>
        <rFont val="FreeSans"/>
        <color theme="1"/>
        <sz val="14.0"/>
      </rPr>
      <t xml:space="preserve">ส่วนขยายของ </t>
    </r>
    <r>
      <rPr>
        <rFont val="Calibri"/>
        <color theme="1"/>
        <sz val="14.0"/>
      </rPr>
      <t xml:space="preserve">CM-07: </t>
    </r>
    <r>
      <rPr>
        <rFont val="FreeSans"/>
        <color theme="1"/>
        <sz val="14.0"/>
      </rPr>
      <t xml:space="preserve">กำหนดค่าและบังคับใช้ </t>
    </r>
    <r>
      <rPr>
        <rFont val="Calibri"/>
        <color theme="1"/>
        <sz val="14.0"/>
      </rPr>
      <t xml:space="preserve">'Periodic Review'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ปิดพอร์ต โปรโตคอล บริการ และซอฟต์แวร์ที่ไม่จำเป็น และอนุญาตเฉพาะที่ต้องใช้</t>
    </r>
  </si>
  <si>
    <t>ESBIT-CM-07(02)</t>
  </si>
  <si>
    <t>CM-07(02)</t>
  </si>
  <si>
    <t>Least Functionality | Prevent Program Execution</t>
  </si>
  <si>
    <t>Enhances CM-07 (Least Functionality): configure and enforce 'Prevent Program Execution' in addition to the base setting, keep it consistent across applicable systems and document approved exceptions. Base scope: Disable unnecessary ports, protocols, services and software; allowlist only required functions</t>
  </si>
  <si>
    <r>
      <rPr>
        <rFont val="FreeSans"/>
        <color theme="1"/>
        <sz val="14.0"/>
      </rPr>
      <t xml:space="preserve">ส่วนขยายของ </t>
    </r>
    <r>
      <rPr>
        <rFont val="Calibri"/>
        <color theme="1"/>
        <sz val="14.0"/>
      </rPr>
      <t xml:space="preserve">CM-07: </t>
    </r>
    <r>
      <rPr>
        <rFont val="FreeSans"/>
        <color theme="1"/>
        <sz val="14.0"/>
      </rPr>
      <t xml:space="preserve">กำหนดค่าและบังคับใช้ </t>
    </r>
    <r>
      <rPr>
        <rFont val="Calibri"/>
        <color theme="1"/>
        <sz val="14.0"/>
      </rPr>
      <t xml:space="preserve">'Prevent Program Execution'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ปิดพอร์ต โปรโตคอล บริการ และซอฟต์แวร์ที่ไม่จำเป็น และอนุญาตเฉพาะที่ต้องใช้</t>
    </r>
  </si>
  <si>
    <t>ESBIT-CM-07(03)</t>
  </si>
  <si>
    <t>CM-07(03)</t>
  </si>
  <si>
    <t>Least Functionality | Registration Compliance</t>
  </si>
  <si>
    <t>Enhances CM-07 (Least Functionality): configure and enforce 'Registration Compliance' in addition to the base setting, keep it consistent across applicable systems and document approved exceptions. Base scope: Disable unnecessary ports, protocols, services and software; allowlist only required functions</t>
  </si>
  <si>
    <r>
      <rPr>
        <rFont val="FreeSans"/>
        <color theme="1"/>
        <sz val="14.0"/>
      </rPr>
      <t xml:space="preserve">ส่วนขยายของ </t>
    </r>
    <r>
      <rPr>
        <rFont val="Calibri"/>
        <color theme="1"/>
        <sz val="14.0"/>
      </rPr>
      <t xml:space="preserve">CM-07: </t>
    </r>
    <r>
      <rPr>
        <rFont val="FreeSans"/>
        <color theme="1"/>
        <sz val="14.0"/>
      </rPr>
      <t xml:space="preserve">กำหนดค่าและบังคับใช้ </t>
    </r>
    <r>
      <rPr>
        <rFont val="Calibri"/>
        <color theme="1"/>
        <sz val="14.0"/>
      </rPr>
      <t xml:space="preserve">'Registration Compliance'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ปิดพอร์ต โปรโตคอล บริการ และซอฟต์แวร์ที่ไม่จำเป็น และอนุญาตเฉพาะที่ต้องใช้</t>
    </r>
  </si>
  <si>
    <t>ESBIT-CM-07(04)</t>
  </si>
  <si>
    <t>CM-07(04)</t>
  </si>
  <si>
    <t>Least Functionality | Unauthorized Software - Deny-by-exception</t>
  </si>
  <si>
    <t>Enhances CM-07 (Least Functionality): configure and enforce 'Unauthorized Software - Deny-by-exception' in addition to the base setting, keep it consistent across applicable systems and document approved exceptions. Base scope: Disable unnecessary ports, protocols, services and software; allowlist only required functions</t>
  </si>
  <si>
    <r>
      <rPr>
        <rFont val="FreeSans"/>
        <color theme="1"/>
        <sz val="14.0"/>
      </rPr>
      <t xml:space="preserve">ส่วนขยายของ </t>
    </r>
    <r>
      <rPr>
        <rFont val="Calibri"/>
        <color theme="1"/>
        <sz val="14.0"/>
      </rPr>
      <t xml:space="preserve">CM-07: </t>
    </r>
    <r>
      <rPr>
        <rFont val="FreeSans"/>
        <color theme="1"/>
        <sz val="14.0"/>
      </rPr>
      <t xml:space="preserve">กำหนดค่าและบังคับใช้ </t>
    </r>
    <r>
      <rPr>
        <rFont val="Calibri"/>
        <color theme="1"/>
        <sz val="14.0"/>
      </rPr>
      <t xml:space="preserve">'Unauthorized Software - Deny-by-exception'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ปิดพอร์ต โปรโตคอล บริการ และซอฟต์แวร์ที่ไม่จำเป็น และอนุญาตเฉพาะที่ต้องใช้</t>
    </r>
  </si>
  <si>
    <t>ESBIT-CM-07(05)</t>
  </si>
  <si>
    <t>CM-07(05)</t>
  </si>
  <si>
    <t>Least Functionality | Authorized Software - Allow-by-exception</t>
  </si>
  <si>
    <t>Enhances CM-07 (Least Functionality): configure and enforce 'Authorized Software - Allow-by-exception' in addition to the base setting, keep it consistent across applicable systems and document approved exceptions. Base scope: Disable unnecessary ports, protocols, services and software; allowlist only required functions</t>
  </si>
  <si>
    <r>
      <rPr>
        <rFont val="FreeSans"/>
        <color theme="1"/>
        <sz val="14.0"/>
      </rPr>
      <t xml:space="preserve">ส่วนขยายของ </t>
    </r>
    <r>
      <rPr>
        <rFont val="Calibri"/>
        <color theme="1"/>
        <sz val="14.0"/>
      </rPr>
      <t xml:space="preserve">CM-07: </t>
    </r>
    <r>
      <rPr>
        <rFont val="FreeSans"/>
        <color theme="1"/>
        <sz val="14.0"/>
      </rPr>
      <t xml:space="preserve">กำหนดค่าและบังคับใช้ </t>
    </r>
    <r>
      <rPr>
        <rFont val="Calibri"/>
        <color theme="1"/>
        <sz val="14.0"/>
      </rPr>
      <t xml:space="preserve">'Authorized Software - Allow-by-exception'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ปิดพอร์ต โปรโตคอล บริการ และซอฟต์แวร์ที่ไม่จำเป็น และอนุญาตเฉพาะที่ต้องใช้</t>
    </r>
  </si>
  <si>
    <t>ESBIT-CM-07(06)</t>
  </si>
  <si>
    <t>CM-07(06)</t>
  </si>
  <si>
    <t>Least Functionality | Confined Environments with Limited Privileges</t>
  </si>
  <si>
    <t>Enhances CM-07 (Least Functionality): configure and enforce 'Confined Environments with Limited Privileges' in addition to the base setting, keep it consistent across applicable systems and document approved exceptions. Base scope: Disable unnecessary ports, protocols, services and software; allowlist only required functions</t>
  </si>
  <si>
    <r>
      <rPr>
        <rFont val="FreeSans"/>
        <color theme="1"/>
        <sz val="14.0"/>
      </rPr>
      <t xml:space="preserve">ส่วนขยายของ </t>
    </r>
    <r>
      <rPr>
        <rFont val="Calibri"/>
        <color theme="1"/>
        <sz val="14.0"/>
      </rPr>
      <t xml:space="preserve">CM-07: </t>
    </r>
    <r>
      <rPr>
        <rFont val="FreeSans"/>
        <color theme="1"/>
        <sz val="14.0"/>
      </rPr>
      <t xml:space="preserve">กำหนดค่าและบังคับใช้ </t>
    </r>
    <r>
      <rPr>
        <rFont val="Calibri"/>
        <color theme="1"/>
        <sz val="14.0"/>
      </rPr>
      <t xml:space="preserve">'Confined Environments with Limited Privileges'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ปิดพอร์ต โปรโตคอล บริการ และซอฟต์แวร์ที่ไม่จำเป็น และอนุญาตเฉพาะที่ต้องใช้</t>
    </r>
  </si>
  <si>
    <t>ESBIT-CM-07(07)</t>
  </si>
  <si>
    <t>CM-07(07)</t>
  </si>
  <si>
    <t>Least Functionality | Code Execution in Protected Environments</t>
  </si>
  <si>
    <t>Enhances CM-07 (Least Functionality): configure and enforce 'Code Execution in Protected Environments' in addition to the base setting, keep it consistent across applicable systems and document approved exceptions. Base scope: Disable unnecessary ports, protocols, services and software; allowlist only required functions</t>
  </si>
  <si>
    <r>
      <rPr>
        <rFont val="FreeSans"/>
        <color theme="1"/>
        <sz val="14.0"/>
      </rPr>
      <t xml:space="preserve">ส่วนขยายของ </t>
    </r>
    <r>
      <rPr>
        <rFont val="Calibri"/>
        <color theme="1"/>
        <sz val="14.0"/>
      </rPr>
      <t xml:space="preserve">CM-07: </t>
    </r>
    <r>
      <rPr>
        <rFont val="FreeSans"/>
        <color theme="1"/>
        <sz val="14.0"/>
      </rPr>
      <t xml:space="preserve">กำหนดค่าและบังคับใช้ </t>
    </r>
    <r>
      <rPr>
        <rFont val="Calibri"/>
        <color theme="1"/>
        <sz val="14.0"/>
      </rPr>
      <t xml:space="preserve">'Code Execution in Protected Environments'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ปิดพอร์ต โปรโตคอล บริการ และซอฟต์แวร์ที่ไม่จำเป็น และอนุญาตเฉพาะที่ต้องใช้</t>
    </r>
  </si>
  <si>
    <t>ESBIT-CM-07(08)</t>
  </si>
  <si>
    <t>CM-07(08)</t>
  </si>
  <si>
    <t>Least Functionality | Binary or Machine Executable Code</t>
  </si>
  <si>
    <t>Enhances CM-07 (Least Functionality): configure and enforce 'Binary or Machine Executable Code' in addition to the base setting, keep it consistent across applicable systems and document approved exceptions. Base scope: Disable unnecessary ports, protocols, services and software; allowlist only required functions</t>
  </si>
  <si>
    <r>
      <rPr>
        <rFont val="FreeSans"/>
        <color theme="1"/>
        <sz val="14.0"/>
      </rPr>
      <t xml:space="preserve">ส่วนขยายของ </t>
    </r>
    <r>
      <rPr>
        <rFont val="Calibri"/>
        <color theme="1"/>
        <sz val="14.0"/>
      </rPr>
      <t xml:space="preserve">CM-07: </t>
    </r>
    <r>
      <rPr>
        <rFont val="FreeSans"/>
        <color theme="1"/>
        <sz val="14.0"/>
      </rPr>
      <t xml:space="preserve">กำหนดค่าและบังคับใช้ </t>
    </r>
    <r>
      <rPr>
        <rFont val="Calibri"/>
        <color theme="1"/>
        <sz val="14.0"/>
      </rPr>
      <t xml:space="preserve">'Binary or Machine Executable Code'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ปิดพอร์ต โปรโตคอล บริการ และซอฟต์แวร์ที่ไม่จำเป็น และอนุญาตเฉพาะที่ต้องใช้</t>
    </r>
  </si>
  <si>
    <t>ESBIT-CM-07(09)</t>
  </si>
  <si>
    <t>CM-07(09)</t>
  </si>
  <si>
    <t>Least Functionality | Prohibiting The Use of Unauthorized Hardware</t>
  </si>
  <si>
    <t>Enhances CM-07 (Least Functionality): configure and enforce 'Prohibiting The Use of Unauthorized Hardware' in addition to the base setting, keep it consistent across applicable systems and document approved exceptions. Base scope: Disable unnecessary ports, protocols, services and software; allowlist only required functions</t>
  </si>
  <si>
    <r>
      <rPr>
        <rFont val="FreeSans"/>
        <color theme="1"/>
        <sz val="14.0"/>
      </rPr>
      <t xml:space="preserve">ส่วนขยายของ </t>
    </r>
    <r>
      <rPr>
        <rFont val="Calibri"/>
        <color theme="1"/>
        <sz val="14.0"/>
      </rPr>
      <t xml:space="preserve">CM-07: </t>
    </r>
    <r>
      <rPr>
        <rFont val="FreeSans"/>
        <color theme="1"/>
        <sz val="14.0"/>
      </rPr>
      <t xml:space="preserve">กำหนดค่าและบังคับใช้ </t>
    </r>
    <r>
      <rPr>
        <rFont val="Calibri"/>
        <color theme="1"/>
        <sz val="14.0"/>
      </rPr>
      <t xml:space="preserve">'Prohibiting The Use of Unauthorized Hardware'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ปิดพอร์ต โปรโตคอล บริการ และซอฟต์แวร์ที่ไม่จำเป็น และอนุญาตเฉพาะที่ต้องใช้</t>
    </r>
  </si>
  <si>
    <t>ESBIT-CM-08</t>
  </si>
  <si>
    <t>CM-08</t>
  </si>
  <si>
    <t>System Component Inventory</t>
  </si>
  <si>
    <t>ID.AM - Asset Management</t>
  </si>
  <si>
    <t>ID.AM-01</t>
  </si>
  <si>
    <t>Inventories of hardware managed by the organization are maintained</t>
  </si>
  <si>
    <t>Maintain automated inventory of hardware, software and cloud assets with owner and configuration state</t>
  </si>
  <si>
    <r>
      <rPr>
        <rFont val="FreeSans"/>
        <color theme="1"/>
        <sz val="14.0"/>
      </rPr>
      <t xml:space="preserve">จัดทำและปรับปรุงบัญชีสินทรัพย์ฮาร์ดแวร์ ซอฟต์แวร์ และ </t>
    </r>
    <r>
      <rPr>
        <rFont val="Calibri"/>
        <color theme="1"/>
        <sz val="14.0"/>
      </rPr>
      <t xml:space="preserve">Cloud </t>
    </r>
    <r>
      <rPr>
        <rFont val="FreeSans"/>
        <color theme="1"/>
        <sz val="14.0"/>
      </rPr>
      <t xml:space="preserve">พร้อมเจ้าของและสถานะ </t>
    </r>
    <r>
      <rPr>
        <rFont val="Calibri"/>
        <color theme="1"/>
        <sz val="14.0"/>
      </rPr>
      <t>Config</t>
    </r>
  </si>
  <si>
    <t>ESBIT-CM-08(01)</t>
  </si>
  <si>
    <t>CM-08(01)</t>
  </si>
  <si>
    <t>System Component Inventory | Updates During Installation and Removal</t>
  </si>
  <si>
    <t>Enhances CM-08 (System Component Inventory): configure and enforce 'Updates During Installation and Removal' in addition to the base setting, keep it consistent across applicable systems and document approved exceptions. Base scope: Maintain automated inventory of hardware, software and cloud assets with owner and configuration state</t>
  </si>
  <si>
    <r>
      <rPr>
        <rFont val="FreeSans"/>
        <color theme="1"/>
        <sz val="14.0"/>
      </rPr>
      <t xml:space="preserve">ส่วนขยายของ </t>
    </r>
    <r>
      <rPr>
        <rFont val="Calibri"/>
        <color theme="1"/>
        <sz val="14.0"/>
      </rPr>
      <t xml:space="preserve">CM-08: </t>
    </r>
    <r>
      <rPr>
        <rFont val="FreeSans"/>
        <color theme="1"/>
        <sz val="14.0"/>
      </rPr>
      <t xml:space="preserve">กำหนดค่าและบังคับใช้ </t>
    </r>
    <r>
      <rPr>
        <rFont val="Calibri"/>
        <color theme="1"/>
        <sz val="14.0"/>
      </rPr>
      <t xml:space="preserve">'Updates During Installation and Removal'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จัดทำและปรับปรุงบัญชีสินทรัพย์ฮาร์ดแวร์ ซอฟต์แวร์ และ </t>
    </r>
    <r>
      <rPr>
        <rFont val="Calibri"/>
        <color theme="1"/>
        <sz val="14.0"/>
      </rPr>
      <t xml:space="preserve">Cloud </t>
    </r>
    <r>
      <rPr>
        <rFont val="FreeSans"/>
        <color theme="1"/>
        <sz val="14.0"/>
      </rPr>
      <t xml:space="preserve">พร้อมเจ้าของและสถานะ </t>
    </r>
    <r>
      <rPr>
        <rFont val="Calibri"/>
        <color theme="1"/>
        <sz val="14.0"/>
      </rPr>
      <t>Config</t>
    </r>
  </si>
  <si>
    <t>ESBIT-CM-08(02)</t>
  </si>
  <si>
    <t>CM-08(02)</t>
  </si>
  <si>
    <t>System Component Inventory | Automated Maintenance</t>
  </si>
  <si>
    <t>Enhances CM-08 (System Component Inventory): configure and enforce 'Automated Maintenance' in addition to the base setting, keep it consistent across applicable systems and document approved exceptions. Base scope: Maintain automated inventory of hardware, software and cloud assets with owner and configuration state</t>
  </si>
  <si>
    <r>
      <rPr>
        <rFont val="FreeSans"/>
        <color theme="1"/>
        <sz val="14.0"/>
      </rPr>
      <t xml:space="preserve">ส่วนขยายของ </t>
    </r>
    <r>
      <rPr>
        <rFont val="Calibri"/>
        <color theme="1"/>
        <sz val="14.0"/>
      </rPr>
      <t xml:space="preserve">CM-08: </t>
    </r>
    <r>
      <rPr>
        <rFont val="FreeSans"/>
        <color theme="1"/>
        <sz val="14.0"/>
      </rPr>
      <t xml:space="preserve">กำหนดค่าและบังคับใช้ </t>
    </r>
    <r>
      <rPr>
        <rFont val="Calibri"/>
        <color theme="1"/>
        <sz val="14.0"/>
      </rPr>
      <t xml:space="preserve">'Automated Maintenance'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จัดทำและปรับปรุงบัญชีสินทรัพย์ฮาร์ดแวร์ ซอฟต์แวร์ และ </t>
    </r>
    <r>
      <rPr>
        <rFont val="Calibri"/>
        <color theme="1"/>
        <sz val="14.0"/>
      </rPr>
      <t xml:space="preserve">Cloud </t>
    </r>
    <r>
      <rPr>
        <rFont val="FreeSans"/>
        <color theme="1"/>
        <sz val="14.0"/>
      </rPr>
      <t xml:space="preserve">พร้อมเจ้าของและสถานะ </t>
    </r>
    <r>
      <rPr>
        <rFont val="Calibri"/>
        <color theme="1"/>
        <sz val="14.0"/>
      </rPr>
      <t>Config</t>
    </r>
  </si>
  <si>
    <t>ESBIT-CM-08(03)</t>
  </si>
  <si>
    <t>CM-08(03)</t>
  </si>
  <si>
    <t>System Component Inventory | Automated Unauthorized Component Detection</t>
  </si>
  <si>
    <t>Enhances CM-08 (System Component Inventory): configure and enforce 'Automated Unauthorized Component Detection' in addition to the base setting, keep it consistent across applicable systems and document approved exceptions. Base scope: Maintain automated inventory of hardware, software and cloud assets with owner and configuration state</t>
  </si>
  <si>
    <r>
      <rPr>
        <rFont val="FreeSans"/>
        <color theme="1"/>
        <sz val="14.0"/>
      </rPr>
      <t xml:space="preserve">ส่วนขยายของ </t>
    </r>
    <r>
      <rPr>
        <rFont val="Calibri"/>
        <color theme="1"/>
        <sz val="14.0"/>
      </rPr>
      <t xml:space="preserve">CM-08: </t>
    </r>
    <r>
      <rPr>
        <rFont val="FreeSans"/>
        <color theme="1"/>
        <sz val="14.0"/>
      </rPr>
      <t xml:space="preserve">กำหนดค่าและบังคับใช้ </t>
    </r>
    <r>
      <rPr>
        <rFont val="Calibri"/>
        <color theme="1"/>
        <sz val="14.0"/>
      </rPr>
      <t xml:space="preserve">'Automated Unauthorized Component Detection'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จัดทำและปรับปรุงบัญชีสินทรัพย์ฮาร์ดแวร์ ซอฟต์แวร์ และ </t>
    </r>
    <r>
      <rPr>
        <rFont val="Calibri"/>
        <color theme="1"/>
        <sz val="14.0"/>
      </rPr>
      <t xml:space="preserve">Cloud </t>
    </r>
    <r>
      <rPr>
        <rFont val="FreeSans"/>
        <color theme="1"/>
        <sz val="14.0"/>
      </rPr>
      <t xml:space="preserve">พร้อมเจ้าของและสถานะ </t>
    </r>
    <r>
      <rPr>
        <rFont val="Calibri"/>
        <color theme="1"/>
        <sz val="14.0"/>
      </rPr>
      <t>Config</t>
    </r>
  </si>
  <si>
    <t>ESBIT-CM-08(04)</t>
  </si>
  <si>
    <t>CM-08(04)</t>
  </si>
  <si>
    <t>System Component Inventory | Accountability Information</t>
  </si>
  <si>
    <t>Enhances CM-08 (System Component Inventory): configure and enforce 'Accountability Information' in addition to the base setting, keep it consistent across applicable systems and document approved exceptions. Base scope: Maintain automated inventory of hardware, software and cloud assets with owner and configuration state</t>
  </si>
  <si>
    <r>
      <rPr>
        <rFont val="FreeSans"/>
        <color theme="1"/>
        <sz val="14.0"/>
      </rPr>
      <t xml:space="preserve">ส่วนขยายของ </t>
    </r>
    <r>
      <rPr>
        <rFont val="Calibri"/>
        <color theme="1"/>
        <sz val="14.0"/>
      </rPr>
      <t xml:space="preserve">CM-08: </t>
    </r>
    <r>
      <rPr>
        <rFont val="FreeSans"/>
        <color theme="1"/>
        <sz val="14.0"/>
      </rPr>
      <t xml:space="preserve">กำหนดค่าและบังคับใช้ </t>
    </r>
    <r>
      <rPr>
        <rFont val="Calibri"/>
        <color theme="1"/>
        <sz val="14.0"/>
      </rPr>
      <t xml:space="preserve">'Accountability Information'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จัดทำและปรับปรุงบัญชีสินทรัพย์ฮาร์ดแวร์ ซอฟต์แวร์ และ </t>
    </r>
    <r>
      <rPr>
        <rFont val="Calibri"/>
        <color theme="1"/>
        <sz val="14.0"/>
      </rPr>
      <t xml:space="preserve">Cloud </t>
    </r>
    <r>
      <rPr>
        <rFont val="FreeSans"/>
        <color theme="1"/>
        <sz val="14.0"/>
      </rPr>
      <t xml:space="preserve">พร้อมเจ้าของและสถานะ </t>
    </r>
    <r>
      <rPr>
        <rFont val="Calibri"/>
        <color theme="1"/>
        <sz val="14.0"/>
      </rPr>
      <t>Config</t>
    </r>
  </si>
  <si>
    <t>ESBIT-CM-08(06)</t>
  </si>
  <si>
    <t>CM-08(06)</t>
  </si>
  <si>
    <t>System Component Inventory | Assessed Configurations and Approved Deviations</t>
  </si>
  <si>
    <t>Enhances CM-08 (System Component Inventory): configure and enforce 'Assessed Configurations and Approved Deviations' in addition to the base setting, keep it consistent across applicable systems and document approved exceptions. Base scope: Maintain automated inventory of hardware, software and cloud assets with owner and configuration state</t>
  </si>
  <si>
    <r>
      <rPr>
        <rFont val="FreeSans"/>
        <color theme="1"/>
        <sz val="14.0"/>
      </rPr>
      <t xml:space="preserve">ส่วนขยายของ </t>
    </r>
    <r>
      <rPr>
        <rFont val="Calibri"/>
        <color theme="1"/>
        <sz val="14.0"/>
      </rPr>
      <t xml:space="preserve">CM-08: </t>
    </r>
    <r>
      <rPr>
        <rFont val="FreeSans"/>
        <color theme="1"/>
        <sz val="14.0"/>
      </rPr>
      <t xml:space="preserve">กำหนดค่าและบังคับใช้ </t>
    </r>
    <r>
      <rPr>
        <rFont val="Calibri"/>
        <color theme="1"/>
        <sz val="14.0"/>
      </rPr>
      <t xml:space="preserve">'Assessed Configurations and Approved Deviations'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จัดทำและปรับปรุงบัญชีสินทรัพย์ฮาร์ดแวร์ ซอฟต์แวร์ และ </t>
    </r>
    <r>
      <rPr>
        <rFont val="Calibri"/>
        <color theme="1"/>
        <sz val="14.0"/>
      </rPr>
      <t xml:space="preserve">Cloud </t>
    </r>
    <r>
      <rPr>
        <rFont val="FreeSans"/>
        <color theme="1"/>
        <sz val="14.0"/>
      </rPr>
      <t xml:space="preserve">พร้อมเจ้าของและสถานะ </t>
    </r>
    <r>
      <rPr>
        <rFont val="Calibri"/>
        <color theme="1"/>
        <sz val="14.0"/>
      </rPr>
      <t>Config</t>
    </r>
  </si>
  <si>
    <t>ESBIT-CM-08(07)</t>
  </si>
  <si>
    <t>CM-08(07)</t>
  </si>
  <si>
    <t>System Component Inventory | Centralized Repository</t>
  </si>
  <si>
    <t>Enhances CM-08 (System Component Inventory): configure and enforce 'Centralized Repository' in addition to the base setting, keep it consistent across applicable systems and document approved exceptions. Base scope: Maintain automated inventory of hardware, software and cloud assets with owner and configuration state</t>
  </si>
  <si>
    <r>
      <rPr>
        <rFont val="FreeSans"/>
        <color theme="1"/>
        <sz val="14.0"/>
      </rPr>
      <t xml:space="preserve">ส่วนขยายของ </t>
    </r>
    <r>
      <rPr>
        <rFont val="Calibri"/>
        <color theme="1"/>
        <sz val="14.0"/>
      </rPr>
      <t xml:space="preserve">CM-08: </t>
    </r>
    <r>
      <rPr>
        <rFont val="FreeSans"/>
        <color theme="1"/>
        <sz val="14.0"/>
      </rPr>
      <t xml:space="preserve">กำหนดค่าและบังคับใช้ </t>
    </r>
    <r>
      <rPr>
        <rFont val="Calibri"/>
        <color theme="1"/>
        <sz val="14.0"/>
      </rPr>
      <t xml:space="preserve">'Centralized Repository'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จัดทำและปรับปรุงบัญชีสินทรัพย์ฮาร์ดแวร์ ซอฟต์แวร์ และ </t>
    </r>
    <r>
      <rPr>
        <rFont val="Calibri"/>
        <color theme="1"/>
        <sz val="14.0"/>
      </rPr>
      <t xml:space="preserve">Cloud </t>
    </r>
    <r>
      <rPr>
        <rFont val="FreeSans"/>
        <color theme="1"/>
        <sz val="14.0"/>
      </rPr>
      <t xml:space="preserve">พร้อมเจ้าของและสถานะ </t>
    </r>
    <r>
      <rPr>
        <rFont val="Calibri"/>
        <color theme="1"/>
        <sz val="14.0"/>
      </rPr>
      <t>Config</t>
    </r>
  </si>
  <si>
    <t>ESBIT-CM-08(08)</t>
  </si>
  <si>
    <t>CM-08(08)</t>
  </si>
  <si>
    <t>System Component Inventory | Automated Location Tracking</t>
  </si>
  <si>
    <t>Enhances CM-08 (System Component Inventory): configure and enforce 'Automated Location Tracking' in addition to the base setting, keep it consistent across applicable systems and document approved exceptions. Base scope: Maintain automated inventory of hardware, software and cloud assets with owner and configuration state</t>
  </si>
  <si>
    <r>
      <rPr>
        <rFont val="FreeSans"/>
        <color theme="1"/>
        <sz val="14.0"/>
      </rPr>
      <t xml:space="preserve">ส่วนขยายของ </t>
    </r>
    <r>
      <rPr>
        <rFont val="Calibri"/>
        <color theme="1"/>
        <sz val="14.0"/>
      </rPr>
      <t xml:space="preserve">CM-08: </t>
    </r>
    <r>
      <rPr>
        <rFont val="FreeSans"/>
        <color theme="1"/>
        <sz val="14.0"/>
      </rPr>
      <t xml:space="preserve">กำหนดค่าและบังคับใช้ </t>
    </r>
    <r>
      <rPr>
        <rFont val="Calibri"/>
        <color theme="1"/>
        <sz val="14.0"/>
      </rPr>
      <t xml:space="preserve">'Automated Location Tracking'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จัดทำและปรับปรุงบัญชีสินทรัพย์ฮาร์ดแวร์ ซอฟต์แวร์ และ </t>
    </r>
    <r>
      <rPr>
        <rFont val="Calibri"/>
        <color theme="1"/>
        <sz val="14.0"/>
      </rPr>
      <t xml:space="preserve">Cloud </t>
    </r>
    <r>
      <rPr>
        <rFont val="FreeSans"/>
        <color theme="1"/>
        <sz val="14.0"/>
      </rPr>
      <t xml:space="preserve">พร้อมเจ้าของและสถานะ </t>
    </r>
    <r>
      <rPr>
        <rFont val="Calibri"/>
        <color theme="1"/>
        <sz val="14.0"/>
      </rPr>
      <t>Config</t>
    </r>
  </si>
  <si>
    <t>ESBIT-CM-08(09)</t>
  </si>
  <si>
    <t>CM-08(09)</t>
  </si>
  <si>
    <t>System Component Inventory | Assignment of Components to Systems</t>
  </si>
  <si>
    <t>Enhances CM-08 (System Component Inventory): configure and enforce 'Assignment of Components to Systems' in addition to the base setting, keep it consistent across applicable systems and document approved exceptions. Base scope: Maintain automated inventory of hardware, software and cloud assets with owner and configuration state</t>
  </si>
  <si>
    <r>
      <rPr>
        <rFont val="FreeSans"/>
        <color theme="1"/>
        <sz val="14.0"/>
      </rPr>
      <t xml:space="preserve">ส่วนขยายของ </t>
    </r>
    <r>
      <rPr>
        <rFont val="Calibri"/>
        <color theme="1"/>
        <sz val="14.0"/>
      </rPr>
      <t xml:space="preserve">CM-08: </t>
    </r>
    <r>
      <rPr>
        <rFont val="FreeSans"/>
        <color theme="1"/>
        <sz val="14.0"/>
      </rPr>
      <t xml:space="preserve">กำหนดค่าและบังคับใช้ </t>
    </r>
    <r>
      <rPr>
        <rFont val="Calibri"/>
        <color theme="1"/>
        <sz val="14.0"/>
      </rPr>
      <t xml:space="preserve">'Assignment of Components to Systems'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จัดทำและปรับปรุงบัญชีสินทรัพย์ฮาร์ดแวร์ ซอฟต์แวร์ และ </t>
    </r>
    <r>
      <rPr>
        <rFont val="Calibri"/>
        <color theme="1"/>
        <sz val="14.0"/>
      </rPr>
      <t xml:space="preserve">Cloud </t>
    </r>
    <r>
      <rPr>
        <rFont val="FreeSans"/>
        <color theme="1"/>
        <sz val="14.0"/>
      </rPr>
      <t xml:space="preserve">พร้อมเจ้าของและสถานะ </t>
    </r>
    <r>
      <rPr>
        <rFont val="Calibri"/>
        <color theme="1"/>
        <sz val="14.0"/>
      </rPr>
      <t>Config</t>
    </r>
  </si>
  <si>
    <t>ESBIT-CM-09</t>
  </si>
  <si>
    <t>CM-09</t>
  </si>
  <si>
    <t>Configuration Management Plan</t>
  </si>
  <si>
    <t>Not a direct configuration item - configuration management plan defining roles, processes and configuration items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</si>
  <si>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แผนบริหาร </t>
    </r>
    <r>
      <rPr>
        <rFont val="Calibri"/>
        <color theme="1"/>
        <sz val="14.0"/>
      </rPr>
      <t xml:space="preserve">Configuration </t>
    </r>
    <r>
      <rPr>
        <rFont val="FreeSans"/>
        <color theme="1"/>
        <sz val="14.0"/>
      </rPr>
      <t xml:space="preserve">กำหนดบทบาท กระบวนการ และ </t>
    </r>
    <r>
      <rPr>
        <rFont val="Calibri"/>
        <color theme="1"/>
        <sz val="14.0"/>
      </rPr>
      <t>Configuration Item</t>
    </r>
  </si>
  <si>
    <t>ESBIT-CM-10</t>
  </si>
  <si>
    <t>CM-10</t>
  </si>
  <si>
    <t>Software Usage Restrictions</t>
  </si>
  <si>
    <t>PR.PS-02</t>
  </si>
  <si>
    <t>Software is maintained, replaced, and removed commensurate with risk</t>
  </si>
  <si>
    <t>Enforce software licensing, usage restrictions and tracking of open-source usage</t>
  </si>
  <si>
    <r>
      <rPr>
        <rFont val="FreeSans"/>
        <color theme="1"/>
        <sz val="14.0"/>
      </rPr>
      <t xml:space="preserve">บังคับใช้ข้อจำกัดลิขสิทธิ์และติดตามการใช้ซอฟต์แวร์รวมถึง </t>
    </r>
    <r>
      <rPr>
        <rFont val="Calibri"/>
        <color theme="1"/>
        <sz val="14.0"/>
      </rPr>
      <t>Open Source</t>
    </r>
  </si>
  <si>
    <t>Application/Software, Infrastructure (Server/OS)</t>
  </si>
  <si>
    <t>ESBIT-CM-10(01)</t>
  </si>
  <si>
    <t>CM-10(01)</t>
  </si>
  <si>
    <t>Software Usage Restrictions | Open-source Software</t>
  </si>
  <si>
    <t>Enhances CM-10 (Software Usage Restrictions): configure and enforce 'Open-source Software' in addition to the base setting, keep it consistent across applicable systems and document approved exceptions. Base scope: Enforce software licensing, usage restrictions and tracking of open-source usage</t>
  </si>
  <si>
    <r>
      <rPr>
        <rFont val="FreeSans"/>
        <color theme="1"/>
        <sz val="14.0"/>
      </rPr>
      <t xml:space="preserve">ส่วนขยายของ </t>
    </r>
    <r>
      <rPr>
        <rFont val="Calibri"/>
        <color theme="1"/>
        <sz val="14.0"/>
      </rPr>
      <t xml:space="preserve">CM-10: </t>
    </r>
    <r>
      <rPr>
        <rFont val="FreeSans"/>
        <color theme="1"/>
        <sz val="14.0"/>
      </rPr>
      <t xml:space="preserve">กำหนดค่าและบังคับใช้ </t>
    </r>
    <r>
      <rPr>
        <rFont val="Calibri"/>
        <color theme="1"/>
        <sz val="14.0"/>
      </rPr>
      <t xml:space="preserve">'Open-source Software'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บังคับใช้ข้อจำกัดลิขสิทธิ์และติดตามการใช้ซอฟต์แวร์รวมถึง </t>
    </r>
    <r>
      <rPr>
        <rFont val="Calibri"/>
        <color theme="1"/>
        <sz val="14.0"/>
      </rPr>
      <t>Open Source</t>
    </r>
  </si>
  <si>
    <t>ESBIT-CM-11</t>
  </si>
  <si>
    <t>CM-11</t>
  </si>
  <si>
    <t>User-installed Software</t>
  </si>
  <si>
    <t>PR.PS-05</t>
  </si>
  <si>
    <t>Installation and execution of unauthorized software are prevented</t>
  </si>
  <si>
    <t>Configure policy and technical controls to restrict or monitor user installation of software</t>
  </si>
  <si>
    <t>ตั้งค่านโยบายและกลไกจำกัดหรือเฝ้าระวังการติดตั้งซอฟต์แวร์โดยผู้ใช้</t>
  </si>
  <si>
    <t>ESBIT-CM-11(01)</t>
  </si>
  <si>
    <t>CM-11(01)</t>
  </si>
  <si>
    <t>User-installed Software | Alerts for Unauthorized Installations</t>
  </si>
  <si>
    <t>Enhances CM-11 (User-installed Software): configure and enforce 'Alerts for Unauthorized Installations' in addition to the base setting, keep it consistent across applicable systems and document approved exceptions. Base scope: Configure policy and technical controls to restrict or monitor user installation of software</t>
  </si>
  <si>
    <r>
      <rPr>
        <rFont val="FreeSans"/>
        <color theme="1"/>
        <sz val="14.0"/>
      </rPr>
      <t xml:space="preserve">ส่วนขยายของ </t>
    </r>
    <r>
      <rPr>
        <rFont val="Calibri"/>
        <color theme="1"/>
        <sz val="14.0"/>
      </rPr>
      <t xml:space="preserve">CM-11: </t>
    </r>
    <r>
      <rPr>
        <rFont val="FreeSans"/>
        <color theme="1"/>
        <sz val="14.0"/>
      </rPr>
      <t xml:space="preserve">กำหนดค่าและบังคับใช้ </t>
    </r>
    <r>
      <rPr>
        <rFont val="Calibri"/>
        <color theme="1"/>
        <sz val="14.0"/>
      </rPr>
      <t xml:space="preserve">'Alerts for Unauthorized Installations'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ตั้งค่านโยบายและกลไกจำกัดหรือเฝ้าระวังการติดตั้งซอฟต์แวร์โดยผู้ใช้</t>
    </r>
  </si>
  <si>
    <t>ESBIT-CM-11(02)</t>
  </si>
  <si>
    <t>CM-11(02)</t>
  </si>
  <si>
    <t>User-installed Software | Software Installation with Privileged Status</t>
  </si>
  <si>
    <t>Enhances CM-11 (User-installed Software): configure and enforce 'Software Installation with Privileged Status' in addition to the base setting, keep it consistent across applicable systems and document approved exceptions. Base scope: Configure policy and technical controls to restrict or monitor user installation of software</t>
  </si>
  <si>
    <r>
      <rPr>
        <rFont val="FreeSans"/>
        <color theme="1"/>
        <sz val="14.0"/>
      </rPr>
      <t xml:space="preserve">ส่วนขยายของ </t>
    </r>
    <r>
      <rPr>
        <rFont val="Calibri"/>
        <color theme="1"/>
        <sz val="14.0"/>
      </rPr>
      <t xml:space="preserve">CM-11: </t>
    </r>
    <r>
      <rPr>
        <rFont val="FreeSans"/>
        <color theme="1"/>
        <sz val="14.0"/>
      </rPr>
      <t xml:space="preserve">กำหนดค่าและบังคับใช้ </t>
    </r>
    <r>
      <rPr>
        <rFont val="Calibri"/>
        <color theme="1"/>
        <sz val="14.0"/>
      </rPr>
      <t xml:space="preserve">'Software Installation with Privileged Status'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ตั้งค่านโยบายและกลไกจำกัดหรือเฝ้าระวังการติดตั้งซอฟต์แวร์โดยผู้ใช้</t>
    </r>
  </si>
  <si>
    <t>ESBIT-CM-11(03)</t>
  </si>
  <si>
    <t>CM-11(03)</t>
  </si>
  <si>
    <t>User-installed Software | Automated Enforcement and Monitoring</t>
  </si>
  <si>
    <t>Enhances CM-11 (User-installed Software): configure and enforce 'Automated Enforcement and Monitoring' in addition to the base setting, keep it consistent across applicable systems and document approved exceptions. Base scope: Configure policy and technical controls to restrict or monitor user installation of software</t>
  </si>
  <si>
    <r>
      <rPr>
        <rFont val="FreeSans"/>
        <color theme="1"/>
        <sz val="14.0"/>
      </rPr>
      <t xml:space="preserve">ส่วนขยายของ </t>
    </r>
    <r>
      <rPr>
        <rFont val="Calibri"/>
        <color theme="1"/>
        <sz val="14.0"/>
      </rPr>
      <t xml:space="preserve">CM-11: </t>
    </r>
    <r>
      <rPr>
        <rFont val="FreeSans"/>
        <color theme="1"/>
        <sz val="14.0"/>
      </rPr>
      <t xml:space="preserve">กำหนดค่าและบังคับใช้ </t>
    </r>
    <r>
      <rPr>
        <rFont val="Calibri"/>
        <color theme="1"/>
        <sz val="14.0"/>
      </rPr>
      <t xml:space="preserve">'Automated Enforcement and Monitoring'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ตั้งค่านโยบายและกลไกจำกัดหรือเฝ้าระวังการติดตั้งซอฟต์แวร์โดยผู้ใช้</t>
    </r>
  </si>
  <si>
    <t>ESBIT-CM-12</t>
  </si>
  <si>
    <t>CM-12</t>
  </si>
  <si>
    <t>Information Location</t>
  </si>
  <si>
    <t>ID.AM-07</t>
  </si>
  <si>
    <t>Inventories of data and corresponding metadata for designated data types are maintained</t>
  </si>
  <si>
    <t>Identify and document where sensitive information is stored, processed and transmitted</t>
  </si>
  <si>
    <t>ระบุและบันทึกตำแหน่งที่จัดเก็บ ประมวลผล และส่งผ่านข้อมูลสำคัญ</t>
  </si>
  <si>
    <t>Data Protection/Storage, Database</t>
  </si>
  <si>
    <t>ESBIT-CM-12(01)</t>
  </si>
  <si>
    <t>CM-12(01)</t>
  </si>
  <si>
    <t>Information Location | Automated Tools to Support Information Location</t>
  </si>
  <si>
    <t>Enhances CM-12 (Information Location): configure and enforce 'Automated Tools to Support Information Location' in addition to the base setting, keep it consistent across applicable systems and document approved exceptions. Base scope: Identify and document where sensitive information is stored, processed and transmitted</t>
  </si>
  <si>
    <r>
      <rPr>
        <rFont val="FreeSans"/>
        <color theme="1"/>
        <sz val="14.0"/>
      </rPr>
      <t xml:space="preserve">ส่วนขยายของ </t>
    </r>
    <r>
      <rPr>
        <rFont val="Calibri"/>
        <color theme="1"/>
        <sz val="14.0"/>
      </rPr>
      <t xml:space="preserve">CM-12: </t>
    </r>
    <r>
      <rPr>
        <rFont val="FreeSans"/>
        <color theme="1"/>
        <sz val="14.0"/>
      </rPr>
      <t xml:space="preserve">กำหนดค่าและบังคับใช้ </t>
    </r>
    <r>
      <rPr>
        <rFont val="Calibri"/>
        <color theme="1"/>
        <sz val="14.0"/>
      </rPr>
      <t xml:space="preserve">'Automated Tools to Support Information Location'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ระบุและบันทึกตำแหน่งที่จัดเก็บ ประมวลผล และส่งผ่านข้อมูลสำคัญ</t>
    </r>
  </si>
  <si>
    <t>ESBIT-CM-13</t>
  </si>
  <si>
    <t>CM-13</t>
  </si>
  <si>
    <t>Data Action Mapping</t>
  </si>
  <si>
    <t>Not a direct configuration item - mapping of data actions for privacy and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</si>
  <si>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การทำ </t>
    </r>
    <r>
      <rPr>
        <rFont val="Calibri"/>
        <color theme="1"/>
        <sz val="14.0"/>
      </rPr>
      <t xml:space="preserve">Data Action Mapping </t>
    </r>
    <r>
      <rPr>
        <rFont val="FreeSans"/>
        <color theme="1"/>
        <sz val="14.0"/>
      </rPr>
      <t>เพื่อประเมินการประมวลผลข้อมูล</t>
    </r>
  </si>
  <si>
    <t>ESBIT-CM-14</t>
  </si>
  <si>
    <t>CM-14</t>
  </si>
  <si>
    <t>Signed Components</t>
  </si>
  <si>
    <t>Configure the system to block installation of components not digitally signed by trusted parties</t>
  </si>
  <si>
    <r>
      <rPr>
        <rFont val="FreeSans"/>
        <color theme="1"/>
        <sz val="14.0"/>
      </rPr>
      <t xml:space="preserve">ตั้งค่าให้บล็อกการติดตั้งคอมโพเนนต์ที่ไม่มี </t>
    </r>
    <r>
      <rPr>
        <rFont val="Calibri"/>
        <color theme="1"/>
        <sz val="14.0"/>
      </rPr>
      <t xml:space="preserve">Digital Signature </t>
    </r>
    <r>
      <rPr>
        <rFont val="FreeSans"/>
        <color theme="1"/>
        <sz val="14.0"/>
      </rPr>
      <t>ที่เชื่อถือได้</t>
    </r>
  </si>
  <si>
    <t>Infrastructure (Server/OS), Application/Software</t>
  </si>
  <si>
    <t>ESBIT-CP-01</t>
  </si>
  <si>
    <t>CP-01</t>
  </si>
  <si>
    <t>Not a direct configuration item - define, document, review and communicate the Contingency Planning policy and procedures that drive the technical configuration standards.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</si>
  <si>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กำหนด จัดทำเอกสาร และทบทวนนโยบาย</t>
    </r>
    <r>
      <rPr>
        <rFont val="Calibri"/>
        <color theme="1"/>
        <sz val="14.0"/>
      </rPr>
      <t>/</t>
    </r>
    <r>
      <rPr>
        <rFont val="FreeSans"/>
        <color theme="1"/>
        <sz val="14.0"/>
      </rPr>
      <t xml:space="preserve">ขั้นตอนของหมวดการวางแผนความต่อเนื่อง เพื่อเป็นฐานในการกำหนดมาตรฐาน </t>
    </r>
    <r>
      <rPr>
        <rFont val="Calibri"/>
        <color theme="1"/>
        <sz val="14.0"/>
      </rPr>
      <t>Config</t>
    </r>
  </si>
  <si>
    <t>ESBIT-CP-02</t>
  </si>
  <si>
    <t>CP-02</t>
  </si>
  <si>
    <t>Contingency Plan</t>
  </si>
  <si>
    <t>PR.IR-03</t>
  </si>
  <si>
    <t>Mechanisms are implemented to achieve resilience requirements in normal and adverse situations</t>
  </si>
  <si>
    <t>Not a direct configuration item - contingency plan defining roles, recovery objectives and recovery procedures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</si>
  <si>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แผนความต่อเนื่องกำหนดบทบาท เป้าหมายการกู้คืน และขั้นตอนกู้คืน</t>
    </r>
  </si>
  <si>
    <t>ESBIT-CP-02(01)</t>
  </si>
  <si>
    <t>CP-02(01)</t>
  </si>
  <si>
    <t>Contingency Plan | Coordinate with Related Plans</t>
  </si>
  <si>
    <t>Not a direct configuration item - enhancement of CP-02 (Contingency Plan): 'Coordinate with Related Plans'; contingency plan defining roles, recovery objectives and recovery procedures.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</si>
  <si>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CP-02: 'Coordinate with Related Plans' - </t>
    </r>
    <r>
      <rPr>
        <rFont val="FreeSans"/>
        <color theme="1"/>
        <sz val="14.0"/>
      </rPr>
      <t>แผนความต่อเนื่องกำหนดบทบาท เป้าหมายการกู้คืน และขั้นตอนกู้คืน</t>
    </r>
  </si>
  <si>
    <t>ESBIT-CP-02(02)</t>
  </si>
  <si>
    <t>CP-02(02)</t>
  </si>
  <si>
    <t>Contingency Plan | Capacity Planning</t>
  </si>
  <si>
    <t>Not a direct configuration item - enhancement of CP-02 (Contingency Plan): 'Capacity Planning'; contingency plan defining roles, recovery objectives and recovery procedures.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</si>
  <si>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CP-02: 'Capacity Planning' - </t>
    </r>
    <r>
      <rPr>
        <rFont val="FreeSans"/>
        <color theme="1"/>
        <sz val="14.0"/>
      </rPr>
      <t>แผนความต่อเนื่องกำหนดบทบาท เป้าหมายการกู้คืน และขั้นตอนกู้คืน</t>
    </r>
  </si>
  <si>
    <t>ESBIT-CP-02(03)</t>
  </si>
  <si>
    <t>CP-02(03)</t>
  </si>
  <si>
    <t>Contingency Plan | Resume Mission and Business Functions</t>
  </si>
  <si>
    <t>Not a direct configuration item - enhancement of CP-02 (Contingency Plan): 'Resume Mission and Business Functions'; contingency plan defining roles, recovery objectives and recovery procedures.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</si>
  <si>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CP-02: 'Resume Mission and Business Functions' - </t>
    </r>
    <r>
      <rPr>
        <rFont val="FreeSans"/>
        <color theme="1"/>
        <sz val="14.0"/>
      </rPr>
      <t>แผนความต่อเนื่องกำหนดบทบาท เป้าหมายการกู้คืน และขั้นตอนกู้คืน</t>
    </r>
  </si>
  <si>
    <t>ESBIT-CP-02(05)</t>
  </si>
  <si>
    <t>CP-02(05)</t>
  </si>
  <si>
    <t>Contingency Plan | Continue Mission and Business Functions</t>
  </si>
  <si>
    <t>Not a direct configuration item - enhancement of CP-02 (Contingency Plan): 'Continue Mission and Business Functions'; contingency plan defining roles, recovery objectives and recovery procedures.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</si>
  <si>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CP-02: 'Continue Mission and Business Functions' - </t>
    </r>
    <r>
      <rPr>
        <rFont val="FreeSans"/>
        <color theme="1"/>
        <sz val="14.0"/>
      </rPr>
      <t>แผนความต่อเนื่องกำหนดบทบาท เป้าหมายการกู้คืน และขั้นตอนกู้คืน</t>
    </r>
  </si>
  <si>
    <t>ESBIT-CP-02(06)</t>
  </si>
  <si>
    <t>CP-02(06)</t>
  </si>
  <si>
    <t>Contingency Plan | Alternate Processing and Storage Sites</t>
  </si>
  <si>
    <t>Not a direct configuration item - enhancement of CP-02 (Contingency Plan): 'Alternate Processing and Storage Sites'; contingency plan defining roles, recovery objectives and recovery procedures.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</si>
  <si>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CP-02: 'Alternate Processing and Storage Sites' - </t>
    </r>
    <r>
      <rPr>
        <rFont val="FreeSans"/>
        <color theme="1"/>
        <sz val="14.0"/>
      </rPr>
      <t>แผนความต่อเนื่องกำหนดบทบาท เป้าหมายการกู้คืน และขั้นตอนกู้คืน</t>
    </r>
  </si>
  <si>
    <t>ESBIT-CP-02(07)</t>
  </si>
  <si>
    <t>CP-02(07)</t>
  </si>
  <si>
    <t>Contingency Plan | Coordinate with External Service Providers</t>
  </si>
  <si>
    <t>Not a direct configuration item - enhancement of CP-02 (Contingency Plan): 'Coordinate with External Service Providers'; contingency plan defining roles, recovery objectives and recovery procedures.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</si>
  <si>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CP-02: 'Coordinate with External Service Providers' - </t>
    </r>
    <r>
      <rPr>
        <rFont val="FreeSans"/>
        <color theme="1"/>
        <sz val="14.0"/>
      </rPr>
      <t>แผนความต่อเนื่องกำหนดบทบาท เป้าหมายการกู้คืน และขั้นตอนกู้คืน</t>
    </r>
  </si>
  <si>
    <t>ESBIT-CP-02(08)</t>
  </si>
  <si>
    <t>CP-02(08)</t>
  </si>
  <si>
    <t>Contingency Plan | Identify Critical Assets</t>
  </si>
  <si>
    <t>Not a direct configuration item - enhancement of CP-02 (Contingency Plan): 'Identify Critical Assets'; contingency plan defining roles, recovery objectives and recovery procedures.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</si>
  <si>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CP-02: 'Identify Critical Assets' - </t>
    </r>
    <r>
      <rPr>
        <rFont val="FreeSans"/>
        <color theme="1"/>
        <sz val="14.0"/>
      </rPr>
      <t>แผนความต่อเนื่องกำหนดบทบาท เป้าหมายการกู้คืน และขั้นตอนกู้คืน</t>
    </r>
  </si>
  <si>
    <t>ESBIT-CP-03</t>
  </si>
  <si>
    <t>CP-03</t>
  </si>
  <si>
    <t>Contingency Training</t>
  </si>
  <si>
    <t>Not a direct configuration item - contingency training for personnel with recovery roles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</si>
  <si>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การอบรมบุคลากรที่มีบทบาทในการกู้คืนระบบ</t>
    </r>
  </si>
  <si>
    <t>ESBIT-CP-03(01)</t>
  </si>
  <si>
    <t>CP-03(01)</t>
  </si>
  <si>
    <t>Contingency Training | Simulated Events</t>
  </si>
  <si>
    <t>Not a direct configuration item - enhancement of CP-03 (Contingency Training): 'Simulated Events'; contingency training for personnel with recovery roles.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</si>
  <si>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CP-03: 'Simulated Events' - </t>
    </r>
    <r>
      <rPr>
        <rFont val="FreeSans"/>
        <color theme="1"/>
        <sz val="14.0"/>
      </rPr>
      <t>การอบรมบุคลากรที่มีบทบาทในการกู้คืนระบบ</t>
    </r>
  </si>
  <si>
    <t>ESBIT-CP-03(02)</t>
  </si>
  <si>
    <t>CP-03(02)</t>
  </si>
  <si>
    <t>Contingency Training | Mechanisms Used in Training Environments</t>
  </si>
  <si>
    <t>Not a direct configuration item - enhancement of CP-03 (Contingency Training): 'Mechanisms Used in Training Environments'; contingency training for personnel with recovery roles.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</si>
  <si>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CP-03: 'Mechanisms Used in Training Environments' - </t>
    </r>
    <r>
      <rPr>
        <rFont val="FreeSans"/>
        <color theme="1"/>
        <sz val="14.0"/>
      </rPr>
      <t>การอบรมบุคลากรที่มีบทบาทในการกู้คืนระบบ</t>
    </r>
  </si>
  <si>
    <t>ESBIT-CP-04</t>
  </si>
  <si>
    <t>CP-04</t>
  </si>
  <si>
    <t>Contingency Plan Testing</t>
  </si>
  <si>
    <t>ID.IM-02</t>
  </si>
  <si>
    <t>Improvements are identified from security tests and exercises, including those done in coordination with suppliers and relevant third parties</t>
  </si>
  <si>
    <t>Not a direct configuration item - testing contingency and recovery plans and reviewing results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</si>
  <si>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การทดสอบแผนความต่อเนื่องและทบทวนผล</t>
    </r>
  </si>
  <si>
    <t>ESBIT-CP-04(01)</t>
  </si>
  <si>
    <t>CP-04(01)</t>
  </si>
  <si>
    <t>Contingency Plan Testing | Coordinate with Related Plans</t>
  </si>
  <si>
    <t>Not a direct configuration item - enhancement of CP-04 (Contingency Plan Testing): 'Coordinate with Related Plans'; testing contingency and recovery plans and reviewing results.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</si>
  <si>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CP-04: 'Coordinate with Related Plans' - </t>
    </r>
    <r>
      <rPr>
        <rFont val="FreeSans"/>
        <color theme="1"/>
        <sz val="14.0"/>
      </rPr>
      <t>การทดสอบแผนความต่อเนื่องและทบทวนผล</t>
    </r>
  </si>
  <si>
    <t>ESBIT-CP-04(02)</t>
  </si>
  <si>
    <t>CP-04(02)</t>
  </si>
  <si>
    <t>Contingency Plan Testing | Alternate Processing Site</t>
  </si>
  <si>
    <t>Not a direct configuration item - enhancement of CP-04 (Contingency Plan Testing): 'Alternate Processing Site'; testing contingency and recovery plans and reviewing results.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</si>
  <si>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CP-04: 'Alternate Processing Site' - </t>
    </r>
    <r>
      <rPr>
        <rFont val="FreeSans"/>
        <color theme="1"/>
        <sz val="14.0"/>
      </rPr>
      <t>การทดสอบแผนความต่อเนื่องและทบทวนผล</t>
    </r>
  </si>
  <si>
    <t>ESBIT-CP-04(03)</t>
  </si>
  <si>
    <t>CP-04(03)</t>
  </si>
  <si>
    <t>Contingency Plan Testing | Automated Testing</t>
  </si>
  <si>
    <t>Not a direct configuration item - enhancement of CP-04 (Contingency Plan Testing): 'Automated Testing'; testing contingency and recovery plans and reviewing results.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</si>
  <si>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CP-04: 'Automated Testing' - </t>
    </r>
    <r>
      <rPr>
        <rFont val="FreeSans"/>
        <color theme="1"/>
        <sz val="14.0"/>
      </rPr>
      <t>การทดสอบแผนความต่อเนื่องและทบทวนผล</t>
    </r>
  </si>
  <si>
    <t>ESBIT-CP-04(04)</t>
  </si>
  <si>
    <t>CP-04(04)</t>
  </si>
  <si>
    <t>Contingency Plan Testing | Full Recovery and Reconstitution</t>
  </si>
  <si>
    <t>Not a direct configuration item - enhancement of CP-04 (Contingency Plan Testing): 'Full Recovery and Reconstitution'; testing contingency and recovery plans and reviewing results.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</si>
  <si>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CP-04: 'Full Recovery and Reconstitution' - </t>
    </r>
    <r>
      <rPr>
        <rFont val="FreeSans"/>
        <color theme="1"/>
        <sz val="14.0"/>
      </rPr>
      <t>การทดสอบแผนความต่อเนื่องและทบทวนผล</t>
    </r>
  </si>
  <si>
    <t>ESBIT-CP-04(05)</t>
  </si>
  <si>
    <t>CP-04(05)</t>
  </si>
  <si>
    <t>Contingency Plan Testing | Self-challenge</t>
  </si>
  <si>
    <t>Not a direct configuration item - enhancement of CP-04 (Contingency Plan Testing): 'Self-challenge'; testing contingency and recovery plans and reviewing results.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</si>
  <si>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CP-04: 'Self-challenge' - </t>
    </r>
    <r>
      <rPr>
        <rFont val="FreeSans"/>
        <color theme="1"/>
        <sz val="14.0"/>
      </rPr>
      <t>การทดสอบแผนความต่อเนื่องและทบทวนผล</t>
    </r>
  </si>
  <si>
    <t>ESBIT-CP-06</t>
  </si>
  <si>
    <t>CP-06</t>
  </si>
  <si>
    <t>Alternate Storage Site</t>
  </si>
  <si>
    <t>Configure replication of data to alternate storage site or cloud region with equivalent protection</t>
  </si>
  <si>
    <r>
      <rPr>
        <rFont val="FreeSans"/>
        <color theme="1"/>
        <sz val="14.0"/>
      </rPr>
      <t xml:space="preserve">ตั้งค่าการทำ </t>
    </r>
    <r>
      <rPr>
        <rFont val="Calibri"/>
        <color theme="1"/>
        <sz val="14.0"/>
      </rPr>
      <t xml:space="preserve">Replication </t>
    </r>
    <r>
      <rPr>
        <rFont val="FreeSans"/>
        <color theme="1"/>
        <sz val="14.0"/>
      </rPr>
      <t xml:space="preserve">ข้อมูลไปยัง </t>
    </r>
    <r>
      <rPr>
        <rFont val="Calibri"/>
        <color theme="1"/>
        <sz val="14.0"/>
      </rPr>
      <t xml:space="preserve">Alternate Storage Site </t>
    </r>
    <r>
      <rPr>
        <rFont val="FreeSans"/>
        <color theme="1"/>
        <sz val="14.0"/>
      </rPr>
      <t xml:space="preserve">หรือ </t>
    </r>
    <r>
      <rPr>
        <rFont val="Calibri"/>
        <color theme="1"/>
        <sz val="14.0"/>
      </rPr>
      <t xml:space="preserve">Cloud Region </t>
    </r>
    <r>
      <rPr>
        <rFont val="FreeSans"/>
        <color theme="1"/>
        <sz val="14.0"/>
      </rPr>
      <t>ที่มีการป้องกันเทียบเท่า</t>
    </r>
  </si>
  <si>
    <t>Cloud, Backup/DR/Resilience</t>
  </si>
  <si>
    <t>ESBIT-CP-06(01)</t>
  </si>
  <si>
    <t>CP-06(01)</t>
  </si>
  <si>
    <t>Alternate Storage Site | Separation from Primary Site</t>
  </si>
  <si>
    <t>Enhances CP-06 (Alternate Storage Site): configure and enforce 'Separation from Primary Site' in addition to the base setting, keep it consistent across applicable systems and document approved exceptions. Base scope: Configure replication of data to alternate storage site or cloud region with equivalent protection</t>
  </si>
  <si>
    <r>
      <rPr>
        <rFont val="FreeSans"/>
        <color theme="1"/>
        <sz val="14.0"/>
      </rPr>
      <t xml:space="preserve">ส่วนขยายของ </t>
    </r>
    <r>
      <rPr>
        <rFont val="Calibri"/>
        <color theme="1"/>
        <sz val="14.0"/>
      </rPr>
      <t xml:space="preserve">CP-06: </t>
    </r>
    <r>
      <rPr>
        <rFont val="FreeSans"/>
        <color theme="1"/>
        <sz val="14.0"/>
      </rPr>
      <t xml:space="preserve">กำหนดค่าและบังคับใช้ </t>
    </r>
    <r>
      <rPr>
        <rFont val="Calibri"/>
        <color theme="1"/>
        <sz val="14.0"/>
      </rPr>
      <t xml:space="preserve">'Separation from Primary Site'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ตั้งค่าการทำ </t>
    </r>
    <r>
      <rPr>
        <rFont val="Calibri"/>
        <color theme="1"/>
        <sz val="14.0"/>
      </rPr>
      <t xml:space="preserve">Replication </t>
    </r>
    <r>
      <rPr>
        <rFont val="FreeSans"/>
        <color theme="1"/>
        <sz val="14.0"/>
      </rPr>
      <t xml:space="preserve">ข้อมูลไปยัง </t>
    </r>
    <r>
      <rPr>
        <rFont val="Calibri"/>
        <color theme="1"/>
        <sz val="14.0"/>
      </rPr>
      <t xml:space="preserve">Alternate Storage Site </t>
    </r>
    <r>
      <rPr>
        <rFont val="FreeSans"/>
        <color theme="1"/>
        <sz val="14.0"/>
      </rPr>
      <t xml:space="preserve">หรือ </t>
    </r>
    <r>
      <rPr>
        <rFont val="Calibri"/>
        <color theme="1"/>
        <sz val="14.0"/>
      </rPr>
      <t xml:space="preserve">Cloud Region </t>
    </r>
    <r>
      <rPr>
        <rFont val="FreeSans"/>
        <color theme="1"/>
        <sz val="14.0"/>
      </rPr>
      <t>ที่มีการป้องกันเทียบเท่า</t>
    </r>
  </si>
  <si>
    <t>ESBIT-CP-06(02)</t>
  </si>
  <si>
    <t>CP-06(02)</t>
  </si>
  <si>
    <t>Alternate Storage Site | Recovery Time and Recovery Point Objectives</t>
  </si>
  <si>
    <t>Enhances CP-06 (Alternate Storage Site): configure and enforce 'Recovery Time and Recovery Point Objectives' in addition to the base setting, keep it consistent across applicable systems and document approved exceptions. Base scope: Configure replication of data to alternate storage site or cloud region with equivalent protection</t>
  </si>
  <si>
    <r>
      <rPr>
        <rFont val="FreeSans"/>
        <color theme="1"/>
        <sz val="14.0"/>
      </rPr>
      <t xml:space="preserve">ส่วนขยายของ </t>
    </r>
    <r>
      <rPr>
        <rFont val="Calibri"/>
        <color theme="1"/>
        <sz val="14.0"/>
      </rPr>
      <t xml:space="preserve">CP-06: </t>
    </r>
    <r>
      <rPr>
        <rFont val="FreeSans"/>
        <color theme="1"/>
        <sz val="14.0"/>
      </rPr>
      <t xml:space="preserve">กำหนดค่าและบังคับใช้ </t>
    </r>
    <r>
      <rPr>
        <rFont val="Calibri"/>
        <color theme="1"/>
        <sz val="14.0"/>
      </rPr>
      <t xml:space="preserve">'Recovery Time and Recovery Point Objectives'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ตั้งค่าการทำ </t>
    </r>
    <r>
      <rPr>
        <rFont val="Calibri"/>
        <color theme="1"/>
        <sz val="14.0"/>
      </rPr>
      <t xml:space="preserve">Replication </t>
    </r>
    <r>
      <rPr>
        <rFont val="FreeSans"/>
        <color theme="1"/>
        <sz val="14.0"/>
      </rPr>
      <t xml:space="preserve">ข้อมูลไปยัง </t>
    </r>
    <r>
      <rPr>
        <rFont val="Calibri"/>
        <color theme="1"/>
        <sz val="14.0"/>
      </rPr>
      <t xml:space="preserve">Alternate Storage Site </t>
    </r>
    <r>
      <rPr>
        <rFont val="FreeSans"/>
        <color theme="1"/>
        <sz val="14.0"/>
      </rPr>
      <t xml:space="preserve">หรือ </t>
    </r>
    <r>
      <rPr>
        <rFont val="Calibri"/>
        <color theme="1"/>
        <sz val="14.0"/>
      </rPr>
      <t xml:space="preserve">Cloud Region </t>
    </r>
    <r>
      <rPr>
        <rFont val="FreeSans"/>
        <color theme="1"/>
        <sz val="14.0"/>
      </rPr>
      <t>ที่มีการป้องกันเทียบเท่า</t>
    </r>
  </si>
  <si>
    <t>ESBIT-CP-06(03)</t>
  </si>
  <si>
    <t>CP-06(03)</t>
  </si>
  <si>
    <t>Alternate Storage Site | Accessibility</t>
  </si>
  <si>
    <t>Enhances CP-06 (Alternate Storage Site): configure and enforce 'Accessibility' in addition to the base setting, keep it consistent across applicable systems and document approved exceptions. Base scope: Configure replication of data to alternate storage site or cloud region with equivalent protection</t>
  </si>
  <si>
    <r>
      <rPr>
        <rFont val="FreeSans"/>
        <color theme="1"/>
        <sz val="14.0"/>
      </rPr>
      <t xml:space="preserve">ส่วนขยายของ </t>
    </r>
    <r>
      <rPr>
        <rFont val="Calibri"/>
        <color theme="1"/>
        <sz val="14.0"/>
      </rPr>
      <t xml:space="preserve">CP-06: </t>
    </r>
    <r>
      <rPr>
        <rFont val="FreeSans"/>
        <color theme="1"/>
        <sz val="14.0"/>
      </rPr>
      <t xml:space="preserve">กำหนดค่าและบังคับใช้ </t>
    </r>
    <r>
      <rPr>
        <rFont val="Calibri"/>
        <color theme="1"/>
        <sz val="14.0"/>
      </rPr>
      <t xml:space="preserve">'Accessibility'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ตั้งค่าการทำ </t>
    </r>
    <r>
      <rPr>
        <rFont val="Calibri"/>
        <color theme="1"/>
        <sz val="14.0"/>
      </rPr>
      <t xml:space="preserve">Replication </t>
    </r>
    <r>
      <rPr>
        <rFont val="FreeSans"/>
        <color theme="1"/>
        <sz val="14.0"/>
      </rPr>
      <t xml:space="preserve">ข้อมูลไปยัง </t>
    </r>
    <r>
      <rPr>
        <rFont val="Calibri"/>
        <color theme="1"/>
        <sz val="14.0"/>
      </rPr>
      <t xml:space="preserve">Alternate Storage Site </t>
    </r>
    <r>
      <rPr>
        <rFont val="FreeSans"/>
        <color theme="1"/>
        <sz val="14.0"/>
      </rPr>
      <t xml:space="preserve">หรือ </t>
    </r>
    <r>
      <rPr>
        <rFont val="Calibri"/>
        <color theme="1"/>
        <sz val="14.0"/>
      </rPr>
      <t xml:space="preserve">Cloud Region </t>
    </r>
    <r>
      <rPr>
        <rFont val="FreeSans"/>
        <color theme="1"/>
        <sz val="14.0"/>
      </rPr>
      <t>ที่มีการป้องกันเทียบเท่า</t>
    </r>
  </si>
  <si>
    <t>ESBIT-CP-07</t>
  </si>
  <si>
    <t>CP-07</t>
  </si>
  <si>
    <t>Alternate Processing Site</t>
  </si>
  <si>
    <t>Configure alternate processing site or DR environment with equivalent configuration and failover</t>
  </si>
  <si>
    <r>
      <rPr>
        <rFont val="FreeSans"/>
        <color theme="1"/>
        <sz val="14.0"/>
      </rPr>
      <t xml:space="preserve">ตั้งค่า </t>
    </r>
    <r>
      <rPr>
        <rFont val="Calibri"/>
        <color theme="1"/>
        <sz val="14.0"/>
      </rPr>
      <t xml:space="preserve">DR Site/Alternate Processing Site </t>
    </r>
    <r>
      <rPr>
        <rFont val="FreeSans"/>
        <color theme="1"/>
        <sz val="14.0"/>
      </rPr>
      <t xml:space="preserve">ที่มี </t>
    </r>
    <r>
      <rPr>
        <rFont val="Calibri"/>
        <color theme="1"/>
        <sz val="14.0"/>
      </rPr>
      <t xml:space="preserve">Config </t>
    </r>
    <r>
      <rPr>
        <rFont val="FreeSans"/>
        <color theme="1"/>
        <sz val="14.0"/>
      </rPr>
      <t xml:space="preserve">เทียบเท่าและรองรับ </t>
    </r>
    <r>
      <rPr>
        <rFont val="Calibri"/>
        <color theme="1"/>
        <sz val="14.0"/>
      </rPr>
      <t>Failover</t>
    </r>
  </si>
  <si>
    <t>Infrastructure (Server/OS), Cloud, Network</t>
  </si>
  <si>
    <t>ESBIT-CP-07(01)</t>
  </si>
  <si>
    <t>CP-07(01)</t>
  </si>
  <si>
    <t>Alternate Processing Site | Separation from Primary Site</t>
  </si>
  <si>
    <t>Enhances CP-07 (Alternate Processing Site): configure and enforce 'Separation from Primary Site' in addition to the base setting, keep it consistent across applicable systems and document approved exceptions. Base scope: Configure alternate processing site or DR environment with equivalent configuration and failover</t>
  </si>
  <si>
    <r>
      <rPr>
        <rFont val="FreeSans"/>
        <color theme="1"/>
        <sz val="14.0"/>
      </rPr>
      <t xml:space="preserve">ส่วนขยายของ </t>
    </r>
    <r>
      <rPr>
        <rFont val="Calibri"/>
        <color theme="1"/>
        <sz val="14.0"/>
      </rPr>
      <t xml:space="preserve">CP-07: </t>
    </r>
    <r>
      <rPr>
        <rFont val="FreeSans"/>
        <color theme="1"/>
        <sz val="14.0"/>
      </rPr>
      <t xml:space="preserve">กำหนดค่าและบังคับใช้ </t>
    </r>
    <r>
      <rPr>
        <rFont val="Calibri"/>
        <color theme="1"/>
        <sz val="14.0"/>
      </rPr>
      <t xml:space="preserve">'Separation from Primary Site'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DR Site/Alternate Processing Site </t>
    </r>
    <r>
      <rPr>
        <rFont val="FreeSans"/>
        <color theme="1"/>
        <sz val="14.0"/>
      </rPr>
      <t xml:space="preserve">ที่มี </t>
    </r>
    <r>
      <rPr>
        <rFont val="Calibri"/>
        <color theme="1"/>
        <sz val="14.0"/>
      </rPr>
      <t xml:space="preserve">Config </t>
    </r>
    <r>
      <rPr>
        <rFont val="FreeSans"/>
        <color theme="1"/>
        <sz val="14.0"/>
      </rPr>
      <t xml:space="preserve">เทียบเท่าและรองรับ </t>
    </r>
    <r>
      <rPr>
        <rFont val="Calibri"/>
        <color theme="1"/>
        <sz val="14.0"/>
      </rPr>
      <t>Failover</t>
    </r>
  </si>
  <si>
    <t>ESBIT-CP-07(02)</t>
  </si>
  <si>
    <t>CP-07(02)</t>
  </si>
  <si>
    <t>Alternate Processing Site | Accessibility</t>
  </si>
  <si>
    <t>Enhances CP-07 (Alternate Processing Site): configure and enforce 'Accessibility' in addition to the base setting, keep it consistent across applicable systems and document approved exceptions. Base scope: Configure alternate processing site or DR environment with equivalent configuration and failover</t>
  </si>
  <si>
    <r>
      <rPr>
        <rFont val="FreeSans"/>
        <color theme="1"/>
        <sz val="14.0"/>
      </rPr>
      <t xml:space="preserve">ส่วนขยายของ </t>
    </r>
    <r>
      <rPr>
        <rFont val="Calibri"/>
        <color theme="1"/>
        <sz val="14.0"/>
      </rPr>
      <t xml:space="preserve">CP-07: </t>
    </r>
    <r>
      <rPr>
        <rFont val="FreeSans"/>
        <color theme="1"/>
        <sz val="14.0"/>
      </rPr>
      <t xml:space="preserve">กำหนดค่าและบังคับใช้ </t>
    </r>
    <r>
      <rPr>
        <rFont val="Calibri"/>
        <color theme="1"/>
        <sz val="14.0"/>
      </rPr>
      <t xml:space="preserve">'Accessibility'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DR Site/Alternate Processing Site </t>
    </r>
    <r>
      <rPr>
        <rFont val="FreeSans"/>
        <color theme="1"/>
        <sz val="14.0"/>
      </rPr>
      <t xml:space="preserve">ที่มี </t>
    </r>
    <r>
      <rPr>
        <rFont val="Calibri"/>
        <color theme="1"/>
        <sz val="14.0"/>
      </rPr>
      <t xml:space="preserve">Config </t>
    </r>
    <r>
      <rPr>
        <rFont val="FreeSans"/>
        <color theme="1"/>
        <sz val="14.0"/>
      </rPr>
      <t xml:space="preserve">เทียบเท่าและรองรับ </t>
    </r>
    <r>
      <rPr>
        <rFont val="Calibri"/>
        <color theme="1"/>
        <sz val="14.0"/>
      </rPr>
      <t>Failover</t>
    </r>
  </si>
  <si>
    <t>ESBIT-CP-07(03)</t>
  </si>
  <si>
    <t>CP-07(03)</t>
  </si>
  <si>
    <t>Alternate Processing Site | Priority of Service</t>
  </si>
  <si>
    <t>Enhances CP-07 (Alternate Processing Site): configure and enforce 'Priority of Service' in addition to the base setting, keep it consistent across applicable systems and document approved exceptions. Base scope: Configure alternate processing site or DR environment with equivalent configuration and failover</t>
  </si>
  <si>
    <r>
      <rPr>
        <rFont val="FreeSans"/>
        <color theme="1"/>
        <sz val="14.0"/>
      </rPr>
      <t xml:space="preserve">ส่วนขยายของ </t>
    </r>
    <r>
      <rPr>
        <rFont val="Calibri"/>
        <color theme="1"/>
        <sz val="14.0"/>
      </rPr>
      <t xml:space="preserve">CP-07: </t>
    </r>
    <r>
      <rPr>
        <rFont val="FreeSans"/>
        <color theme="1"/>
        <sz val="14.0"/>
      </rPr>
      <t xml:space="preserve">กำหนดค่าและบังคับใช้ </t>
    </r>
    <r>
      <rPr>
        <rFont val="Calibri"/>
        <color theme="1"/>
        <sz val="14.0"/>
      </rPr>
      <t xml:space="preserve">'Priority of Service'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DR Site/Alternate Processing Site </t>
    </r>
    <r>
      <rPr>
        <rFont val="FreeSans"/>
        <color theme="1"/>
        <sz val="14.0"/>
      </rPr>
      <t xml:space="preserve">ที่มี </t>
    </r>
    <r>
      <rPr>
        <rFont val="Calibri"/>
        <color theme="1"/>
        <sz val="14.0"/>
      </rPr>
      <t xml:space="preserve">Config </t>
    </r>
    <r>
      <rPr>
        <rFont val="FreeSans"/>
        <color theme="1"/>
        <sz val="14.0"/>
      </rPr>
      <t xml:space="preserve">เทียบเท่าและรองรับ </t>
    </r>
    <r>
      <rPr>
        <rFont val="Calibri"/>
        <color theme="1"/>
        <sz val="14.0"/>
      </rPr>
      <t>Failover</t>
    </r>
  </si>
  <si>
    <t>ESBIT-CP-07(04)</t>
  </si>
  <si>
    <t>CP-07(04)</t>
  </si>
  <si>
    <t>Alternate Processing Site | Preparation for Use</t>
  </si>
  <si>
    <t>Enhances CP-07 (Alternate Processing Site): configure and enforce 'Preparation for Use' in addition to the base setting, keep it consistent across applicable systems and document approved exceptions. Base scope: Configure alternate processing site or DR environment with equivalent configuration and failover</t>
  </si>
  <si>
    <r>
      <rPr>
        <rFont val="FreeSans"/>
        <color theme="1"/>
        <sz val="14.0"/>
      </rPr>
      <t xml:space="preserve">ส่วนขยายของ </t>
    </r>
    <r>
      <rPr>
        <rFont val="Calibri"/>
        <color theme="1"/>
        <sz val="14.0"/>
      </rPr>
      <t xml:space="preserve">CP-07: </t>
    </r>
    <r>
      <rPr>
        <rFont val="FreeSans"/>
        <color theme="1"/>
        <sz val="14.0"/>
      </rPr>
      <t xml:space="preserve">กำหนดค่าและบังคับใช้ </t>
    </r>
    <r>
      <rPr>
        <rFont val="Calibri"/>
        <color theme="1"/>
        <sz val="14.0"/>
      </rPr>
      <t xml:space="preserve">'Preparation for Use'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DR Site/Alternate Processing Site </t>
    </r>
    <r>
      <rPr>
        <rFont val="FreeSans"/>
        <color theme="1"/>
        <sz val="14.0"/>
      </rPr>
      <t xml:space="preserve">ที่มี </t>
    </r>
    <r>
      <rPr>
        <rFont val="Calibri"/>
        <color theme="1"/>
        <sz val="14.0"/>
      </rPr>
      <t xml:space="preserve">Config </t>
    </r>
    <r>
      <rPr>
        <rFont val="FreeSans"/>
        <color theme="1"/>
        <sz val="14.0"/>
      </rPr>
      <t xml:space="preserve">เทียบเท่าและรองรับ </t>
    </r>
    <r>
      <rPr>
        <rFont val="Calibri"/>
        <color theme="1"/>
        <sz val="14.0"/>
      </rPr>
      <t>Failover</t>
    </r>
  </si>
  <si>
    <t>ESBIT-CP-07(06)</t>
  </si>
  <si>
    <t>CP-07(06)</t>
  </si>
  <si>
    <t>Alternate Processing Site | Inability to Return to Primary Site</t>
  </si>
  <si>
    <t>Enhances CP-07 (Alternate Processing Site): configure and enforce 'Inability to Return to Primary Site' in addition to the base setting, keep it consistent across applicable systems and document approved exceptions. Base scope: Configure alternate processing site or DR environment with equivalent configuration and failover</t>
  </si>
  <si>
    <r>
      <rPr>
        <rFont val="FreeSans"/>
        <color theme="1"/>
        <sz val="14.0"/>
      </rPr>
      <t xml:space="preserve">ส่วนขยายของ </t>
    </r>
    <r>
      <rPr>
        <rFont val="Calibri"/>
        <color theme="1"/>
        <sz val="14.0"/>
      </rPr>
      <t xml:space="preserve">CP-07: </t>
    </r>
    <r>
      <rPr>
        <rFont val="FreeSans"/>
        <color theme="1"/>
        <sz val="14.0"/>
      </rPr>
      <t xml:space="preserve">กำหนดค่าและบังคับใช้ </t>
    </r>
    <r>
      <rPr>
        <rFont val="Calibri"/>
        <color theme="1"/>
        <sz val="14.0"/>
      </rPr>
      <t xml:space="preserve">'Inability to Return to Primary Site'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DR Site/Alternate Processing Site </t>
    </r>
    <r>
      <rPr>
        <rFont val="FreeSans"/>
        <color theme="1"/>
        <sz val="14.0"/>
      </rPr>
      <t xml:space="preserve">ที่มี </t>
    </r>
    <r>
      <rPr>
        <rFont val="Calibri"/>
        <color theme="1"/>
        <sz val="14.0"/>
      </rPr>
      <t xml:space="preserve">Config </t>
    </r>
    <r>
      <rPr>
        <rFont val="FreeSans"/>
        <color theme="1"/>
        <sz val="14.0"/>
      </rPr>
      <t xml:space="preserve">เทียบเท่าและรองรับ </t>
    </r>
    <r>
      <rPr>
        <rFont val="Calibri"/>
        <color theme="1"/>
        <sz val="14.0"/>
      </rPr>
      <t>Failover</t>
    </r>
  </si>
  <si>
    <t>ESBIT-CP-08</t>
  </si>
  <si>
    <t>CP-08</t>
  </si>
  <si>
    <t>Telecommunications Services</t>
  </si>
  <si>
    <t>Configure redundant links, carriers and routing failover for critical telecommunications</t>
  </si>
  <si>
    <r>
      <rPr>
        <rFont val="FreeSans"/>
        <color theme="1"/>
        <sz val="14.0"/>
      </rPr>
      <t xml:space="preserve">ตั้งค่าลิงก์สำรอง ผู้ให้บริการสำรอง และ </t>
    </r>
    <r>
      <rPr>
        <rFont val="Calibri"/>
        <color theme="1"/>
        <sz val="14.0"/>
      </rPr>
      <t xml:space="preserve">Routing Failover </t>
    </r>
    <r>
      <rPr>
        <rFont val="FreeSans"/>
        <color theme="1"/>
        <sz val="14.0"/>
      </rPr>
      <t>สำหรับการสื่อสารสำคัญ</t>
    </r>
  </si>
  <si>
    <t>ESBIT-CP-08(01)</t>
  </si>
  <si>
    <t>CP-08(01)</t>
  </si>
  <si>
    <t>Telecommunications Services | Priority of Service Provisions</t>
  </si>
  <si>
    <t>Enhances CP-08 (Telecommunications Services): configure and enforce 'Priority of Service Provisions' in addition to the base setting, keep it consistent across applicable systems and document approved exceptions. Base scope: Configure redundant links, carriers and routing failover for critical telecommunications</t>
  </si>
  <si>
    <r>
      <rPr>
        <rFont val="FreeSans"/>
        <color theme="1"/>
        <sz val="14.0"/>
      </rPr>
      <t xml:space="preserve">ส่วนขยายของ </t>
    </r>
    <r>
      <rPr>
        <rFont val="Calibri"/>
        <color theme="1"/>
        <sz val="14.0"/>
      </rPr>
      <t xml:space="preserve">CP-08: </t>
    </r>
    <r>
      <rPr>
        <rFont val="FreeSans"/>
        <color theme="1"/>
        <sz val="14.0"/>
      </rPr>
      <t xml:space="preserve">กำหนดค่าและบังคับใช้ </t>
    </r>
    <r>
      <rPr>
        <rFont val="Calibri"/>
        <color theme="1"/>
        <sz val="14.0"/>
      </rPr>
      <t xml:space="preserve">'Priority of Service Provisions'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ตั้งค่าลิงก์สำรอง ผู้ให้บริการสำรอง และ </t>
    </r>
    <r>
      <rPr>
        <rFont val="Calibri"/>
        <color theme="1"/>
        <sz val="14.0"/>
      </rPr>
      <t xml:space="preserve">Routing Failover </t>
    </r>
    <r>
      <rPr>
        <rFont val="FreeSans"/>
        <color theme="1"/>
        <sz val="14.0"/>
      </rPr>
      <t>สำหรับการสื่อสารสำคัญ</t>
    </r>
  </si>
  <si>
    <t>ESBIT-CP-08(02)</t>
  </si>
  <si>
    <t>CP-08(02)</t>
  </si>
  <si>
    <t>Telecommunications Services | Single Points of Failure</t>
  </si>
  <si>
    <t>Enhances CP-08 (Telecommunications Services): configure and enforce 'Single Points of Failure' in addition to the base setting, keep it consistent across applicable systems and document approved exceptions. Base scope: Configure redundant links, carriers and routing failover for critical telecommunications</t>
  </si>
  <si>
    <r>
      <rPr>
        <rFont val="FreeSans"/>
        <color theme="1"/>
        <sz val="14.0"/>
      </rPr>
      <t xml:space="preserve">ส่วนขยายของ </t>
    </r>
    <r>
      <rPr>
        <rFont val="Calibri"/>
        <color theme="1"/>
        <sz val="14.0"/>
      </rPr>
      <t xml:space="preserve">CP-08: </t>
    </r>
    <r>
      <rPr>
        <rFont val="FreeSans"/>
        <color theme="1"/>
        <sz val="14.0"/>
      </rPr>
      <t xml:space="preserve">กำหนดค่าและบังคับใช้ </t>
    </r>
    <r>
      <rPr>
        <rFont val="Calibri"/>
        <color theme="1"/>
        <sz val="14.0"/>
      </rPr>
      <t xml:space="preserve">'Single Points of Failure'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ตั้งค่าลิงก์สำรอง ผู้ให้บริการสำรอง และ </t>
    </r>
    <r>
      <rPr>
        <rFont val="Calibri"/>
        <color theme="1"/>
        <sz val="14.0"/>
      </rPr>
      <t xml:space="preserve">Routing Failover </t>
    </r>
    <r>
      <rPr>
        <rFont val="FreeSans"/>
        <color theme="1"/>
        <sz val="14.0"/>
      </rPr>
      <t>สำหรับการสื่อสารสำคัญ</t>
    </r>
  </si>
  <si>
    <t>ESBIT-CP-08(03)</t>
  </si>
  <si>
    <t>CP-08(03)</t>
  </si>
  <si>
    <t>Telecommunications Services | Separation of Primary and Alternate Providers</t>
  </si>
  <si>
    <t>Enhances CP-08 (Telecommunications Services): configure and enforce 'Separation of Primary and Alternate Providers' in addition to the base setting, keep it consistent across applicable systems and document approved exceptions. Base scope: Configure redundant links, carriers and routing failover for critical telecommunications</t>
  </si>
  <si>
    <r>
      <rPr>
        <rFont val="FreeSans"/>
        <color theme="1"/>
        <sz val="14.0"/>
      </rPr>
      <t xml:space="preserve">ส่วนขยายของ </t>
    </r>
    <r>
      <rPr>
        <rFont val="Calibri"/>
        <color theme="1"/>
        <sz val="14.0"/>
      </rPr>
      <t xml:space="preserve">CP-08: </t>
    </r>
    <r>
      <rPr>
        <rFont val="FreeSans"/>
        <color theme="1"/>
        <sz val="14.0"/>
      </rPr>
      <t xml:space="preserve">กำหนดค่าและบังคับใช้ </t>
    </r>
    <r>
      <rPr>
        <rFont val="Calibri"/>
        <color theme="1"/>
        <sz val="14.0"/>
      </rPr>
      <t xml:space="preserve">'Separation of Primary and Alternate Providers'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ตั้งค่าลิงก์สำรอง ผู้ให้บริการสำรอง และ </t>
    </r>
    <r>
      <rPr>
        <rFont val="Calibri"/>
        <color theme="1"/>
        <sz val="14.0"/>
      </rPr>
      <t xml:space="preserve">Routing Failover </t>
    </r>
    <r>
      <rPr>
        <rFont val="FreeSans"/>
        <color theme="1"/>
        <sz val="14.0"/>
      </rPr>
      <t>สำหรับการสื่อสารสำคัญ</t>
    </r>
  </si>
  <si>
    <t>ESBIT-CP-08(04)</t>
  </si>
  <si>
    <t>CP-08(04)</t>
  </si>
  <si>
    <t>Telecommunications Services | Provider Contingency Plan</t>
  </si>
  <si>
    <t>Enhances CP-08 (Telecommunications Services): configure and enforce 'Provider Contingency Plan' in addition to the base setting, keep it consistent across applicable systems and document approved exceptions. Base scope: Configure redundant links, carriers and routing failover for critical telecommunications</t>
  </si>
  <si>
    <r>
      <rPr>
        <rFont val="FreeSans"/>
        <color theme="1"/>
        <sz val="14.0"/>
      </rPr>
      <t xml:space="preserve">ส่วนขยายของ </t>
    </r>
    <r>
      <rPr>
        <rFont val="Calibri"/>
        <color theme="1"/>
        <sz val="14.0"/>
      </rPr>
      <t xml:space="preserve">CP-08: </t>
    </r>
    <r>
      <rPr>
        <rFont val="FreeSans"/>
        <color theme="1"/>
        <sz val="14.0"/>
      </rPr>
      <t xml:space="preserve">กำหนดค่าและบังคับใช้ </t>
    </r>
    <r>
      <rPr>
        <rFont val="Calibri"/>
        <color theme="1"/>
        <sz val="14.0"/>
      </rPr>
      <t xml:space="preserve">'Provider Contingency Plan'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ตั้งค่าลิงก์สำรอง ผู้ให้บริการสำรอง และ </t>
    </r>
    <r>
      <rPr>
        <rFont val="Calibri"/>
        <color theme="1"/>
        <sz val="14.0"/>
      </rPr>
      <t xml:space="preserve">Routing Failover </t>
    </r>
    <r>
      <rPr>
        <rFont val="FreeSans"/>
        <color theme="1"/>
        <sz val="14.0"/>
      </rPr>
      <t>สำหรับการสื่อสารสำคัญ</t>
    </r>
  </si>
  <si>
    <t>ESBIT-CP-08(05)</t>
  </si>
  <si>
    <t>CP-08(05)</t>
  </si>
  <si>
    <t>Telecommunications Services | Alternate Telecommunication Service Testing</t>
  </si>
  <si>
    <t>Enhances CP-08 (Telecommunications Services): configure and enforce 'Alternate Telecommunication Service Testing' in addition to the base setting, keep it consistent across applicable systems and document approved exceptions. Base scope: Configure redundant links, carriers and routing failover for critical telecommunications</t>
  </si>
  <si>
    <r>
      <rPr>
        <rFont val="FreeSans"/>
        <color theme="1"/>
        <sz val="14.0"/>
      </rPr>
      <t xml:space="preserve">ส่วนขยายของ </t>
    </r>
    <r>
      <rPr>
        <rFont val="Calibri"/>
        <color theme="1"/>
        <sz val="14.0"/>
      </rPr>
      <t xml:space="preserve">CP-08: </t>
    </r>
    <r>
      <rPr>
        <rFont val="FreeSans"/>
        <color theme="1"/>
        <sz val="14.0"/>
      </rPr>
      <t xml:space="preserve">กำหนดค่าและบังคับใช้ </t>
    </r>
    <r>
      <rPr>
        <rFont val="Calibri"/>
        <color theme="1"/>
        <sz val="14.0"/>
      </rPr>
      <t xml:space="preserve">'Alternate Telecommunication Service Testing'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ตั้งค่าลิงก์สำรอง ผู้ให้บริการสำรอง และ </t>
    </r>
    <r>
      <rPr>
        <rFont val="Calibri"/>
        <color theme="1"/>
        <sz val="14.0"/>
      </rPr>
      <t xml:space="preserve">Routing Failover </t>
    </r>
    <r>
      <rPr>
        <rFont val="FreeSans"/>
        <color theme="1"/>
        <sz val="14.0"/>
      </rPr>
      <t>สำหรับการสื่อสารสำคัญ</t>
    </r>
  </si>
  <si>
    <t>ESBIT-CP-09</t>
  </si>
  <si>
    <t>CP-09</t>
  </si>
  <si>
    <t>System Backup</t>
  </si>
  <si>
    <t>Configure backup schedule, scope, encryption, offsite/immutable copies and restore testing for systems and databases</t>
  </si>
  <si>
    <r>
      <rPr>
        <rFont val="FreeSans"/>
        <color theme="1"/>
        <sz val="14.0"/>
      </rPr>
      <t xml:space="preserve">ตั้งค่าตารางสำรอง ขอบเขต การเข้ารหัส สำเนา </t>
    </r>
    <r>
      <rPr>
        <rFont val="Calibri"/>
        <color theme="1"/>
        <sz val="14.0"/>
      </rPr>
      <t xml:space="preserve">Offsite/Immutable </t>
    </r>
    <r>
      <rPr>
        <rFont val="FreeSans"/>
        <color theme="1"/>
        <sz val="14.0"/>
      </rPr>
      <t xml:space="preserve">และทดสอบกู้คืนสำหรับระบบและ </t>
    </r>
    <r>
      <rPr>
        <rFont val="Calibri"/>
        <color theme="1"/>
        <sz val="14.0"/>
      </rPr>
      <t>DB</t>
    </r>
  </si>
  <si>
    <t>Database, Infrastructure (Server/OS), Cloud, Backup/DR/Resilience</t>
  </si>
  <si>
    <t>ESBIT-CP-09(01)</t>
  </si>
  <si>
    <t>CP-09(01)</t>
  </si>
  <si>
    <t>System Backup | Testing for Reliability and Integrity</t>
  </si>
  <si>
    <t>Enhances CP-09 (System Backup): configure and enforce 'Testing for Reliability and Integrity' in addition to the base setting, keep it consistent across applicable systems and document approved exceptions. Base scope: Configure backup schedule, scope, encryption, offsite/immutable copies and restore testing for systems and databases</t>
  </si>
  <si>
    <r>
      <rPr>
        <rFont val="FreeSans"/>
        <color theme="1"/>
        <sz val="14.0"/>
      </rPr>
      <t xml:space="preserve">ส่วนขยายของ </t>
    </r>
    <r>
      <rPr>
        <rFont val="Calibri"/>
        <color theme="1"/>
        <sz val="14.0"/>
      </rPr>
      <t xml:space="preserve">CP-09: </t>
    </r>
    <r>
      <rPr>
        <rFont val="FreeSans"/>
        <color theme="1"/>
        <sz val="14.0"/>
      </rPr>
      <t xml:space="preserve">กำหนดค่าและบังคับใช้ </t>
    </r>
    <r>
      <rPr>
        <rFont val="Calibri"/>
        <color theme="1"/>
        <sz val="14.0"/>
      </rPr>
      <t xml:space="preserve">'Testing for Reliability and Integrity'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ตั้งค่าตารางสำรอง ขอบเขต การเข้ารหัส สำเนา </t>
    </r>
    <r>
      <rPr>
        <rFont val="Calibri"/>
        <color theme="1"/>
        <sz val="14.0"/>
      </rPr>
      <t xml:space="preserve">Offsite/Immutable </t>
    </r>
    <r>
      <rPr>
        <rFont val="FreeSans"/>
        <color theme="1"/>
        <sz val="14.0"/>
      </rPr>
      <t xml:space="preserve">และทดสอบกู้คืนสำหรับระบบและ </t>
    </r>
    <r>
      <rPr>
        <rFont val="Calibri"/>
        <color theme="1"/>
        <sz val="14.0"/>
      </rPr>
      <t>DB</t>
    </r>
  </si>
  <si>
    <t>ESBIT-CP-09(02)</t>
  </si>
  <si>
    <t>CP-09(02)</t>
  </si>
  <si>
    <t>System Backup | Test Restoration Using Sampling</t>
  </si>
  <si>
    <t>Enhances CP-09 (System Backup): configure and enforce 'Test Restoration Using Sampling' in addition to the base setting, keep it consistent across applicable systems and document approved exceptions. Base scope: Configure backup schedule, scope, encryption, offsite/immutable copies and restore testing for systems and databases</t>
  </si>
  <si>
    <r>
      <rPr>
        <rFont val="FreeSans"/>
        <color theme="1"/>
        <sz val="14.0"/>
      </rPr>
      <t xml:space="preserve">ส่วนขยายของ </t>
    </r>
    <r>
      <rPr>
        <rFont val="Calibri"/>
        <color theme="1"/>
        <sz val="14.0"/>
      </rPr>
      <t xml:space="preserve">CP-09: </t>
    </r>
    <r>
      <rPr>
        <rFont val="FreeSans"/>
        <color theme="1"/>
        <sz val="14.0"/>
      </rPr>
      <t xml:space="preserve">กำหนดค่าและบังคับใช้ </t>
    </r>
    <r>
      <rPr>
        <rFont val="Calibri"/>
        <color theme="1"/>
        <sz val="14.0"/>
      </rPr>
      <t xml:space="preserve">'Test Restoration Using Sampling'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ตั้งค่าตารางสำรอง ขอบเขต การเข้ารหัส สำเนา </t>
    </r>
    <r>
      <rPr>
        <rFont val="Calibri"/>
        <color theme="1"/>
        <sz val="14.0"/>
      </rPr>
      <t xml:space="preserve">Offsite/Immutable </t>
    </r>
    <r>
      <rPr>
        <rFont val="FreeSans"/>
        <color theme="1"/>
        <sz val="14.0"/>
      </rPr>
      <t xml:space="preserve">และทดสอบกู้คืนสำหรับระบบและ </t>
    </r>
    <r>
      <rPr>
        <rFont val="Calibri"/>
        <color theme="1"/>
        <sz val="14.0"/>
      </rPr>
      <t>DB</t>
    </r>
  </si>
  <si>
    <t>ESBIT-CP-09(03)</t>
  </si>
  <si>
    <t>CP-09(03)</t>
  </si>
  <si>
    <t>System Backup | Separate Storage for Critical Information</t>
  </si>
  <si>
    <t>Enhances CP-09 (System Backup): configure and enforce 'Separate Storage for Critical Information' in addition to the base setting, keep it consistent across applicable systems and document approved exceptions. Base scope: Configure backup schedule, scope, encryption, offsite/immutable copies and restore testing for systems and databases</t>
  </si>
  <si>
    <r>
      <rPr>
        <rFont val="FreeSans"/>
        <color theme="1"/>
        <sz val="14.0"/>
      </rPr>
      <t xml:space="preserve">ส่วนขยายของ </t>
    </r>
    <r>
      <rPr>
        <rFont val="Calibri"/>
        <color theme="1"/>
        <sz val="14.0"/>
      </rPr>
      <t xml:space="preserve">CP-09: </t>
    </r>
    <r>
      <rPr>
        <rFont val="FreeSans"/>
        <color theme="1"/>
        <sz val="14.0"/>
      </rPr>
      <t xml:space="preserve">กำหนดค่าและบังคับใช้ </t>
    </r>
    <r>
      <rPr>
        <rFont val="Calibri"/>
        <color theme="1"/>
        <sz val="14.0"/>
      </rPr>
      <t xml:space="preserve">'Separate Storage for Critical Information'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ตั้งค่าตารางสำรอง ขอบเขต การเข้ารหัส สำเนา </t>
    </r>
    <r>
      <rPr>
        <rFont val="Calibri"/>
        <color theme="1"/>
        <sz val="14.0"/>
      </rPr>
      <t xml:space="preserve">Offsite/Immutable </t>
    </r>
    <r>
      <rPr>
        <rFont val="FreeSans"/>
        <color theme="1"/>
        <sz val="14.0"/>
      </rPr>
      <t xml:space="preserve">และทดสอบกู้คืนสำหรับระบบและ </t>
    </r>
    <r>
      <rPr>
        <rFont val="Calibri"/>
        <color theme="1"/>
        <sz val="14.0"/>
      </rPr>
      <t>DB</t>
    </r>
  </si>
  <si>
    <t>ESBIT-CP-09(05)</t>
  </si>
  <si>
    <t>CP-09(05)</t>
  </si>
  <si>
    <t>System Backup | Transfer to Alternate Storage Site</t>
  </si>
  <si>
    <t>Enhances CP-09 (System Backup): configure and enforce 'Transfer to Alternate Storage Site' in addition to the base setting, keep it consistent across applicable systems and document approved exceptions. Base scope: Configure backup schedule, scope, encryption, offsite/immutable copies and restore testing for systems and databases</t>
  </si>
  <si>
    <r>
      <rPr>
        <rFont val="FreeSans"/>
        <color theme="1"/>
        <sz val="14.0"/>
      </rPr>
      <t xml:space="preserve">ส่วนขยายของ </t>
    </r>
    <r>
      <rPr>
        <rFont val="Calibri"/>
        <color theme="1"/>
        <sz val="14.0"/>
      </rPr>
      <t xml:space="preserve">CP-09: </t>
    </r>
    <r>
      <rPr>
        <rFont val="FreeSans"/>
        <color theme="1"/>
        <sz val="14.0"/>
      </rPr>
      <t xml:space="preserve">กำหนดค่าและบังคับใช้ </t>
    </r>
    <r>
      <rPr>
        <rFont val="Calibri"/>
        <color theme="1"/>
        <sz val="14.0"/>
      </rPr>
      <t xml:space="preserve">'Transfer to Alternate Storage Site'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ตั้งค่าตารางสำรอง ขอบเขต การเข้ารหัส สำเนา </t>
    </r>
    <r>
      <rPr>
        <rFont val="Calibri"/>
        <color theme="1"/>
        <sz val="14.0"/>
      </rPr>
      <t xml:space="preserve">Offsite/Immutable </t>
    </r>
    <r>
      <rPr>
        <rFont val="FreeSans"/>
        <color theme="1"/>
        <sz val="14.0"/>
      </rPr>
      <t xml:space="preserve">และทดสอบกู้คืนสำหรับระบบและ </t>
    </r>
    <r>
      <rPr>
        <rFont val="Calibri"/>
        <color theme="1"/>
        <sz val="14.0"/>
      </rPr>
      <t>DB</t>
    </r>
  </si>
  <si>
    <t>ESBIT-CP-09(06)</t>
  </si>
  <si>
    <t>CP-09(06)</t>
  </si>
  <si>
    <t>System Backup | Redundant Secondary System</t>
  </si>
  <si>
    <t>Enhances CP-09 (System Backup): configure and enforce 'Redundant Secondary System' in addition to the base setting, keep it consistent across applicable systems and document approved exceptions. Base scope: Configure backup schedule, scope, encryption, offsite/immutable copies and restore testing for systems and databases</t>
  </si>
  <si>
    <r>
      <rPr>
        <rFont val="FreeSans"/>
        <color theme="1"/>
        <sz val="14.0"/>
      </rPr>
      <t xml:space="preserve">ส่วนขยายของ </t>
    </r>
    <r>
      <rPr>
        <rFont val="Calibri"/>
        <color theme="1"/>
        <sz val="14.0"/>
      </rPr>
      <t xml:space="preserve">CP-09: </t>
    </r>
    <r>
      <rPr>
        <rFont val="FreeSans"/>
        <color theme="1"/>
        <sz val="14.0"/>
      </rPr>
      <t xml:space="preserve">กำหนดค่าและบังคับใช้ </t>
    </r>
    <r>
      <rPr>
        <rFont val="Calibri"/>
        <color theme="1"/>
        <sz val="14.0"/>
      </rPr>
      <t xml:space="preserve">'Redundant Secondary System'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ตั้งค่าตารางสำรอง ขอบเขต การเข้ารหัส สำเนา </t>
    </r>
    <r>
      <rPr>
        <rFont val="Calibri"/>
        <color theme="1"/>
        <sz val="14.0"/>
      </rPr>
      <t xml:space="preserve">Offsite/Immutable </t>
    </r>
    <r>
      <rPr>
        <rFont val="FreeSans"/>
        <color theme="1"/>
        <sz val="14.0"/>
      </rPr>
      <t xml:space="preserve">และทดสอบกู้คืนสำหรับระบบและ </t>
    </r>
    <r>
      <rPr>
        <rFont val="Calibri"/>
        <color theme="1"/>
        <sz val="14.0"/>
      </rPr>
      <t>DB</t>
    </r>
  </si>
  <si>
    <t>ESBIT-CP-09(07)</t>
  </si>
  <si>
    <t>CP-09(07)</t>
  </si>
  <si>
    <t>System Backup | Dual Authorization for Deletion or Destruction</t>
  </si>
  <si>
    <t>Enhances CP-09 (System Backup): configure and enforce 'Dual Authorization for Deletion or Destruction' in addition to the base setting, keep it consistent across applicable systems and document approved exceptions. Base scope: Configure backup schedule, scope, encryption, offsite/immutable copies and restore testing for systems and databases</t>
  </si>
  <si>
    <r>
      <rPr>
        <rFont val="FreeSans"/>
        <color theme="1"/>
        <sz val="14.0"/>
      </rPr>
      <t xml:space="preserve">ส่วนขยายของ </t>
    </r>
    <r>
      <rPr>
        <rFont val="Calibri"/>
        <color theme="1"/>
        <sz val="14.0"/>
      </rPr>
      <t xml:space="preserve">CP-09: </t>
    </r>
    <r>
      <rPr>
        <rFont val="FreeSans"/>
        <color theme="1"/>
        <sz val="14.0"/>
      </rPr>
      <t xml:space="preserve">กำหนดค่าและบังคับใช้ </t>
    </r>
    <r>
      <rPr>
        <rFont val="Calibri"/>
        <color theme="1"/>
        <sz val="14.0"/>
      </rPr>
      <t xml:space="preserve">'Dual Authorization for Deletion or Destruction'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ตั้งค่าตารางสำรอง ขอบเขต การเข้ารหัส สำเนา </t>
    </r>
    <r>
      <rPr>
        <rFont val="Calibri"/>
        <color theme="1"/>
        <sz val="14.0"/>
      </rPr>
      <t xml:space="preserve">Offsite/Immutable </t>
    </r>
    <r>
      <rPr>
        <rFont val="FreeSans"/>
        <color theme="1"/>
        <sz val="14.0"/>
      </rPr>
      <t xml:space="preserve">และทดสอบกู้คืนสำหรับระบบและ </t>
    </r>
    <r>
      <rPr>
        <rFont val="Calibri"/>
        <color theme="1"/>
        <sz val="14.0"/>
      </rPr>
      <t>DB</t>
    </r>
  </si>
  <si>
    <t>ESBIT-CP-09(08)</t>
  </si>
  <si>
    <t>CP-09(08)</t>
  </si>
  <si>
    <t>System Backup | Cryptographic Protection</t>
  </si>
  <si>
    <t>Enhances CP-09 (System Backup): configure and enforce 'Cryptographic Protection' in addition to the base setting, keep it consistent across applicable systems and document approved exceptions. Base scope: Configure backup schedule, scope, encryption, offsite/immutable copies and restore testing for systems and databases</t>
  </si>
  <si>
    <r>
      <rPr>
        <rFont val="FreeSans"/>
        <color theme="1"/>
        <sz val="14.0"/>
      </rPr>
      <t xml:space="preserve">ส่วนขยายของ </t>
    </r>
    <r>
      <rPr>
        <rFont val="Calibri"/>
        <color theme="1"/>
        <sz val="14.0"/>
      </rPr>
      <t xml:space="preserve">CP-09: </t>
    </r>
    <r>
      <rPr>
        <rFont val="FreeSans"/>
        <color theme="1"/>
        <sz val="14.0"/>
      </rPr>
      <t xml:space="preserve">กำหนดค่าและบังคับใช้ </t>
    </r>
    <r>
      <rPr>
        <rFont val="Calibri"/>
        <color theme="1"/>
        <sz val="14.0"/>
      </rPr>
      <t xml:space="preserve">'Cryptographic Protection'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ตั้งค่าตารางสำรอง ขอบเขต การเข้ารหัส สำเนา </t>
    </r>
    <r>
      <rPr>
        <rFont val="Calibri"/>
        <color theme="1"/>
        <sz val="14.0"/>
      </rPr>
      <t xml:space="preserve">Offsite/Immutable </t>
    </r>
    <r>
      <rPr>
        <rFont val="FreeSans"/>
        <color theme="1"/>
        <sz val="14.0"/>
      </rPr>
      <t xml:space="preserve">และทดสอบกู้คืนสำหรับระบบและ </t>
    </r>
    <r>
      <rPr>
        <rFont val="Calibri"/>
        <color theme="1"/>
        <sz val="14.0"/>
      </rPr>
      <t>DB</t>
    </r>
  </si>
  <si>
    <t>ESBIT-CP-10</t>
  </si>
  <si>
    <t>CP-10</t>
  </si>
  <si>
    <t>System Recovery and Reconstitution</t>
  </si>
  <si>
    <t>RC.RP - Incident Recovery Plan Execution</t>
  </si>
  <si>
    <t>RC.RP-05</t>
  </si>
  <si>
    <t>The integrity of restored assets is verified, systems and services are restored, and normal operating status is confirmed</t>
  </si>
  <si>
    <t>Configure recovery procedures, automation and known secure state for restoring systems and transactions</t>
  </si>
  <si>
    <t>ตั้งค่าขั้นตอนและระบบอัตโนมัติสำหรับกู้คืนระบบให้กลับสู่สถานะปลอดภัยที่ทราบ</t>
  </si>
  <si>
    <t>Infrastructure (Server/OS), Database, Backup/DR/Resilience</t>
  </si>
  <si>
    <t>ESBIT-CP-10(02)</t>
  </si>
  <si>
    <t>CP-10(02)</t>
  </si>
  <si>
    <t>System Recovery and Reconstitution | Transaction Recovery</t>
  </si>
  <si>
    <t>Enhances CP-10 (System Recovery and Reconstitution): configure and enforce 'Transaction Recovery' in addition to the base setting, keep it consistent across applicable systems and document approved exceptions. Base scope: Configure recovery procedures, automation and known secure state for restoring systems and transactions</t>
  </si>
  <si>
    <r>
      <rPr>
        <rFont val="FreeSans"/>
        <color theme="1"/>
        <sz val="14.0"/>
      </rPr>
      <t xml:space="preserve">ส่วนขยายของ </t>
    </r>
    <r>
      <rPr>
        <rFont val="Calibri"/>
        <color theme="1"/>
        <sz val="14.0"/>
      </rPr>
      <t xml:space="preserve">CP-10: </t>
    </r>
    <r>
      <rPr>
        <rFont val="FreeSans"/>
        <color theme="1"/>
        <sz val="14.0"/>
      </rPr>
      <t xml:space="preserve">กำหนดค่าและบังคับใช้ </t>
    </r>
    <r>
      <rPr>
        <rFont val="Calibri"/>
        <color theme="1"/>
        <sz val="14.0"/>
      </rPr>
      <t xml:space="preserve">'Transaction Recovery'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ตั้งค่าขั้นตอนและระบบอัตโนมัติสำหรับกู้คืนระบบให้กลับสู่สถานะปลอดภัยที่ทราบ</t>
    </r>
  </si>
  <si>
    <t>ESBIT-CP-10(04)</t>
  </si>
  <si>
    <t>CP-10(04)</t>
  </si>
  <si>
    <t>System Recovery and Reconstitution | Restore Within Time Period</t>
  </si>
  <si>
    <t>Enhances CP-10 (System Recovery and Reconstitution): configure and enforce 'Restore Within Time Period' in addition to the base setting, keep it consistent across applicable systems and document approved exceptions. Base scope: Configure recovery procedures, automation and known secure state for restoring systems and transactions</t>
  </si>
  <si>
    <r>
      <rPr>
        <rFont val="FreeSans"/>
        <color theme="1"/>
        <sz val="14.0"/>
      </rPr>
      <t xml:space="preserve">ส่วนขยายของ </t>
    </r>
    <r>
      <rPr>
        <rFont val="Calibri"/>
        <color theme="1"/>
        <sz val="14.0"/>
      </rPr>
      <t xml:space="preserve">CP-10: </t>
    </r>
    <r>
      <rPr>
        <rFont val="FreeSans"/>
        <color theme="1"/>
        <sz val="14.0"/>
      </rPr>
      <t xml:space="preserve">กำหนดค่าและบังคับใช้ </t>
    </r>
    <r>
      <rPr>
        <rFont val="Calibri"/>
        <color theme="1"/>
        <sz val="14.0"/>
      </rPr>
      <t xml:space="preserve">'Restore Within Time Period'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ตั้งค่าขั้นตอนและระบบอัตโนมัติสำหรับกู้คืนระบบให้กลับสู่สถานะปลอดภัยที่ทราบ</t>
    </r>
  </si>
  <si>
    <t>ESBIT-CP-10(06)</t>
  </si>
  <si>
    <t>CP-10(06)</t>
  </si>
  <si>
    <t>System Recovery and Reconstitution | Component Protection</t>
  </si>
  <si>
    <t>Enhances CP-10 (System Recovery and Reconstitution): configure and enforce 'Component Protection' in addition to the base setting, keep it consistent across applicable systems and document approved exceptions. Base scope: Configure recovery procedures, automation and known secure state for restoring systems and transactions</t>
  </si>
  <si>
    <r>
      <rPr>
        <rFont val="FreeSans"/>
        <color theme="1"/>
        <sz val="14.0"/>
      </rPr>
      <t xml:space="preserve">ส่วนขยายของ </t>
    </r>
    <r>
      <rPr>
        <rFont val="Calibri"/>
        <color theme="1"/>
        <sz val="14.0"/>
      </rPr>
      <t xml:space="preserve">CP-10: </t>
    </r>
    <r>
      <rPr>
        <rFont val="FreeSans"/>
        <color theme="1"/>
        <sz val="14.0"/>
      </rPr>
      <t xml:space="preserve">กำหนดค่าและบังคับใช้ </t>
    </r>
    <r>
      <rPr>
        <rFont val="Calibri"/>
        <color theme="1"/>
        <sz val="14.0"/>
      </rPr>
      <t xml:space="preserve">'Component Protection'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ตั้งค่าขั้นตอนและระบบอัตโนมัติสำหรับกู้คืนระบบให้กลับสู่สถานะปลอดภัยที่ทราบ</t>
    </r>
  </si>
  <si>
    <t>ESBIT-CP-11</t>
  </si>
  <si>
    <t>CP-11</t>
  </si>
  <si>
    <t>Alternate Communications Protocols</t>
  </si>
  <si>
    <t>Configure alternate communications protocols to maintain continuity</t>
  </si>
  <si>
    <t>ตั้งค่าโปรโตคอลสื่อสารสำรองเพื่อรักษาความต่อเนื่อง</t>
  </si>
  <si>
    <t>ESBIT-CP-12</t>
  </si>
  <si>
    <t>CP-12</t>
  </si>
  <si>
    <t>Safe Mode</t>
  </si>
  <si>
    <t>Configure system to enter restricted safe mode on defined conditions</t>
  </si>
  <si>
    <r>
      <rPr>
        <rFont val="FreeSans"/>
        <color theme="1"/>
        <sz val="14.0"/>
      </rPr>
      <t xml:space="preserve">ตั้งค่าให้ระบบเข้าสู่ </t>
    </r>
    <r>
      <rPr>
        <rFont val="Calibri"/>
        <color theme="1"/>
        <sz val="14.0"/>
      </rPr>
      <t xml:space="preserve">Safe Mode </t>
    </r>
    <r>
      <rPr>
        <rFont val="FreeSans"/>
        <color theme="1"/>
        <sz val="14.0"/>
      </rPr>
      <t>แบบจำกัดเมื่อเกิดเงื่อนไขที่กำหนด</t>
    </r>
  </si>
  <si>
    <t>ESBIT-CP-13</t>
  </si>
  <si>
    <t>CP-13</t>
  </si>
  <si>
    <t>Alternative Security Mechanisms</t>
  </si>
  <si>
    <t>Provide alternative security mechanisms when primary controls are unavailable</t>
  </si>
  <si>
    <t>จัดให้มีกลไกความปลอดภัยสำรองเมื่อมาตรการหลักใช้ไม่ได้</t>
  </si>
  <si>
    <t>ESBIT-IA-01</t>
  </si>
  <si>
    <t>IA-01</t>
  </si>
  <si>
    <t>Not a direct configuration item - define, document, review and communicate the Identification and Authentication policy and procedures that drive the technical configuration standards.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</si>
  <si>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กำหนด จัดทำเอกสาร และทบทวนนโยบาย</t>
    </r>
    <r>
      <rPr>
        <rFont val="Calibri"/>
        <color theme="1"/>
        <sz val="14.0"/>
      </rPr>
      <t>/</t>
    </r>
    <r>
      <rPr>
        <rFont val="FreeSans"/>
        <color theme="1"/>
        <sz val="14.0"/>
      </rPr>
      <t xml:space="preserve">ขั้นตอนของหมวดการพิสูจน์ตัวตน เพื่อเป็นฐานในการกำหนดมาตรฐาน </t>
    </r>
    <r>
      <rPr>
        <rFont val="Calibri"/>
        <color theme="1"/>
        <sz val="14.0"/>
      </rPr>
      <t>Config</t>
    </r>
  </si>
  <si>
    <t>ESBIT-IA-02</t>
  </si>
  <si>
    <t>IA-02</t>
  </si>
  <si>
    <t>Identification and Authentication (Organizational Users)</t>
  </si>
  <si>
    <t>Configure unique user IDs and MFA on OS, VPN, network devices, cloud consoles, databases and applications</t>
  </si>
  <si>
    <r>
      <rPr>
        <rFont val="FreeSans"/>
        <color theme="1"/>
        <sz val="14.0"/>
      </rPr>
      <t xml:space="preserve">ตั้งค่า </t>
    </r>
    <r>
      <rPr>
        <rFont val="Calibri"/>
        <color theme="1"/>
        <sz val="14.0"/>
      </rPr>
      <t xml:space="preserve">User ID </t>
    </r>
    <r>
      <rPr>
        <rFont val="FreeSans"/>
        <color theme="1"/>
        <sz val="14.0"/>
      </rPr>
      <t xml:space="preserve">เฉพาะบุคคลและ </t>
    </r>
    <r>
      <rPr>
        <rFont val="Calibri"/>
        <color theme="1"/>
        <sz val="14.0"/>
      </rPr>
      <t xml:space="preserve">MFA </t>
    </r>
    <r>
      <rPr>
        <rFont val="FreeSans"/>
        <color theme="1"/>
        <sz val="14.0"/>
      </rPr>
      <t xml:space="preserve">บน </t>
    </r>
    <r>
      <rPr>
        <rFont val="Calibri"/>
        <color theme="1"/>
        <sz val="14.0"/>
      </rPr>
      <t xml:space="preserve">OS, VPN, </t>
    </r>
    <r>
      <rPr>
        <rFont val="FreeSans"/>
        <color theme="1"/>
        <sz val="14.0"/>
      </rPr>
      <t>อุปกรณ์เครือข่าย</t>
    </r>
    <r>
      <rPr>
        <rFont val="Calibri"/>
        <color theme="1"/>
        <sz val="14.0"/>
      </rPr>
      <t xml:space="preserve">, Cloud Console, DB </t>
    </r>
    <r>
      <rPr>
        <rFont val="FreeSans"/>
        <color theme="1"/>
        <sz val="14.0"/>
      </rPr>
      <t>และแอปพลิเคชัน</t>
    </r>
  </si>
  <si>
    <t>Identity &amp; Access Management, Infrastructure (Server/OS), Network, Cloud</t>
  </si>
  <si>
    <t>ESBIT-IA-02(01)</t>
  </si>
  <si>
    <t>IA-02(01)</t>
  </si>
  <si>
    <t>Identification and Authentication (Organizational Users) | Multi-factor Authentication to Privileged Accounts</t>
  </si>
  <si>
    <t>Enhances IA-02 (Identification and Authentication (Organizational Users)): configure and enforce 'Multi-factor Authentication to Privileged Accounts' in addition to the base setting, keep it consistent across applicable systems and document approved exceptions. Base scope: Configure unique user IDs and MFA on OS, VPN, network devices, cloud consoles, databases and applications</t>
  </si>
  <si>
    <r>
      <rPr>
        <rFont val="FreeSans"/>
        <color theme="1"/>
        <sz val="14.0"/>
      </rPr>
      <t xml:space="preserve">ส่วนขยายของ </t>
    </r>
    <r>
      <rPr>
        <rFont val="Calibri"/>
        <color theme="1"/>
        <sz val="14.0"/>
      </rPr>
      <t xml:space="preserve">IA-02: </t>
    </r>
    <r>
      <rPr>
        <rFont val="FreeSans"/>
        <color theme="1"/>
        <sz val="14.0"/>
      </rPr>
      <t xml:space="preserve">กำหนดค่าและบังคับใช้ </t>
    </r>
    <r>
      <rPr>
        <rFont val="Calibri"/>
        <color theme="1"/>
        <sz val="14.0"/>
      </rPr>
      <t xml:space="preserve">'Multi-factor Authentication to Privileged Accounts'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User ID </t>
    </r>
    <r>
      <rPr>
        <rFont val="FreeSans"/>
        <color theme="1"/>
        <sz val="14.0"/>
      </rPr>
      <t xml:space="preserve">เฉพาะบุคคลและ </t>
    </r>
    <r>
      <rPr>
        <rFont val="Calibri"/>
        <color theme="1"/>
        <sz val="14.0"/>
      </rPr>
      <t xml:space="preserve">MFA </t>
    </r>
    <r>
      <rPr>
        <rFont val="FreeSans"/>
        <color theme="1"/>
        <sz val="14.0"/>
      </rPr>
      <t xml:space="preserve">บน </t>
    </r>
    <r>
      <rPr>
        <rFont val="Calibri"/>
        <color theme="1"/>
        <sz val="14.0"/>
      </rPr>
      <t xml:space="preserve">OS, VPN, </t>
    </r>
    <r>
      <rPr>
        <rFont val="FreeSans"/>
        <color theme="1"/>
        <sz val="14.0"/>
      </rPr>
      <t>อุปกรณ์เครือข่าย</t>
    </r>
    <r>
      <rPr>
        <rFont val="Calibri"/>
        <color theme="1"/>
        <sz val="14.0"/>
      </rPr>
      <t xml:space="preserve">, Cloud Console, DB </t>
    </r>
    <r>
      <rPr>
        <rFont val="FreeSans"/>
        <color theme="1"/>
        <sz val="14.0"/>
      </rPr>
      <t>และแอปพลิเคชัน</t>
    </r>
  </si>
  <si>
    <t>ESBIT-IA-02(02)</t>
  </si>
  <si>
    <t>IA-02(02)</t>
  </si>
  <si>
    <t>Identification and Authentication (Organizational Users) | Multi-factor Authentication to Non-privileged Accounts</t>
  </si>
  <si>
    <t>Enhances IA-02 (Identification and Authentication (Organizational Users)): configure and enforce 'Multi-factor Authentication to Non-privileged Accounts' in addition to the base setting, keep it consistent across applicable systems and document approved exceptions. Base scope: Configure unique user IDs and MFA on OS, VPN, network devices, cloud consoles, databases and applications</t>
  </si>
  <si>
    <r>
      <rPr>
        <rFont val="FreeSans"/>
        <color theme="1"/>
        <sz val="14.0"/>
      </rPr>
      <t xml:space="preserve">ส่วนขยายของ </t>
    </r>
    <r>
      <rPr>
        <rFont val="Calibri"/>
        <color theme="1"/>
        <sz val="14.0"/>
      </rPr>
      <t xml:space="preserve">IA-02: </t>
    </r>
    <r>
      <rPr>
        <rFont val="FreeSans"/>
        <color theme="1"/>
        <sz val="14.0"/>
      </rPr>
      <t xml:space="preserve">กำหนดค่าและบังคับใช้ </t>
    </r>
    <r>
      <rPr>
        <rFont val="Calibri"/>
        <color theme="1"/>
        <sz val="14.0"/>
      </rPr>
      <t xml:space="preserve">'Multi-factor Authentication to Non-privileged Accounts'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User ID </t>
    </r>
    <r>
      <rPr>
        <rFont val="FreeSans"/>
        <color theme="1"/>
        <sz val="14.0"/>
      </rPr>
      <t xml:space="preserve">เฉพาะบุคคลและ </t>
    </r>
    <r>
      <rPr>
        <rFont val="Calibri"/>
        <color theme="1"/>
        <sz val="14.0"/>
      </rPr>
      <t xml:space="preserve">MFA </t>
    </r>
    <r>
      <rPr>
        <rFont val="FreeSans"/>
        <color theme="1"/>
        <sz val="14.0"/>
      </rPr>
      <t xml:space="preserve">บน </t>
    </r>
    <r>
      <rPr>
        <rFont val="Calibri"/>
        <color theme="1"/>
        <sz val="14.0"/>
      </rPr>
      <t xml:space="preserve">OS, VPN, </t>
    </r>
    <r>
      <rPr>
        <rFont val="FreeSans"/>
        <color theme="1"/>
        <sz val="14.0"/>
      </rPr>
      <t>อุปกรณ์เครือข่าย</t>
    </r>
    <r>
      <rPr>
        <rFont val="Calibri"/>
        <color theme="1"/>
        <sz val="14.0"/>
      </rPr>
      <t xml:space="preserve">, Cloud Console, DB </t>
    </r>
    <r>
      <rPr>
        <rFont val="FreeSans"/>
        <color theme="1"/>
        <sz val="14.0"/>
      </rPr>
      <t>และแอปพลิเคชัน</t>
    </r>
  </si>
  <si>
    <t>ESBIT-IA-02(05)</t>
  </si>
  <si>
    <t>IA-02(05)</t>
  </si>
  <si>
    <t>Identification and Authentication (Organizational Users) | Individual Authentication with Group Authentication</t>
  </si>
  <si>
    <t>Enhances IA-02 (Identification and Authentication (Organizational Users)): configure and enforce 'Individual Authentication with Group Authentication' in addition to the base setting, keep it consistent across applicable systems and document approved exceptions. Base scope: Configure unique user IDs and MFA on OS, VPN, network devices, cloud consoles, databases and applications</t>
  </si>
  <si>
    <r>
      <rPr>
        <rFont val="FreeSans"/>
        <color theme="1"/>
        <sz val="14.0"/>
      </rPr>
      <t xml:space="preserve">ส่วนขยายของ </t>
    </r>
    <r>
      <rPr>
        <rFont val="Calibri"/>
        <color theme="1"/>
        <sz val="14.0"/>
      </rPr>
      <t xml:space="preserve">IA-02: </t>
    </r>
    <r>
      <rPr>
        <rFont val="FreeSans"/>
        <color theme="1"/>
        <sz val="14.0"/>
      </rPr>
      <t xml:space="preserve">กำหนดค่าและบังคับใช้ </t>
    </r>
    <r>
      <rPr>
        <rFont val="Calibri"/>
        <color theme="1"/>
        <sz val="14.0"/>
      </rPr>
      <t xml:space="preserve">'Individual Authentication with Group Authentication'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User ID </t>
    </r>
    <r>
      <rPr>
        <rFont val="FreeSans"/>
        <color theme="1"/>
        <sz val="14.0"/>
      </rPr>
      <t xml:space="preserve">เฉพาะบุคคลและ </t>
    </r>
    <r>
      <rPr>
        <rFont val="Calibri"/>
        <color theme="1"/>
        <sz val="14.0"/>
      </rPr>
      <t xml:space="preserve">MFA </t>
    </r>
    <r>
      <rPr>
        <rFont val="FreeSans"/>
        <color theme="1"/>
        <sz val="14.0"/>
      </rPr>
      <t xml:space="preserve">บน </t>
    </r>
    <r>
      <rPr>
        <rFont val="Calibri"/>
        <color theme="1"/>
        <sz val="14.0"/>
      </rPr>
      <t xml:space="preserve">OS, VPN, </t>
    </r>
    <r>
      <rPr>
        <rFont val="FreeSans"/>
        <color theme="1"/>
        <sz val="14.0"/>
      </rPr>
      <t>อุปกรณ์เครือข่าย</t>
    </r>
    <r>
      <rPr>
        <rFont val="Calibri"/>
        <color theme="1"/>
        <sz val="14.0"/>
      </rPr>
      <t xml:space="preserve">, Cloud Console, DB </t>
    </r>
    <r>
      <rPr>
        <rFont val="FreeSans"/>
        <color theme="1"/>
        <sz val="14.0"/>
      </rPr>
      <t>และแอปพลิเคชัน</t>
    </r>
  </si>
  <si>
    <t>ESBIT-IA-02(06)</t>
  </si>
  <si>
    <t>IA-02(06)</t>
  </si>
  <si>
    <t>Identification and Authentication (Organizational Users) | Access to Accounts - Separate Device</t>
  </si>
  <si>
    <t>Enhances IA-02 (Identification and Authentication (Organizational Users)): configure and enforce 'Access to Accounts - Separate Device' in addition to the base setting, keep it consistent across applicable systems and document approved exceptions. Base scope: Configure unique user IDs and MFA on OS, VPN, network devices, cloud consoles, databases and applications</t>
  </si>
  <si>
    <r>
      <rPr>
        <rFont val="FreeSans"/>
        <color theme="1"/>
        <sz val="14.0"/>
      </rPr>
      <t xml:space="preserve">ส่วนขยายของ </t>
    </r>
    <r>
      <rPr>
        <rFont val="Calibri"/>
        <color theme="1"/>
        <sz val="14.0"/>
      </rPr>
      <t xml:space="preserve">IA-02: </t>
    </r>
    <r>
      <rPr>
        <rFont val="FreeSans"/>
        <color theme="1"/>
        <sz val="14.0"/>
      </rPr>
      <t xml:space="preserve">กำหนดค่าและบังคับใช้ </t>
    </r>
    <r>
      <rPr>
        <rFont val="Calibri"/>
        <color theme="1"/>
        <sz val="14.0"/>
      </rPr>
      <t xml:space="preserve">'Access to Accounts - Separate Device'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User ID </t>
    </r>
    <r>
      <rPr>
        <rFont val="FreeSans"/>
        <color theme="1"/>
        <sz val="14.0"/>
      </rPr>
      <t xml:space="preserve">เฉพาะบุคคลและ </t>
    </r>
    <r>
      <rPr>
        <rFont val="Calibri"/>
        <color theme="1"/>
        <sz val="14.0"/>
      </rPr>
      <t xml:space="preserve">MFA </t>
    </r>
    <r>
      <rPr>
        <rFont val="FreeSans"/>
        <color theme="1"/>
        <sz val="14.0"/>
      </rPr>
      <t xml:space="preserve">บน </t>
    </r>
    <r>
      <rPr>
        <rFont val="Calibri"/>
        <color theme="1"/>
        <sz val="14.0"/>
      </rPr>
      <t xml:space="preserve">OS, VPN, </t>
    </r>
    <r>
      <rPr>
        <rFont val="FreeSans"/>
        <color theme="1"/>
        <sz val="14.0"/>
      </rPr>
      <t>อุปกรณ์เครือข่าย</t>
    </r>
    <r>
      <rPr>
        <rFont val="Calibri"/>
        <color theme="1"/>
        <sz val="14.0"/>
      </rPr>
      <t xml:space="preserve">, Cloud Console, DB </t>
    </r>
    <r>
      <rPr>
        <rFont val="FreeSans"/>
        <color theme="1"/>
        <sz val="14.0"/>
      </rPr>
      <t>และแอปพลิเคชัน</t>
    </r>
  </si>
  <si>
    <t>ESBIT-IA-02(08)</t>
  </si>
  <si>
    <t>IA-02(08)</t>
  </si>
  <si>
    <t>Identification and Authentication (Organizational Users) | Access to Accounts - Replay Resistant</t>
  </si>
  <si>
    <t>Enhances IA-02 (Identification and Authentication (Organizational Users)): configure and enforce 'Access to Accounts - Replay Resistant' in addition to the base setting, keep it consistent across applicable systems and document approved exceptions. Base scope: Configure unique user IDs and MFA on OS, VPN, network devices, cloud consoles, databases and applications</t>
  </si>
  <si>
    <r>
      <rPr>
        <rFont val="FreeSans"/>
        <color theme="1"/>
        <sz val="14.0"/>
      </rPr>
      <t xml:space="preserve">ส่วนขยายของ </t>
    </r>
    <r>
      <rPr>
        <rFont val="Calibri"/>
        <color theme="1"/>
        <sz val="14.0"/>
      </rPr>
      <t xml:space="preserve">IA-02: </t>
    </r>
    <r>
      <rPr>
        <rFont val="FreeSans"/>
        <color theme="1"/>
        <sz val="14.0"/>
      </rPr>
      <t xml:space="preserve">กำหนดค่าและบังคับใช้ </t>
    </r>
    <r>
      <rPr>
        <rFont val="Calibri"/>
        <color theme="1"/>
        <sz val="14.0"/>
      </rPr>
      <t xml:space="preserve">'Access to Accounts - Replay Resistant'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User ID </t>
    </r>
    <r>
      <rPr>
        <rFont val="FreeSans"/>
        <color theme="1"/>
        <sz val="14.0"/>
      </rPr>
      <t xml:space="preserve">เฉพาะบุคคลและ </t>
    </r>
    <r>
      <rPr>
        <rFont val="Calibri"/>
        <color theme="1"/>
        <sz val="14.0"/>
      </rPr>
      <t xml:space="preserve">MFA </t>
    </r>
    <r>
      <rPr>
        <rFont val="FreeSans"/>
        <color theme="1"/>
        <sz val="14.0"/>
      </rPr>
      <t xml:space="preserve">บน </t>
    </r>
    <r>
      <rPr>
        <rFont val="Calibri"/>
        <color theme="1"/>
        <sz val="14.0"/>
      </rPr>
      <t xml:space="preserve">OS, VPN, </t>
    </r>
    <r>
      <rPr>
        <rFont val="FreeSans"/>
        <color theme="1"/>
        <sz val="14.0"/>
      </rPr>
      <t>อุปกรณ์เครือข่าย</t>
    </r>
    <r>
      <rPr>
        <rFont val="Calibri"/>
        <color theme="1"/>
        <sz val="14.0"/>
      </rPr>
      <t xml:space="preserve">, Cloud Console, DB </t>
    </r>
    <r>
      <rPr>
        <rFont val="FreeSans"/>
        <color theme="1"/>
        <sz val="14.0"/>
      </rPr>
      <t>และแอปพลิเคชัน</t>
    </r>
  </si>
  <si>
    <t>ESBIT-IA-02(10)</t>
  </si>
  <si>
    <t>IA-02(10)</t>
  </si>
  <si>
    <t>Identification and Authentication (Organizational Users) | Single Sign-on</t>
  </si>
  <si>
    <t>Enhances IA-02 (Identification and Authentication (Organizational Users)): configure and enforce 'Single Sign-on' in addition to the base setting, keep it consistent across applicable systems and document approved exceptions. Base scope: Configure unique user IDs and MFA on OS, VPN, network devices, cloud consoles, databases and applications</t>
  </si>
  <si>
    <r>
      <rPr>
        <rFont val="FreeSans"/>
        <color theme="1"/>
        <sz val="14.0"/>
      </rPr>
      <t xml:space="preserve">ส่วนขยายของ </t>
    </r>
    <r>
      <rPr>
        <rFont val="Calibri"/>
        <color theme="1"/>
        <sz val="14.0"/>
      </rPr>
      <t xml:space="preserve">IA-02: </t>
    </r>
    <r>
      <rPr>
        <rFont val="FreeSans"/>
        <color theme="1"/>
        <sz val="14.0"/>
      </rPr>
      <t xml:space="preserve">กำหนดค่าและบังคับใช้ </t>
    </r>
    <r>
      <rPr>
        <rFont val="Calibri"/>
        <color theme="1"/>
        <sz val="14.0"/>
      </rPr>
      <t xml:space="preserve">'Single Sign-on'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User ID </t>
    </r>
    <r>
      <rPr>
        <rFont val="FreeSans"/>
        <color theme="1"/>
        <sz val="14.0"/>
      </rPr>
      <t xml:space="preserve">เฉพาะบุคคลและ </t>
    </r>
    <r>
      <rPr>
        <rFont val="Calibri"/>
        <color theme="1"/>
        <sz val="14.0"/>
      </rPr>
      <t xml:space="preserve">MFA </t>
    </r>
    <r>
      <rPr>
        <rFont val="FreeSans"/>
        <color theme="1"/>
        <sz val="14.0"/>
      </rPr>
      <t xml:space="preserve">บน </t>
    </r>
    <r>
      <rPr>
        <rFont val="Calibri"/>
        <color theme="1"/>
        <sz val="14.0"/>
      </rPr>
      <t xml:space="preserve">OS, VPN, </t>
    </r>
    <r>
      <rPr>
        <rFont val="FreeSans"/>
        <color theme="1"/>
        <sz val="14.0"/>
      </rPr>
      <t>อุปกรณ์เครือข่าย</t>
    </r>
    <r>
      <rPr>
        <rFont val="Calibri"/>
        <color theme="1"/>
        <sz val="14.0"/>
      </rPr>
      <t xml:space="preserve">, Cloud Console, DB </t>
    </r>
    <r>
      <rPr>
        <rFont val="FreeSans"/>
        <color theme="1"/>
        <sz val="14.0"/>
      </rPr>
      <t>และแอปพลิเคชัน</t>
    </r>
  </si>
  <si>
    <t>ESBIT-IA-02(12)</t>
  </si>
  <si>
    <t>IA-02(12)</t>
  </si>
  <si>
    <t>Identification and Authentication (Organizational Users) | Acceptance of PIV Credentials</t>
  </si>
  <si>
    <t>Enhances IA-02 (Identification and Authentication (Organizational Users)): configure and enforce 'Acceptance of PIV Credentials' in addition to the base setting, keep it consistent across applicable systems and document approved exceptions. Base scope: Configure unique user IDs and MFA on OS, VPN, network devices, cloud consoles, databases and applications</t>
  </si>
  <si>
    <r>
      <rPr>
        <rFont val="FreeSans"/>
        <color theme="1"/>
        <sz val="14.0"/>
      </rPr>
      <t xml:space="preserve">ส่วนขยายของ </t>
    </r>
    <r>
      <rPr>
        <rFont val="Calibri"/>
        <color theme="1"/>
        <sz val="14.0"/>
      </rPr>
      <t xml:space="preserve">IA-02: </t>
    </r>
    <r>
      <rPr>
        <rFont val="FreeSans"/>
        <color theme="1"/>
        <sz val="14.0"/>
      </rPr>
      <t xml:space="preserve">กำหนดค่าและบังคับใช้ </t>
    </r>
    <r>
      <rPr>
        <rFont val="Calibri"/>
        <color theme="1"/>
        <sz val="14.0"/>
      </rPr>
      <t xml:space="preserve">'Acceptance of PIV Credentials'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User ID </t>
    </r>
    <r>
      <rPr>
        <rFont val="FreeSans"/>
        <color theme="1"/>
        <sz val="14.0"/>
      </rPr>
      <t xml:space="preserve">เฉพาะบุคคลและ </t>
    </r>
    <r>
      <rPr>
        <rFont val="Calibri"/>
        <color theme="1"/>
        <sz val="14.0"/>
      </rPr>
      <t xml:space="preserve">MFA </t>
    </r>
    <r>
      <rPr>
        <rFont val="FreeSans"/>
        <color theme="1"/>
        <sz val="14.0"/>
      </rPr>
      <t xml:space="preserve">บน </t>
    </r>
    <r>
      <rPr>
        <rFont val="Calibri"/>
        <color theme="1"/>
        <sz val="14.0"/>
      </rPr>
      <t xml:space="preserve">OS, VPN, </t>
    </r>
    <r>
      <rPr>
        <rFont val="FreeSans"/>
        <color theme="1"/>
        <sz val="14.0"/>
      </rPr>
      <t>อุปกรณ์เครือข่าย</t>
    </r>
    <r>
      <rPr>
        <rFont val="Calibri"/>
        <color theme="1"/>
        <sz val="14.0"/>
      </rPr>
      <t xml:space="preserve">, Cloud Console, DB </t>
    </r>
    <r>
      <rPr>
        <rFont val="FreeSans"/>
        <color theme="1"/>
        <sz val="14.0"/>
      </rPr>
      <t>และแอปพลิเคชัน</t>
    </r>
  </si>
  <si>
    <t>ESBIT-IA-02(13)</t>
  </si>
  <si>
    <t>IA-02(13)</t>
  </si>
  <si>
    <t>Identification and Authentication (Organizational Users) | Out-of-band Authentication</t>
  </si>
  <si>
    <t>Enhances IA-02 (Identification and Authentication (Organizational Users)): configure and enforce 'Out-of-band Authentication' in addition to the base setting, keep it consistent across applicable systems and document approved exceptions. Base scope: Configure unique user IDs and MFA on OS, VPN, network devices, cloud consoles, databases and applications</t>
  </si>
  <si>
    <r>
      <rPr>
        <rFont val="FreeSans"/>
        <color theme="1"/>
        <sz val="14.0"/>
      </rPr>
      <t xml:space="preserve">ส่วนขยายของ </t>
    </r>
    <r>
      <rPr>
        <rFont val="Calibri"/>
        <color theme="1"/>
        <sz val="14.0"/>
      </rPr>
      <t xml:space="preserve">IA-02: </t>
    </r>
    <r>
      <rPr>
        <rFont val="FreeSans"/>
        <color theme="1"/>
        <sz val="14.0"/>
      </rPr>
      <t xml:space="preserve">กำหนดค่าและบังคับใช้ </t>
    </r>
    <r>
      <rPr>
        <rFont val="Calibri"/>
        <color theme="1"/>
        <sz val="14.0"/>
      </rPr>
      <t xml:space="preserve">'Out-of-band Authentication'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User ID </t>
    </r>
    <r>
      <rPr>
        <rFont val="FreeSans"/>
        <color theme="1"/>
        <sz val="14.0"/>
      </rPr>
      <t xml:space="preserve">เฉพาะบุคคลและ </t>
    </r>
    <r>
      <rPr>
        <rFont val="Calibri"/>
        <color theme="1"/>
        <sz val="14.0"/>
      </rPr>
      <t xml:space="preserve">MFA </t>
    </r>
    <r>
      <rPr>
        <rFont val="FreeSans"/>
        <color theme="1"/>
        <sz val="14.0"/>
      </rPr>
      <t xml:space="preserve">บน </t>
    </r>
    <r>
      <rPr>
        <rFont val="Calibri"/>
        <color theme="1"/>
        <sz val="14.0"/>
      </rPr>
      <t xml:space="preserve">OS, VPN, </t>
    </r>
    <r>
      <rPr>
        <rFont val="FreeSans"/>
        <color theme="1"/>
        <sz val="14.0"/>
      </rPr>
      <t>อุปกรณ์เครือข่าย</t>
    </r>
    <r>
      <rPr>
        <rFont val="Calibri"/>
        <color theme="1"/>
        <sz val="14.0"/>
      </rPr>
      <t xml:space="preserve">, Cloud Console, DB </t>
    </r>
    <r>
      <rPr>
        <rFont val="FreeSans"/>
        <color theme="1"/>
        <sz val="14.0"/>
      </rPr>
      <t>และแอปพลิเคชัน</t>
    </r>
  </si>
  <si>
    <t>ESBIT-IA-03</t>
  </si>
  <si>
    <t>IA-03</t>
  </si>
  <si>
    <t>Device Identification and Authentication</t>
  </si>
  <si>
    <t>Configure device authentication (802.1X, NAC, certificates) before allowing network connection</t>
  </si>
  <si>
    <r>
      <rPr>
        <rFont val="FreeSans"/>
        <color theme="1"/>
        <sz val="14.0"/>
      </rPr>
      <t xml:space="preserve">ตั้งค่าการพิสูจน์ตัวตนอุปกรณ์ </t>
    </r>
    <r>
      <rPr>
        <rFont val="Calibri"/>
        <color theme="1"/>
        <sz val="14.0"/>
      </rPr>
      <t xml:space="preserve">(802.1X, NAC, Certificate) </t>
    </r>
    <r>
      <rPr>
        <rFont val="FreeSans"/>
        <color theme="1"/>
        <sz val="14.0"/>
      </rPr>
      <t>ก่อนอนุญาตเชื่อมต่อเครือข่าย</t>
    </r>
  </si>
  <si>
    <t>Network, Endpoint/Mobile</t>
  </si>
  <si>
    <t>ESBIT-IA-03(01)</t>
  </si>
  <si>
    <t>IA-03(01)</t>
  </si>
  <si>
    <t>Device Identification and Authentication | Cryptographic Bidirectional Authentication</t>
  </si>
  <si>
    <t>Enhances IA-03 (Device Identification and Authentication): configure and enforce 'Cryptographic Bidirectional Authentication' in addition to the base setting, keep it consistent across applicable systems and document approved exceptions. Base scope: Configure device authentication (802.1X, NAC, certificates) before allowing network connection</t>
  </si>
  <si>
    <r>
      <rPr>
        <rFont val="FreeSans"/>
        <color theme="1"/>
        <sz val="14.0"/>
      </rPr>
      <t xml:space="preserve">ส่วนขยายของ </t>
    </r>
    <r>
      <rPr>
        <rFont val="Calibri"/>
        <color theme="1"/>
        <sz val="14.0"/>
      </rPr>
      <t xml:space="preserve">IA-03: </t>
    </r>
    <r>
      <rPr>
        <rFont val="FreeSans"/>
        <color theme="1"/>
        <sz val="14.0"/>
      </rPr>
      <t xml:space="preserve">กำหนดค่าและบังคับใช้ </t>
    </r>
    <r>
      <rPr>
        <rFont val="Calibri"/>
        <color theme="1"/>
        <sz val="14.0"/>
      </rPr>
      <t xml:space="preserve">'Cryptographic Bidirectional Authentication'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ตั้งค่าการพิสูจน์ตัวตนอุปกรณ์ </t>
    </r>
    <r>
      <rPr>
        <rFont val="Calibri"/>
        <color theme="1"/>
        <sz val="14.0"/>
      </rPr>
      <t xml:space="preserve">(802.1X, NAC, Certificate) </t>
    </r>
    <r>
      <rPr>
        <rFont val="FreeSans"/>
        <color theme="1"/>
        <sz val="14.0"/>
      </rPr>
      <t>ก่อนอนุญาตเชื่อมต่อเครือข่าย</t>
    </r>
  </si>
  <si>
    <t>ESBIT-IA-03(03)</t>
  </si>
  <si>
    <t>IA-03(03)</t>
  </si>
  <si>
    <t>Device Identification and Authentication | Dynamic Address Allocation</t>
  </si>
  <si>
    <t>Enhances IA-03 (Device Identification and Authentication): configure and enforce 'Dynamic Address Allocation' in addition to the base setting, keep it consistent across applicable systems and document approved exceptions. Base scope: Configure device authentication (802.1X, NAC, certificates) before allowing network connection</t>
  </si>
  <si>
    <r>
      <rPr>
        <rFont val="FreeSans"/>
        <color theme="1"/>
        <sz val="14.0"/>
      </rPr>
      <t xml:space="preserve">ส่วนขยายของ </t>
    </r>
    <r>
      <rPr>
        <rFont val="Calibri"/>
        <color theme="1"/>
        <sz val="14.0"/>
      </rPr>
      <t xml:space="preserve">IA-03: </t>
    </r>
    <r>
      <rPr>
        <rFont val="FreeSans"/>
        <color theme="1"/>
        <sz val="14.0"/>
      </rPr>
      <t xml:space="preserve">กำหนดค่าและบังคับใช้ </t>
    </r>
    <r>
      <rPr>
        <rFont val="Calibri"/>
        <color theme="1"/>
        <sz val="14.0"/>
      </rPr>
      <t xml:space="preserve">'Dynamic Address Allocation'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ตั้งค่าการพิสูจน์ตัวตนอุปกรณ์ </t>
    </r>
    <r>
      <rPr>
        <rFont val="Calibri"/>
        <color theme="1"/>
        <sz val="14.0"/>
      </rPr>
      <t xml:space="preserve">(802.1X, NAC, Certificate) </t>
    </r>
    <r>
      <rPr>
        <rFont val="FreeSans"/>
        <color theme="1"/>
        <sz val="14.0"/>
      </rPr>
      <t>ก่อนอนุญาตเชื่อมต่อเครือข่าย</t>
    </r>
  </si>
  <si>
    <t>ESBIT-IA-03(04)</t>
  </si>
  <si>
    <t>IA-03(04)</t>
  </si>
  <si>
    <t>Device Identification and Authentication | Device Attestation</t>
  </si>
  <si>
    <t>Enhances IA-03 (Device Identification and Authentication): configure and enforce 'Device Attestation' in addition to the base setting, keep it consistent across applicable systems and document approved exceptions. Base scope: Configure device authentication (802.1X, NAC, certificates) before allowing network connection</t>
  </si>
  <si>
    <r>
      <rPr>
        <rFont val="FreeSans"/>
        <color theme="1"/>
        <sz val="14.0"/>
      </rPr>
      <t xml:space="preserve">ส่วนขยายของ </t>
    </r>
    <r>
      <rPr>
        <rFont val="Calibri"/>
        <color theme="1"/>
        <sz val="14.0"/>
      </rPr>
      <t xml:space="preserve">IA-03: </t>
    </r>
    <r>
      <rPr>
        <rFont val="FreeSans"/>
        <color theme="1"/>
        <sz val="14.0"/>
      </rPr>
      <t xml:space="preserve">กำหนดค่าและบังคับใช้ </t>
    </r>
    <r>
      <rPr>
        <rFont val="Calibri"/>
        <color theme="1"/>
        <sz val="14.0"/>
      </rPr>
      <t xml:space="preserve">'Device Attestation'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ตั้งค่าการพิสูจน์ตัวตนอุปกรณ์ </t>
    </r>
    <r>
      <rPr>
        <rFont val="Calibri"/>
        <color theme="1"/>
        <sz val="14.0"/>
      </rPr>
      <t xml:space="preserve">(802.1X, NAC, Certificate) </t>
    </r>
    <r>
      <rPr>
        <rFont val="FreeSans"/>
        <color theme="1"/>
        <sz val="14.0"/>
      </rPr>
      <t>ก่อนอนุญาตเชื่อมต่อเครือข่าย</t>
    </r>
  </si>
  <si>
    <t>ESBIT-IA-04</t>
  </si>
  <si>
    <t>IA-04</t>
  </si>
  <si>
    <t>Identifier Management</t>
  </si>
  <si>
    <t>Configure identifier assignment, uniqueness, reuse prevention and disabling of inactive identifiers</t>
  </si>
  <si>
    <r>
      <rPr>
        <rFont val="FreeSans"/>
        <color theme="1"/>
        <sz val="14.0"/>
      </rPr>
      <t xml:space="preserve">กำหนดการออก </t>
    </r>
    <r>
      <rPr>
        <rFont val="Calibri"/>
        <color theme="1"/>
        <sz val="14.0"/>
      </rPr>
      <t xml:space="preserve">Identifier </t>
    </r>
    <r>
      <rPr>
        <rFont val="FreeSans"/>
        <color theme="1"/>
        <sz val="14.0"/>
      </rPr>
      <t xml:space="preserve">ความไม่ซ้ำ ป้องกันการใช้ซ้ำ และปิด </t>
    </r>
    <r>
      <rPr>
        <rFont val="Calibri"/>
        <color theme="1"/>
        <sz val="14.0"/>
      </rPr>
      <t xml:space="preserve">Identifier </t>
    </r>
    <r>
      <rPr>
        <rFont val="FreeSans"/>
        <color theme="1"/>
        <sz val="14.0"/>
      </rPr>
      <t>ที่ไม่ใช้งาน</t>
    </r>
  </si>
  <si>
    <t>ESBIT-IA-04(01)</t>
  </si>
  <si>
    <t>IA-04(01)</t>
  </si>
  <si>
    <t>Identifier Management | Prohibit Account Identifiers as Public Identifiers</t>
  </si>
  <si>
    <t>Enhances IA-04 (Identifier Management): configure and enforce 'Prohibit Account Identifiers as Public Identifiers' in addition to the base setting, keep it consistent across applicable systems and document approved exceptions. Base scope: Configure identifier assignment, uniqueness, reuse prevention and disabling of inactive identifiers</t>
  </si>
  <si>
    <r>
      <rPr>
        <rFont val="FreeSans"/>
        <color theme="1"/>
        <sz val="14.0"/>
      </rPr>
      <t xml:space="preserve">ส่วนขยายของ </t>
    </r>
    <r>
      <rPr>
        <rFont val="Calibri"/>
        <color theme="1"/>
        <sz val="14.0"/>
      </rPr>
      <t xml:space="preserve">IA-04: </t>
    </r>
    <r>
      <rPr>
        <rFont val="FreeSans"/>
        <color theme="1"/>
        <sz val="14.0"/>
      </rPr>
      <t xml:space="preserve">กำหนดค่าและบังคับใช้ </t>
    </r>
    <r>
      <rPr>
        <rFont val="Calibri"/>
        <color theme="1"/>
        <sz val="14.0"/>
      </rPr>
      <t xml:space="preserve">'Prohibit Account Identifiers as Public Identifiers'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กำหนดการออก </t>
    </r>
    <r>
      <rPr>
        <rFont val="Calibri"/>
        <color theme="1"/>
        <sz val="14.0"/>
      </rPr>
      <t xml:space="preserve">Identifier </t>
    </r>
    <r>
      <rPr>
        <rFont val="FreeSans"/>
        <color theme="1"/>
        <sz val="14.0"/>
      </rPr>
      <t xml:space="preserve">ความไม่ซ้ำ ป้องกันการใช้ซ้ำ และปิด </t>
    </r>
    <r>
      <rPr>
        <rFont val="Calibri"/>
        <color theme="1"/>
        <sz val="14.0"/>
      </rPr>
      <t xml:space="preserve">Identifier </t>
    </r>
    <r>
      <rPr>
        <rFont val="FreeSans"/>
        <color theme="1"/>
        <sz val="14.0"/>
      </rPr>
      <t>ที่ไม่ใช้งาน</t>
    </r>
  </si>
  <si>
    <t>ESBIT-IA-04(04)</t>
  </si>
  <si>
    <t>IA-04(04)</t>
  </si>
  <si>
    <t>Identifier Management | Identify User Status</t>
  </si>
  <si>
    <t>Enhances IA-04 (Identifier Management): configure and enforce 'Identify User Status' in addition to the base setting, keep it consistent across applicable systems and document approved exceptions. Base scope: Configure identifier assignment, uniqueness, reuse prevention and disabling of inactive identifiers</t>
  </si>
  <si>
    <r>
      <rPr>
        <rFont val="FreeSans"/>
        <color theme="1"/>
        <sz val="14.0"/>
      </rPr>
      <t xml:space="preserve">ส่วนขยายของ </t>
    </r>
    <r>
      <rPr>
        <rFont val="Calibri"/>
        <color theme="1"/>
        <sz val="14.0"/>
      </rPr>
      <t xml:space="preserve">IA-04: </t>
    </r>
    <r>
      <rPr>
        <rFont val="FreeSans"/>
        <color theme="1"/>
        <sz val="14.0"/>
      </rPr>
      <t xml:space="preserve">กำหนดค่าและบังคับใช้ </t>
    </r>
    <r>
      <rPr>
        <rFont val="Calibri"/>
        <color theme="1"/>
        <sz val="14.0"/>
      </rPr>
      <t xml:space="preserve">'Identify User Status'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กำหนดการออก </t>
    </r>
    <r>
      <rPr>
        <rFont val="Calibri"/>
        <color theme="1"/>
        <sz val="14.0"/>
      </rPr>
      <t xml:space="preserve">Identifier </t>
    </r>
    <r>
      <rPr>
        <rFont val="FreeSans"/>
        <color theme="1"/>
        <sz val="14.0"/>
      </rPr>
      <t xml:space="preserve">ความไม่ซ้ำ ป้องกันการใช้ซ้ำ และปิด </t>
    </r>
    <r>
      <rPr>
        <rFont val="Calibri"/>
        <color theme="1"/>
        <sz val="14.0"/>
      </rPr>
      <t xml:space="preserve">Identifier </t>
    </r>
    <r>
      <rPr>
        <rFont val="FreeSans"/>
        <color theme="1"/>
        <sz val="14.0"/>
      </rPr>
      <t>ที่ไม่ใช้งาน</t>
    </r>
  </si>
  <si>
    <t>ESBIT-IA-04(05)</t>
  </si>
  <si>
    <t>IA-04(05)</t>
  </si>
  <si>
    <t>Identifier Management | Dynamic Management</t>
  </si>
  <si>
    <t>Enhances IA-04 (Identifier Management): configure and enforce 'Dynamic Management' in addition to the base setting, keep it consistent across applicable systems and document approved exceptions. Base scope: Configure identifier assignment, uniqueness, reuse prevention and disabling of inactive identifiers</t>
  </si>
  <si>
    <r>
      <rPr>
        <rFont val="FreeSans"/>
        <color theme="1"/>
        <sz val="14.0"/>
      </rPr>
      <t xml:space="preserve">ส่วนขยายของ </t>
    </r>
    <r>
      <rPr>
        <rFont val="Calibri"/>
        <color theme="1"/>
        <sz val="14.0"/>
      </rPr>
      <t xml:space="preserve">IA-04: </t>
    </r>
    <r>
      <rPr>
        <rFont val="FreeSans"/>
        <color theme="1"/>
        <sz val="14.0"/>
      </rPr>
      <t xml:space="preserve">กำหนดค่าและบังคับใช้ </t>
    </r>
    <r>
      <rPr>
        <rFont val="Calibri"/>
        <color theme="1"/>
        <sz val="14.0"/>
      </rPr>
      <t xml:space="preserve">'Dynamic Management'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กำหนดการออก </t>
    </r>
    <r>
      <rPr>
        <rFont val="Calibri"/>
        <color theme="1"/>
        <sz val="14.0"/>
      </rPr>
      <t xml:space="preserve">Identifier </t>
    </r>
    <r>
      <rPr>
        <rFont val="FreeSans"/>
        <color theme="1"/>
        <sz val="14.0"/>
      </rPr>
      <t xml:space="preserve">ความไม่ซ้ำ ป้องกันการใช้ซ้ำ และปิด </t>
    </r>
    <r>
      <rPr>
        <rFont val="Calibri"/>
        <color theme="1"/>
        <sz val="14.0"/>
      </rPr>
      <t xml:space="preserve">Identifier </t>
    </r>
    <r>
      <rPr>
        <rFont val="FreeSans"/>
        <color theme="1"/>
        <sz val="14.0"/>
      </rPr>
      <t>ที่ไม่ใช้งาน</t>
    </r>
  </si>
  <si>
    <t>ESBIT-IA-04(06)</t>
  </si>
  <si>
    <t>IA-04(06)</t>
  </si>
  <si>
    <t>Identifier Management | Cross-organization Management</t>
  </si>
  <si>
    <t>Enhances IA-04 (Identifier Management): configure and enforce 'Cross-organization Management' in addition to the base setting, keep it consistent across applicable systems and document approved exceptions. Base scope: Configure identifier assignment, uniqueness, reuse prevention and disabling of inactive identifiers</t>
  </si>
  <si>
    <r>
      <rPr>
        <rFont val="FreeSans"/>
        <color theme="1"/>
        <sz val="14.0"/>
      </rPr>
      <t xml:space="preserve">ส่วนขยายของ </t>
    </r>
    <r>
      <rPr>
        <rFont val="Calibri"/>
        <color theme="1"/>
        <sz val="14.0"/>
      </rPr>
      <t xml:space="preserve">IA-04: </t>
    </r>
    <r>
      <rPr>
        <rFont val="FreeSans"/>
        <color theme="1"/>
        <sz val="14.0"/>
      </rPr>
      <t xml:space="preserve">กำหนดค่าและบังคับใช้ </t>
    </r>
    <r>
      <rPr>
        <rFont val="Calibri"/>
        <color theme="1"/>
        <sz val="14.0"/>
      </rPr>
      <t xml:space="preserve">'Cross-organization Management'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กำหนดการออก </t>
    </r>
    <r>
      <rPr>
        <rFont val="Calibri"/>
        <color theme="1"/>
        <sz val="14.0"/>
      </rPr>
      <t xml:space="preserve">Identifier </t>
    </r>
    <r>
      <rPr>
        <rFont val="FreeSans"/>
        <color theme="1"/>
        <sz val="14.0"/>
      </rPr>
      <t xml:space="preserve">ความไม่ซ้ำ ป้องกันการใช้ซ้ำ และปิด </t>
    </r>
    <r>
      <rPr>
        <rFont val="Calibri"/>
        <color theme="1"/>
        <sz val="14.0"/>
      </rPr>
      <t xml:space="preserve">Identifier </t>
    </r>
    <r>
      <rPr>
        <rFont val="FreeSans"/>
        <color theme="1"/>
        <sz val="14.0"/>
      </rPr>
      <t>ที่ไม่ใช้งาน</t>
    </r>
  </si>
  <si>
    <t>ESBIT-IA-04(07)</t>
  </si>
  <si>
    <t>IA-04(07)</t>
  </si>
  <si>
    <t>Identifier Management | In-person Registration</t>
  </si>
  <si>
    <t>Enhances IA-04 (Identifier Management): configure and enforce 'In-person Registration' in addition to the base setting, keep it consistent across applicable systems and document approved exceptions. Base scope: Configure identifier assignment, uniqueness, reuse prevention and disabling of inactive identifiers</t>
  </si>
  <si>
    <r>
      <rPr>
        <rFont val="FreeSans"/>
        <color theme="1"/>
        <sz val="14.0"/>
      </rPr>
      <t xml:space="preserve">ส่วนขยายของ </t>
    </r>
    <r>
      <rPr>
        <rFont val="Calibri"/>
        <color theme="1"/>
        <sz val="14.0"/>
      </rPr>
      <t xml:space="preserve">IA-04: </t>
    </r>
    <r>
      <rPr>
        <rFont val="FreeSans"/>
        <color theme="1"/>
        <sz val="14.0"/>
      </rPr>
      <t xml:space="preserve">กำหนดค่าและบังคับใช้ </t>
    </r>
    <r>
      <rPr>
        <rFont val="Calibri"/>
        <color theme="1"/>
        <sz val="14.0"/>
      </rPr>
      <t xml:space="preserve">'In-person Registration'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กำหนดการออก </t>
    </r>
    <r>
      <rPr>
        <rFont val="Calibri"/>
        <color theme="1"/>
        <sz val="14.0"/>
      </rPr>
      <t xml:space="preserve">Identifier </t>
    </r>
    <r>
      <rPr>
        <rFont val="FreeSans"/>
        <color theme="1"/>
        <sz val="14.0"/>
      </rPr>
      <t xml:space="preserve">ความไม่ซ้ำ ป้องกันการใช้ซ้ำ และปิด </t>
    </r>
    <r>
      <rPr>
        <rFont val="Calibri"/>
        <color theme="1"/>
        <sz val="14.0"/>
      </rPr>
      <t xml:space="preserve">Identifier </t>
    </r>
    <r>
      <rPr>
        <rFont val="FreeSans"/>
        <color theme="1"/>
        <sz val="14.0"/>
      </rPr>
      <t>ที่ไม่ใช้งาน</t>
    </r>
  </si>
  <si>
    <t>ESBIT-IA-04(08)</t>
  </si>
  <si>
    <t>IA-04(08)</t>
  </si>
  <si>
    <t>Identifier Management | Pairwise Pseudonymous Identifiers</t>
  </si>
  <si>
    <t>Enhances IA-04 (Identifier Management): configure and enforce 'Pairwise Pseudonymous Identifiers' in addition to the base setting, keep it consistent across applicable systems and document approved exceptions. Base scope: Configure identifier assignment, uniqueness, reuse prevention and disabling of inactive identifiers</t>
  </si>
  <si>
    <r>
      <rPr>
        <rFont val="FreeSans"/>
        <color theme="1"/>
        <sz val="14.0"/>
      </rPr>
      <t xml:space="preserve">ส่วนขยายของ </t>
    </r>
    <r>
      <rPr>
        <rFont val="Calibri"/>
        <color theme="1"/>
        <sz val="14.0"/>
      </rPr>
      <t xml:space="preserve">IA-04: </t>
    </r>
    <r>
      <rPr>
        <rFont val="FreeSans"/>
        <color theme="1"/>
        <sz val="14.0"/>
      </rPr>
      <t xml:space="preserve">กำหนดค่าและบังคับใช้ </t>
    </r>
    <r>
      <rPr>
        <rFont val="Calibri"/>
        <color theme="1"/>
        <sz val="14.0"/>
      </rPr>
      <t xml:space="preserve">'Pairwise Pseudonymous Identifiers'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กำหนดการออก </t>
    </r>
    <r>
      <rPr>
        <rFont val="Calibri"/>
        <color theme="1"/>
        <sz val="14.0"/>
      </rPr>
      <t xml:space="preserve">Identifier </t>
    </r>
    <r>
      <rPr>
        <rFont val="FreeSans"/>
        <color theme="1"/>
        <sz val="14.0"/>
      </rPr>
      <t xml:space="preserve">ความไม่ซ้ำ ป้องกันการใช้ซ้ำ และปิด </t>
    </r>
    <r>
      <rPr>
        <rFont val="Calibri"/>
        <color theme="1"/>
        <sz val="14.0"/>
      </rPr>
      <t xml:space="preserve">Identifier </t>
    </r>
    <r>
      <rPr>
        <rFont val="FreeSans"/>
        <color theme="1"/>
        <sz val="14.0"/>
      </rPr>
      <t>ที่ไม่ใช้งาน</t>
    </r>
  </si>
  <si>
    <t>ESBIT-IA-04(09)</t>
  </si>
  <si>
    <t>IA-04(09)</t>
  </si>
  <si>
    <t>Identifier Management | Attribute Maintenance and Protection</t>
  </si>
  <si>
    <t>Enhances IA-04 (Identifier Management): configure and enforce 'Attribute Maintenance and Protection' in addition to the base setting, keep it consistent across applicable systems and document approved exceptions. Base scope: Configure identifier assignment, uniqueness, reuse prevention and disabling of inactive identifiers</t>
  </si>
  <si>
    <r>
      <rPr>
        <rFont val="FreeSans"/>
        <color theme="1"/>
        <sz val="14.0"/>
      </rPr>
      <t xml:space="preserve">ส่วนขยายของ </t>
    </r>
    <r>
      <rPr>
        <rFont val="Calibri"/>
        <color theme="1"/>
        <sz val="14.0"/>
      </rPr>
      <t xml:space="preserve">IA-04: </t>
    </r>
    <r>
      <rPr>
        <rFont val="FreeSans"/>
        <color theme="1"/>
        <sz val="14.0"/>
      </rPr>
      <t xml:space="preserve">กำหนดค่าและบังคับใช้ </t>
    </r>
    <r>
      <rPr>
        <rFont val="Calibri"/>
        <color theme="1"/>
        <sz val="14.0"/>
      </rPr>
      <t xml:space="preserve">'Attribute Maintenance and Protection'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กำหนดการออก </t>
    </r>
    <r>
      <rPr>
        <rFont val="Calibri"/>
        <color theme="1"/>
        <sz val="14.0"/>
      </rPr>
      <t xml:space="preserve">Identifier </t>
    </r>
    <r>
      <rPr>
        <rFont val="FreeSans"/>
        <color theme="1"/>
        <sz val="14.0"/>
      </rPr>
      <t xml:space="preserve">ความไม่ซ้ำ ป้องกันการใช้ซ้ำ และปิด </t>
    </r>
    <r>
      <rPr>
        <rFont val="Calibri"/>
        <color theme="1"/>
        <sz val="14.0"/>
      </rPr>
      <t xml:space="preserve">Identifier </t>
    </r>
    <r>
      <rPr>
        <rFont val="FreeSans"/>
        <color theme="1"/>
        <sz val="14.0"/>
      </rPr>
      <t>ที่ไม่ใช้งาน</t>
    </r>
  </si>
  <si>
    <t>ESBIT-IA-05</t>
  </si>
  <si>
    <t>IA-05</t>
  </si>
  <si>
    <t>Authenticator Management</t>
  </si>
  <si>
    <t>Configure password policy (length, complexity, history, expiry), secret storage, default credential change and key/certificate handling</t>
  </si>
  <si>
    <r>
      <rPr>
        <rFont val="FreeSans"/>
        <color theme="1"/>
        <sz val="14.0"/>
      </rPr>
      <t xml:space="preserve">ตั้งค่า </t>
    </r>
    <r>
      <rPr>
        <rFont val="Calibri"/>
        <color theme="1"/>
        <sz val="14.0"/>
      </rPr>
      <t>Password Policy (</t>
    </r>
    <r>
      <rPr>
        <rFont val="FreeSans"/>
        <color theme="1"/>
        <sz val="14.0"/>
      </rPr>
      <t>ความยาว ความซับซ้อน ประวัติ อายุ</t>
    </r>
    <r>
      <rPr>
        <rFont val="Calibri"/>
        <color theme="1"/>
        <sz val="14.0"/>
      </rPr>
      <t xml:space="preserve">) </t>
    </r>
    <r>
      <rPr>
        <rFont val="FreeSans"/>
        <color theme="1"/>
        <sz val="14.0"/>
      </rPr>
      <t xml:space="preserve">การเก็บ </t>
    </r>
    <r>
      <rPr>
        <rFont val="Calibri"/>
        <color theme="1"/>
        <sz val="14.0"/>
      </rPr>
      <t xml:space="preserve">Secret </t>
    </r>
    <r>
      <rPr>
        <rFont val="FreeSans"/>
        <color theme="1"/>
        <sz val="14.0"/>
      </rPr>
      <t xml:space="preserve">เปลี่ยน </t>
    </r>
    <r>
      <rPr>
        <rFont val="Calibri"/>
        <color theme="1"/>
        <sz val="14.0"/>
      </rPr>
      <t xml:space="preserve">Default Credential </t>
    </r>
    <r>
      <rPr>
        <rFont val="FreeSans"/>
        <color theme="1"/>
        <sz val="14.0"/>
      </rPr>
      <t xml:space="preserve">และจัดการ </t>
    </r>
    <r>
      <rPr>
        <rFont val="Calibri"/>
        <color theme="1"/>
        <sz val="14.0"/>
      </rPr>
      <t>Key/Certificate</t>
    </r>
  </si>
  <si>
    <t>Identity &amp; Access Management, Infrastructure (Server/OS), Database, Network</t>
  </si>
  <si>
    <t>ESBIT-IA-05(01)</t>
  </si>
  <si>
    <t>IA-05(01)</t>
  </si>
  <si>
    <t>Authenticator Management | Password-based Authentication</t>
  </si>
  <si>
    <t>Enhances IA-05 (Authenticator Management): configure and enforce 'Password-based Authentication' in addition to the base setting, keep it consistent across applicable systems and document approved exceptions. Base scope: Configure password policy (length, complexity, history, expiry), secret storage, default credential change and key/certificate handling</t>
  </si>
  <si>
    <r>
      <rPr>
        <rFont val="FreeSans"/>
        <color theme="1"/>
        <sz val="14.0"/>
      </rPr>
      <t xml:space="preserve">ส่วนขยายของ </t>
    </r>
    <r>
      <rPr>
        <rFont val="Calibri"/>
        <color theme="1"/>
        <sz val="14.0"/>
      </rPr>
      <t xml:space="preserve">IA-05: </t>
    </r>
    <r>
      <rPr>
        <rFont val="FreeSans"/>
        <color theme="1"/>
        <sz val="14.0"/>
      </rPr>
      <t xml:space="preserve">กำหนดค่าและบังคับใช้ </t>
    </r>
    <r>
      <rPr>
        <rFont val="Calibri"/>
        <color theme="1"/>
        <sz val="14.0"/>
      </rPr>
      <t xml:space="preserve">'Password-based Authentication'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Password Policy (</t>
    </r>
    <r>
      <rPr>
        <rFont val="FreeSans"/>
        <color theme="1"/>
        <sz val="14.0"/>
      </rPr>
      <t>ความยาว ความซับซ้อน ประวัติ อายุ</t>
    </r>
    <r>
      <rPr>
        <rFont val="Calibri"/>
        <color theme="1"/>
        <sz val="14.0"/>
      </rPr>
      <t xml:space="preserve">) </t>
    </r>
    <r>
      <rPr>
        <rFont val="FreeSans"/>
        <color theme="1"/>
        <sz val="14.0"/>
      </rPr>
      <t xml:space="preserve">การเก็บ </t>
    </r>
    <r>
      <rPr>
        <rFont val="Calibri"/>
        <color theme="1"/>
        <sz val="14.0"/>
      </rPr>
      <t xml:space="preserve">Secret </t>
    </r>
    <r>
      <rPr>
        <rFont val="FreeSans"/>
        <color theme="1"/>
        <sz val="14.0"/>
      </rPr>
      <t xml:space="preserve">เปลี่ยน </t>
    </r>
    <r>
      <rPr>
        <rFont val="Calibri"/>
        <color theme="1"/>
        <sz val="14.0"/>
      </rPr>
      <t xml:space="preserve">Default Credential </t>
    </r>
    <r>
      <rPr>
        <rFont val="FreeSans"/>
        <color theme="1"/>
        <sz val="14.0"/>
      </rPr>
      <t xml:space="preserve">และจัดการ </t>
    </r>
    <r>
      <rPr>
        <rFont val="Calibri"/>
        <color theme="1"/>
        <sz val="14.0"/>
      </rPr>
      <t>Key/Certificate</t>
    </r>
  </si>
  <si>
    <t>ESBIT-IA-05(02)</t>
  </si>
  <si>
    <t>IA-05(02)</t>
  </si>
  <si>
    <t>Authenticator Management | Public Key-based Authentication</t>
  </si>
  <si>
    <t>Enhances IA-05 (Authenticator Management): configure and enforce 'Public Key-based Authentication' in addition to the base setting, keep it consistent across applicable systems and document approved exceptions. Base scope: Configure password policy (length, complexity, history, expiry), secret storage, default credential change and key/certificate handling</t>
  </si>
  <si>
    <r>
      <rPr>
        <rFont val="FreeSans"/>
        <color theme="1"/>
        <sz val="14.0"/>
      </rPr>
      <t xml:space="preserve">ส่วนขยายของ </t>
    </r>
    <r>
      <rPr>
        <rFont val="Calibri"/>
        <color theme="1"/>
        <sz val="14.0"/>
      </rPr>
      <t xml:space="preserve">IA-05: </t>
    </r>
    <r>
      <rPr>
        <rFont val="FreeSans"/>
        <color theme="1"/>
        <sz val="14.0"/>
      </rPr>
      <t xml:space="preserve">กำหนดค่าและบังคับใช้ </t>
    </r>
    <r>
      <rPr>
        <rFont val="Calibri"/>
        <color theme="1"/>
        <sz val="14.0"/>
      </rPr>
      <t xml:space="preserve">'Public Key-based Authentication'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Password Policy (</t>
    </r>
    <r>
      <rPr>
        <rFont val="FreeSans"/>
        <color theme="1"/>
        <sz val="14.0"/>
      </rPr>
      <t>ความยาว ความซับซ้อน ประวัติ อายุ</t>
    </r>
    <r>
      <rPr>
        <rFont val="Calibri"/>
        <color theme="1"/>
        <sz val="14.0"/>
      </rPr>
      <t xml:space="preserve">) </t>
    </r>
    <r>
      <rPr>
        <rFont val="FreeSans"/>
        <color theme="1"/>
        <sz val="14.0"/>
      </rPr>
      <t xml:space="preserve">การเก็บ </t>
    </r>
    <r>
      <rPr>
        <rFont val="Calibri"/>
        <color theme="1"/>
        <sz val="14.0"/>
      </rPr>
      <t xml:space="preserve">Secret </t>
    </r>
    <r>
      <rPr>
        <rFont val="FreeSans"/>
        <color theme="1"/>
        <sz val="14.0"/>
      </rPr>
      <t xml:space="preserve">เปลี่ยน </t>
    </r>
    <r>
      <rPr>
        <rFont val="Calibri"/>
        <color theme="1"/>
        <sz val="14.0"/>
      </rPr>
      <t xml:space="preserve">Default Credential </t>
    </r>
    <r>
      <rPr>
        <rFont val="FreeSans"/>
        <color theme="1"/>
        <sz val="14.0"/>
      </rPr>
      <t xml:space="preserve">และจัดการ </t>
    </r>
    <r>
      <rPr>
        <rFont val="Calibri"/>
        <color theme="1"/>
        <sz val="14.0"/>
      </rPr>
      <t>Key/Certificate</t>
    </r>
  </si>
  <si>
    <t>ESBIT-IA-05(05)</t>
  </si>
  <si>
    <t>IA-05(05)</t>
  </si>
  <si>
    <t>Authenticator Management | Change Authenticators Prior to Delivery</t>
  </si>
  <si>
    <t>Enhances IA-05 (Authenticator Management): configure and enforce 'Change Authenticators Prior to Delivery' in addition to the base setting, keep it consistent across applicable systems and document approved exceptions. Base scope: Configure password policy (length, complexity, history, expiry), secret storage, default credential change and key/certificate handling</t>
  </si>
  <si>
    <r>
      <rPr>
        <rFont val="FreeSans"/>
        <color theme="1"/>
        <sz val="14.0"/>
      </rPr>
      <t xml:space="preserve">ส่วนขยายของ </t>
    </r>
    <r>
      <rPr>
        <rFont val="Calibri"/>
        <color theme="1"/>
        <sz val="14.0"/>
      </rPr>
      <t xml:space="preserve">IA-05: </t>
    </r>
    <r>
      <rPr>
        <rFont val="FreeSans"/>
        <color theme="1"/>
        <sz val="14.0"/>
      </rPr>
      <t xml:space="preserve">กำหนดค่าและบังคับใช้ </t>
    </r>
    <r>
      <rPr>
        <rFont val="Calibri"/>
        <color theme="1"/>
        <sz val="14.0"/>
      </rPr>
      <t xml:space="preserve">'Change Authenticators Prior to Delivery'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Password Policy (</t>
    </r>
    <r>
      <rPr>
        <rFont val="FreeSans"/>
        <color theme="1"/>
        <sz val="14.0"/>
      </rPr>
      <t>ความยาว ความซับซ้อน ประวัติ อายุ</t>
    </r>
    <r>
      <rPr>
        <rFont val="Calibri"/>
        <color theme="1"/>
        <sz val="14.0"/>
      </rPr>
      <t xml:space="preserve">) </t>
    </r>
    <r>
      <rPr>
        <rFont val="FreeSans"/>
        <color theme="1"/>
        <sz val="14.0"/>
      </rPr>
      <t xml:space="preserve">การเก็บ </t>
    </r>
    <r>
      <rPr>
        <rFont val="Calibri"/>
        <color theme="1"/>
        <sz val="14.0"/>
      </rPr>
      <t xml:space="preserve">Secret </t>
    </r>
    <r>
      <rPr>
        <rFont val="FreeSans"/>
        <color theme="1"/>
        <sz val="14.0"/>
      </rPr>
      <t xml:space="preserve">เปลี่ยน </t>
    </r>
    <r>
      <rPr>
        <rFont val="Calibri"/>
        <color theme="1"/>
        <sz val="14.0"/>
      </rPr>
      <t xml:space="preserve">Default Credential </t>
    </r>
    <r>
      <rPr>
        <rFont val="FreeSans"/>
        <color theme="1"/>
        <sz val="14.0"/>
      </rPr>
      <t xml:space="preserve">และจัดการ </t>
    </r>
    <r>
      <rPr>
        <rFont val="Calibri"/>
        <color theme="1"/>
        <sz val="14.0"/>
      </rPr>
      <t>Key/Certificate</t>
    </r>
  </si>
  <si>
    <t>ESBIT-IA-05(06)</t>
  </si>
  <si>
    <t>IA-05(06)</t>
  </si>
  <si>
    <t>Authenticator Management | Protection of Authenticators</t>
  </si>
  <si>
    <t>Enhances IA-05 (Authenticator Management): configure and enforce 'Protection of Authenticators' in addition to the base setting, keep it consistent across applicable systems and document approved exceptions. Base scope: Configure password policy (length, complexity, history, expiry), secret storage, default credential change and key/certificate handling</t>
  </si>
  <si>
    <r>
      <rPr>
        <rFont val="FreeSans"/>
        <color theme="1"/>
        <sz val="14.0"/>
      </rPr>
      <t xml:space="preserve">ส่วนขยายของ </t>
    </r>
    <r>
      <rPr>
        <rFont val="Calibri"/>
        <color theme="1"/>
        <sz val="14.0"/>
      </rPr>
      <t xml:space="preserve">IA-05: </t>
    </r>
    <r>
      <rPr>
        <rFont val="FreeSans"/>
        <color theme="1"/>
        <sz val="14.0"/>
      </rPr>
      <t xml:space="preserve">กำหนดค่าและบังคับใช้ </t>
    </r>
    <r>
      <rPr>
        <rFont val="Calibri"/>
        <color theme="1"/>
        <sz val="14.0"/>
      </rPr>
      <t xml:space="preserve">'Protection of Authenticators'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Password Policy (</t>
    </r>
    <r>
      <rPr>
        <rFont val="FreeSans"/>
        <color theme="1"/>
        <sz val="14.0"/>
      </rPr>
      <t>ความยาว ความซับซ้อน ประวัติ อายุ</t>
    </r>
    <r>
      <rPr>
        <rFont val="Calibri"/>
        <color theme="1"/>
        <sz val="14.0"/>
      </rPr>
      <t xml:space="preserve">) </t>
    </r>
    <r>
      <rPr>
        <rFont val="FreeSans"/>
        <color theme="1"/>
        <sz val="14.0"/>
      </rPr>
      <t xml:space="preserve">การเก็บ </t>
    </r>
    <r>
      <rPr>
        <rFont val="Calibri"/>
        <color theme="1"/>
        <sz val="14.0"/>
      </rPr>
      <t xml:space="preserve">Secret </t>
    </r>
    <r>
      <rPr>
        <rFont val="FreeSans"/>
        <color theme="1"/>
        <sz val="14.0"/>
      </rPr>
      <t xml:space="preserve">เปลี่ยน </t>
    </r>
    <r>
      <rPr>
        <rFont val="Calibri"/>
        <color theme="1"/>
        <sz val="14.0"/>
      </rPr>
      <t xml:space="preserve">Default Credential </t>
    </r>
    <r>
      <rPr>
        <rFont val="FreeSans"/>
        <color theme="1"/>
        <sz val="14.0"/>
      </rPr>
      <t xml:space="preserve">และจัดการ </t>
    </r>
    <r>
      <rPr>
        <rFont val="Calibri"/>
        <color theme="1"/>
        <sz val="14.0"/>
      </rPr>
      <t>Key/Certificate</t>
    </r>
  </si>
  <si>
    <t>ESBIT-IA-05(07)</t>
  </si>
  <si>
    <t>IA-05(07)</t>
  </si>
  <si>
    <t>Authenticator Management | No Embedded Unencrypted Static Authenticators</t>
  </si>
  <si>
    <t>Enhances IA-05 (Authenticator Management): configure and enforce 'No Embedded Unencrypted Static Authenticators' in addition to the base setting, keep it consistent across applicable systems and document approved exceptions. Base scope: Configure password policy (length, complexity, history, expiry), secret storage, default credential change and key/certificate handling</t>
  </si>
  <si>
    <r>
      <rPr>
        <rFont val="FreeSans"/>
        <color theme="1"/>
        <sz val="14.0"/>
      </rPr>
      <t xml:space="preserve">ส่วนขยายของ </t>
    </r>
    <r>
      <rPr>
        <rFont val="Calibri"/>
        <color theme="1"/>
        <sz val="14.0"/>
      </rPr>
      <t xml:space="preserve">IA-05: </t>
    </r>
    <r>
      <rPr>
        <rFont val="FreeSans"/>
        <color theme="1"/>
        <sz val="14.0"/>
      </rPr>
      <t xml:space="preserve">กำหนดค่าและบังคับใช้ </t>
    </r>
    <r>
      <rPr>
        <rFont val="Calibri"/>
        <color theme="1"/>
        <sz val="14.0"/>
      </rPr>
      <t xml:space="preserve">'No Embedded Unencrypted Static Authenticators'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Password Policy (</t>
    </r>
    <r>
      <rPr>
        <rFont val="FreeSans"/>
        <color theme="1"/>
        <sz val="14.0"/>
      </rPr>
      <t>ความยาว ความซับซ้อน ประวัติ อายุ</t>
    </r>
    <r>
      <rPr>
        <rFont val="Calibri"/>
        <color theme="1"/>
        <sz val="14.0"/>
      </rPr>
      <t xml:space="preserve">) </t>
    </r>
    <r>
      <rPr>
        <rFont val="FreeSans"/>
        <color theme="1"/>
        <sz val="14.0"/>
      </rPr>
      <t xml:space="preserve">การเก็บ </t>
    </r>
    <r>
      <rPr>
        <rFont val="Calibri"/>
        <color theme="1"/>
        <sz val="14.0"/>
      </rPr>
      <t xml:space="preserve">Secret </t>
    </r>
    <r>
      <rPr>
        <rFont val="FreeSans"/>
        <color theme="1"/>
        <sz val="14.0"/>
      </rPr>
      <t xml:space="preserve">เปลี่ยน </t>
    </r>
    <r>
      <rPr>
        <rFont val="Calibri"/>
        <color theme="1"/>
        <sz val="14.0"/>
      </rPr>
      <t xml:space="preserve">Default Credential </t>
    </r>
    <r>
      <rPr>
        <rFont val="FreeSans"/>
        <color theme="1"/>
        <sz val="14.0"/>
      </rPr>
      <t xml:space="preserve">และจัดการ </t>
    </r>
    <r>
      <rPr>
        <rFont val="Calibri"/>
        <color theme="1"/>
        <sz val="14.0"/>
      </rPr>
      <t>Key/Certificate</t>
    </r>
  </si>
  <si>
    <t>ESBIT-IA-05(08)</t>
  </si>
  <si>
    <t>IA-05(08)</t>
  </si>
  <si>
    <t>Authenticator Management | Multiple System Accounts</t>
  </si>
  <si>
    <t>Enhances IA-05 (Authenticator Management): configure and enforce 'Multiple System Accounts' in addition to the base setting, keep it consistent across applicable systems and document approved exceptions. Base scope: Configure password policy (length, complexity, history, expiry), secret storage, default credential change and key/certificate handling</t>
  </si>
  <si>
    <r>
      <rPr>
        <rFont val="FreeSans"/>
        <color theme="1"/>
        <sz val="14.0"/>
      </rPr>
      <t xml:space="preserve">ส่วนขยายของ </t>
    </r>
    <r>
      <rPr>
        <rFont val="Calibri"/>
        <color theme="1"/>
        <sz val="14.0"/>
      </rPr>
      <t xml:space="preserve">IA-05: </t>
    </r>
    <r>
      <rPr>
        <rFont val="FreeSans"/>
        <color theme="1"/>
        <sz val="14.0"/>
      </rPr>
      <t xml:space="preserve">กำหนดค่าและบังคับใช้ </t>
    </r>
    <r>
      <rPr>
        <rFont val="Calibri"/>
        <color theme="1"/>
        <sz val="14.0"/>
      </rPr>
      <t xml:space="preserve">'Multiple System Accounts'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Password Policy (</t>
    </r>
    <r>
      <rPr>
        <rFont val="FreeSans"/>
        <color theme="1"/>
        <sz val="14.0"/>
      </rPr>
      <t>ความยาว ความซับซ้อน ประวัติ อายุ</t>
    </r>
    <r>
      <rPr>
        <rFont val="Calibri"/>
        <color theme="1"/>
        <sz val="14.0"/>
      </rPr>
      <t xml:space="preserve">) </t>
    </r>
    <r>
      <rPr>
        <rFont val="FreeSans"/>
        <color theme="1"/>
        <sz val="14.0"/>
      </rPr>
      <t xml:space="preserve">การเก็บ </t>
    </r>
    <r>
      <rPr>
        <rFont val="Calibri"/>
        <color theme="1"/>
        <sz val="14.0"/>
      </rPr>
      <t xml:space="preserve">Secret </t>
    </r>
    <r>
      <rPr>
        <rFont val="FreeSans"/>
        <color theme="1"/>
        <sz val="14.0"/>
      </rPr>
      <t xml:space="preserve">เปลี่ยน </t>
    </r>
    <r>
      <rPr>
        <rFont val="Calibri"/>
        <color theme="1"/>
        <sz val="14.0"/>
      </rPr>
      <t xml:space="preserve">Default Credential </t>
    </r>
    <r>
      <rPr>
        <rFont val="FreeSans"/>
        <color theme="1"/>
        <sz val="14.0"/>
      </rPr>
      <t xml:space="preserve">และจัดการ </t>
    </r>
    <r>
      <rPr>
        <rFont val="Calibri"/>
        <color theme="1"/>
        <sz val="14.0"/>
      </rPr>
      <t>Key/Certificate</t>
    </r>
  </si>
  <si>
    <t>ESBIT-IA-05(09)</t>
  </si>
  <si>
    <t>IA-05(09)</t>
  </si>
  <si>
    <t>Authenticator Management | Federated Credential Management</t>
  </si>
  <si>
    <t>Enhances IA-05 (Authenticator Management): configure and enforce 'Federated Credential Management' in addition to the base setting, keep it consistent across applicable systems and document approved exceptions. Base scope: Configure password policy (length, complexity, history, expiry), secret storage, default credential change and key/certificate handling</t>
  </si>
  <si>
    <r>
      <rPr>
        <rFont val="FreeSans"/>
        <color theme="1"/>
        <sz val="14.0"/>
      </rPr>
      <t xml:space="preserve">ส่วนขยายของ </t>
    </r>
    <r>
      <rPr>
        <rFont val="Calibri"/>
        <color theme="1"/>
        <sz val="14.0"/>
      </rPr>
      <t xml:space="preserve">IA-05: </t>
    </r>
    <r>
      <rPr>
        <rFont val="FreeSans"/>
        <color theme="1"/>
        <sz val="14.0"/>
      </rPr>
      <t xml:space="preserve">กำหนดค่าและบังคับใช้ </t>
    </r>
    <r>
      <rPr>
        <rFont val="Calibri"/>
        <color theme="1"/>
        <sz val="14.0"/>
      </rPr>
      <t xml:space="preserve">'Federated Credential Management'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Password Policy (</t>
    </r>
    <r>
      <rPr>
        <rFont val="FreeSans"/>
        <color theme="1"/>
        <sz val="14.0"/>
      </rPr>
      <t>ความยาว ความซับซ้อน ประวัติ อายุ</t>
    </r>
    <r>
      <rPr>
        <rFont val="Calibri"/>
        <color theme="1"/>
        <sz val="14.0"/>
      </rPr>
      <t xml:space="preserve">) </t>
    </r>
    <r>
      <rPr>
        <rFont val="FreeSans"/>
        <color theme="1"/>
        <sz val="14.0"/>
      </rPr>
      <t xml:space="preserve">การเก็บ </t>
    </r>
    <r>
      <rPr>
        <rFont val="Calibri"/>
        <color theme="1"/>
        <sz val="14.0"/>
      </rPr>
      <t xml:space="preserve">Secret </t>
    </r>
    <r>
      <rPr>
        <rFont val="FreeSans"/>
        <color theme="1"/>
        <sz val="14.0"/>
      </rPr>
      <t xml:space="preserve">เปลี่ยน </t>
    </r>
    <r>
      <rPr>
        <rFont val="Calibri"/>
        <color theme="1"/>
        <sz val="14.0"/>
      </rPr>
      <t xml:space="preserve">Default Credential </t>
    </r>
    <r>
      <rPr>
        <rFont val="FreeSans"/>
        <color theme="1"/>
        <sz val="14.0"/>
      </rPr>
      <t xml:space="preserve">และจัดการ </t>
    </r>
    <r>
      <rPr>
        <rFont val="Calibri"/>
        <color theme="1"/>
        <sz val="14.0"/>
      </rPr>
      <t>Key/Certificate</t>
    </r>
  </si>
  <si>
    <t>ESBIT-IA-05(10)</t>
  </si>
  <si>
    <t>IA-05(10)</t>
  </si>
  <si>
    <t>Authenticator Management | Dynamic Credential Binding</t>
  </si>
  <si>
    <t>Enhances IA-05 (Authenticator Management): configure and enforce 'Dynamic Credential Binding' in addition to the base setting, keep it consistent across applicable systems and document approved exceptions. Base scope: Configure password policy (length, complexity, history, expiry), secret storage, default credential change and key/certificate handling</t>
  </si>
  <si>
    <r>
      <rPr>
        <rFont val="FreeSans"/>
        <color theme="1"/>
        <sz val="14.0"/>
      </rPr>
      <t xml:space="preserve">ส่วนขยายของ </t>
    </r>
    <r>
      <rPr>
        <rFont val="Calibri"/>
        <color theme="1"/>
        <sz val="14.0"/>
      </rPr>
      <t xml:space="preserve">IA-05: </t>
    </r>
    <r>
      <rPr>
        <rFont val="FreeSans"/>
        <color theme="1"/>
        <sz val="14.0"/>
      </rPr>
      <t xml:space="preserve">กำหนดค่าและบังคับใช้ </t>
    </r>
    <r>
      <rPr>
        <rFont val="Calibri"/>
        <color theme="1"/>
        <sz val="14.0"/>
      </rPr>
      <t xml:space="preserve">'Dynamic Credential Binding'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Password Policy (</t>
    </r>
    <r>
      <rPr>
        <rFont val="FreeSans"/>
        <color theme="1"/>
        <sz val="14.0"/>
      </rPr>
      <t>ความยาว ความซับซ้อน ประวัติ อายุ</t>
    </r>
    <r>
      <rPr>
        <rFont val="Calibri"/>
        <color theme="1"/>
        <sz val="14.0"/>
      </rPr>
      <t xml:space="preserve">) </t>
    </r>
    <r>
      <rPr>
        <rFont val="FreeSans"/>
        <color theme="1"/>
        <sz val="14.0"/>
      </rPr>
      <t xml:space="preserve">การเก็บ </t>
    </r>
    <r>
      <rPr>
        <rFont val="Calibri"/>
        <color theme="1"/>
        <sz val="14.0"/>
      </rPr>
      <t xml:space="preserve">Secret </t>
    </r>
    <r>
      <rPr>
        <rFont val="FreeSans"/>
        <color theme="1"/>
        <sz val="14.0"/>
      </rPr>
      <t xml:space="preserve">เปลี่ยน </t>
    </r>
    <r>
      <rPr>
        <rFont val="Calibri"/>
        <color theme="1"/>
        <sz val="14.0"/>
      </rPr>
      <t xml:space="preserve">Default Credential </t>
    </r>
    <r>
      <rPr>
        <rFont val="FreeSans"/>
        <color theme="1"/>
        <sz val="14.0"/>
      </rPr>
      <t xml:space="preserve">และจัดการ </t>
    </r>
    <r>
      <rPr>
        <rFont val="Calibri"/>
        <color theme="1"/>
        <sz val="14.0"/>
      </rPr>
      <t>Key/Certificate</t>
    </r>
  </si>
  <si>
    <t>ESBIT-IA-05(12)</t>
  </si>
  <si>
    <t>IA-05(12)</t>
  </si>
  <si>
    <t>Authenticator Management | Biometric Authentication Performance</t>
  </si>
  <si>
    <t>Enhances IA-05 (Authenticator Management): configure and enforce 'Biometric Authentication Performance' in addition to the base setting, keep it consistent across applicable systems and document approved exceptions. Base scope: Configure password policy (length, complexity, history, expiry), secret storage, default credential change and key/certificate handling</t>
  </si>
  <si>
    <r>
      <rPr>
        <rFont val="FreeSans"/>
        <color theme="1"/>
        <sz val="14.0"/>
      </rPr>
      <t xml:space="preserve">ส่วนขยายของ </t>
    </r>
    <r>
      <rPr>
        <rFont val="Calibri"/>
        <color theme="1"/>
        <sz val="14.0"/>
      </rPr>
      <t xml:space="preserve">IA-05: </t>
    </r>
    <r>
      <rPr>
        <rFont val="FreeSans"/>
        <color theme="1"/>
        <sz val="14.0"/>
      </rPr>
      <t xml:space="preserve">กำหนดค่าและบังคับใช้ </t>
    </r>
    <r>
      <rPr>
        <rFont val="Calibri"/>
        <color theme="1"/>
        <sz val="14.0"/>
      </rPr>
      <t xml:space="preserve">'Biometric Authentication Performance'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Password Policy (</t>
    </r>
    <r>
      <rPr>
        <rFont val="FreeSans"/>
        <color theme="1"/>
        <sz val="14.0"/>
      </rPr>
      <t>ความยาว ความซับซ้อน ประวัติ อายุ</t>
    </r>
    <r>
      <rPr>
        <rFont val="Calibri"/>
        <color theme="1"/>
        <sz val="14.0"/>
      </rPr>
      <t xml:space="preserve">) </t>
    </r>
    <r>
      <rPr>
        <rFont val="FreeSans"/>
        <color theme="1"/>
        <sz val="14.0"/>
      </rPr>
      <t xml:space="preserve">การเก็บ </t>
    </r>
    <r>
      <rPr>
        <rFont val="Calibri"/>
        <color theme="1"/>
        <sz val="14.0"/>
      </rPr>
      <t xml:space="preserve">Secret </t>
    </r>
    <r>
      <rPr>
        <rFont val="FreeSans"/>
        <color theme="1"/>
        <sz val="14.0"/>
      </rPr>
      <t xml:space="preserve">เปลี่ยน </t>
    </r>
    <r>
      <rPr>
        <rFont val="Calibri"/>
        <color theme="1"/>
        <sz val="14.0"/>
      </rPr>
      <t xml:space="preserve">Default Credential </t>
    </r>
    <r>
      <rPr>
        <rFont val="FreeSans"/>
        <color theme="1"/>
        <sz val="14.0"/>
      </rPr>
      <t xml:space="preserve">และจัดการ </t>
    </r>
    <r>
      <rPr>
        <rFont val="Calibri"/>
        <color theme="1"/>
        <sz val="14.0"/>
      </rPr>
      <t>Key/Certificate</t>
    </r>
  </si>
  <si>
    <t>ESBIT-IA-05(13)</t>
  </si>
  <si>
    <t>IA-05(13)</t>
  </si>
  <si>
    <t>Authenticator Management | Expiration of Cached Authenticators</t>
  </si>
  <si>
    <t>Enhances IA-05 (Authenticator Management): configure and enforce 'Expiration of Cached Authenticators' in addition to the base setting, keep it consistent across applicable systems and document approved exceptions. Base scope: Configure password policy (length, complexity, history, expiry), secret storage, default credential change and key/certificate handling</t>
  </si>
  <si>
    <r>
      <rPr>
        <rFont val="FreeSans"/>
        <color theme="1"/>
        <sz val="14.0"/>
      </rPr>
      <t xml:space="preserve">ส่วนขยายของ </t>
    </r>
    <r>
      <rPr>
        <rFont val="Calibri"/>
        <color theme="1"/>
        <sz val="14.0"/>
      </rPr>
      <t xml:space="preserve">IA-05: </t>
    </r>
    <r>
      <rPr>
        <rFont val="FreeSans"/>
        <color theme="1"/>
        <sz val="14.0"/>
      </rPr>
      <t xml:space="preserve">กำหนดค่าและบังคับใช้ </t>
    </r>
    <r>
      <rPr>
        <rFont val="Calibri"/>
        <color theme="1"/>
        <sz val="14.0"/>
      </rPr>
      <t xml:space="preserve">'Expiration of Cached Authenticators'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Password Policy (</t>
    </r>
    <r>
      <rPr>
        <rFont val="FreeSans"/>
        <color theme="1"/>
        <sz val="14.0"/>
      </rPr>
      <t>ความยาว ความซับซ้อน ประวัติ อายุ</t>
    </r>
    <r>
      <rPr>
        <rFont val="Calibri"/>
        <color theme="1"/>
        <sz val="14.0"/>
      </rPr>
      <t xml:space="preserve">) </t>
    </r>
    <r>
      <rPr>
        <rFont val="FreeSans"/>
        <color theme="1"/>
        <sz val="14.0"/>
      </rPr>
      <t xml:space="preserve">การเก็บ </t>
    </r>
    <r>
      <rPr>
        <rFont val="Calibri"/>
        <color theme="1"/>
        <sz val="14.0"/>
      </rPr>
      <t xml:space="preserve">Secret </t>
    </r>
    <r>
      <rPr>
        <rFont val="FreeSans"/>
        <color theme="1"/>
        <sz val="14.0"/>
      </rPr>
      <t xml:space="preserve">เปลี่ยน </t>
    </r>
    <r>
      <rPr>
        <rFont val="Calibri"/>
        <color theme="1"/>
        <sz val="14.0"/>
      </rPr>
      <t xml:space="preserve">Default Credential </t>
    </r>
    <r>
      <rPr>
        <rFont val="FreeSans"/>
        <color theme="1"/>
        <sz val="14.0"/>
      </rPr>
      <t xml:space="preserve">และจัดการ </t>
    </r>
    <r>
      <rPr>
        <rFont val="Calibri"/>
        <color theme="1"/>
        <sz val="14.0"/>
      </rPr>
      <t>Key/Certificate</t>
    </r>
  </si>
  <si>
    <t>ESBIT-IA-05(14)</t>
  </si>
  <si>
    <t>IA-05(14)</t>
  </si>
  <si>
    <t>Authenticator Management | Managing Content of PKI Trust Stores</t>
  </si>
  <si>
    <t>Enhances IA-05 (Authenticator Management): configure and enforce 'Managing Content of PKI Trust Stores' in addition to the base setting, keep it consistent across applicable systems and document approved exceptions. Base scope: Configure password policy (length, complexity, history, expiry), secret storage, default credential change and key/certificate handling</t>
  </si>
  <si>
    <r>
      <rPr>
        <rFont val="FreeSans"/>
        <color theme="1"/>
        <sz val="14.0"/>
      </rPr>
      <t xml:space="preserve">ส่วนขยายของ </t>
    </r>
    <r>
      <rPr>
        <rFont val="Calibri"/>
        <color theme="1"/>
        <sz val="14.0"/>
      </rPr>
      <t xml:space="preserve">IA-05: </t>
    </r>
    <r>
      <rPr>
        <rFont val="FreeSans"/>
        <color theme="1"/>
        <sz val="14.0"/>
      </rPr>
      <t xml:space="preserve">กำหนดค่าและบังคับใช้ </t>
    </r>
    <r>
      <rPr>
        <rFont val="Calibri"/>
        <color theme="1"/>
        <sz val="14.0"/>
      </rPr>
      <t xml:space="preserve">'Managing Content of PKI Trust Stores'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Password Policy (</t>
    </r>
    <r>
      <rPr>
        <rFont val="FreeSans"/>
        <color theme="1"/>
        <sz val="14.0"/>
      </rPr>
      <t>ความยาว ความซับซ้อน ประวัติ อายุ</t>
    </r>
    <r>
      <rPr>
        <rFont val="Calibri"/>
        <color theme="1"/>
        <sz val="14.0"/>
      </rPr>
      <t xml:space="preserve">) </t>
    </r>
    <r>
      <rPr>
        <rFont val="FreeSans"/>
        <color theme="1"/>
        <sz val="14.0"/>
      </rPr>
      <t xml:space="preserve">การเก็บ </t>
    </r>
    <r>
      <rPr>
        <rFont val="Calibri"/>
        <color theme="1"/>
        <sz val="14.0"/>
      </rPr>
      <t xml:space="preserve">Secret </t>
    </r>
    <r>
      <rPr>
        <rFont val="FreeSans"/>
        <color theme="1"/>
        <sz val="14.0"/>
      </rPr>
      <t xml:space="preserve">เปลี่ยน </t>
    </r>
    <r>
      <rPr>
        <rFont val="Calibri"/>
        <color theme="1"/>
        <sz val="14.0"/>
      </rPr>
      <t xml:space="preserve">Default Credential </t>
    </r>
    <r>
      <rPr>
        <rFont val="FreeSans"/>
        <color theme="1"/>
        <sz val="14.0"/>
      </rPr>
      <t xml:space="preserve">และจัดการ </t>
    </r>
    <r>
      <rPr>
        <rFont val="Calibri"/>
        <color theme="1"/>
        <sz val="14.0"/>
      </rPr>
      <t>Key/Certificate</t>
    </r>
  </si>
  <si>
    <t>ESBIT-IA-05(15)</t>
  </si>
  <si>
    <t>IA-05(15)</t>
  </si>
  <si>
    <t>Authenticator Management | GSA-approved Products and Services</t>
  </si>
  <si>
    <t>Enhances IA-05 (Authenticator Management): configure and enforce 'GSA-approved Products and Services' in addition to the base setting, keep it consistent across applicable systems and document approved exceptions. Base scope: Configure password policy (length, complexity, history, expiry), secret storage, default credential change and key/certificate handling</t>
  </si>
  <si>
    <r>
      <rPr>
        <rFont val="FreeSans"/>
        <color theme="1"/>
        <sz val="14.0"/>
      </rPr>
      <t xml:space="preserve">ส่วนขยายของ </t>
    </r>
    <r>
      <rPr>
        <rFont val="Calibri"/>
        <color theme="1"/>
        <sz val="14.0"/>
      </rPr>
      <t xml:space="preserve">IA-05: </t>
    </r>
    <r>
      <rPr>
        <rFont val="FreeSans"/>
        <color theme="1"/>
        <sz val="14.0"/>
      </rPr>
      <t xml:space="preserve">กำหนดค่าและบังคับใช้ </t>
    </r>
    <r>
      <rPr>
        <rFont val="Calibri"/>
        <color theme="1"/>
        <sz val="14.0"/>
      </rPr>
      <t xml:space="preserve">'GSA-approved Products and Services'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Password Policy (</t>
    </r>
    <r>
      <rPr>
        <rFont val="FreeSans"/>
        <color theme="1"/>
        <sz val="14.0"/>
      </rPr>
      <t>ความยาว ความซับซ้อน ประวัติ อายุ</t>
    </r>
    <r>
      <rPr>
        <rFont val="Calibri"/>
        <color theme="1"/>
        <sz val="14.0"/>
      </rPr>
      <t xml:space="preserve">) </t>
    </r>
    <r>
      <rPr>
        <rFont val="FreeSans"/>
        <color theme="1"/>
        <sz val="14.0"/>
      </rPr>
      <t xml:space="preserve">การเก็บ </t>
    </r>
    <r>
      <rPr>
        <rFont val="Calibri"/>
        <color theme="1"/>
        <sz val="14.0"/>
      </rPr>
      <t xml:space="preserve">Secret </t>
    </r>
    <r>
      <rPr>
        <rFont val="FreeSans"/>
        <color theme="1"/>
        <sz val="14.0"/>
      </rPr>
      <t xml:space="preserve">เปลี่ยน </t>
    </r>
    <r>
      <rPr>
        <rFont val="Calibri"/>
        <color theme="1"/>
        <sz val="14.0"/>
      </rPr>
      <t xml:space="preserve">Default Credential </t>
    </r>
    <r>
      <rPr>
        <rFont val="FreeSans"/>
        <color theme="1"/>
        <sz val="14.0"/>
      </rPr>
      <t xml:space="preserve">และจัดการ </t>
    </r>
    <r>
      <rPr>
        <rFont val="Calibri"/>
        <color theme="1"/>
        <sz val="14.0"/>
      </rPr>
      <t>Key/Certificate</t>
    </r>
  </si>
  <si>
    <t>ESBIT-IA-05(16)</t>
  </si>
  <si>
    <t>IA-05(16)</t>
  </si>
  <si>
    <t>Authenticator Management | In-person or Trusted External Party Authenticator Issuance</t>
  </si>
  <si>
    <t>Enhances IA-05 (Authenticator Management): configure and enforce 'In-person or Trusted External Party Authenticator Issuance' in addition to the base setting, keep it consistent across applicable systems and document approved exceptions. Base scope: Configure password policy (length, complexity, history, expiry), secret storage, default credential change and key/certificate handling</t>
  </si>
  <si>
    <r>
      <rPr>
        <rFont val="FreeSans"/>
        <color theme="1"/>
        <sz val="14.0"/>
      </rPr>
      <t xml:space="preserve">ส่วนขยายของ </t>
    </r>
    <r>
      <rPr>
        <rFont val="Calibri"/>
        <color theme="1"/>
        <sz val="14.0"/>
      </rPr>
      <t xml:space="preserve">IA-05: </t>
    </r>
    <r>
      <rPr>
        <rFont val="FreeSans"/>
        <color theme="1"/>
        <sz val="14.0"/>
      </rPr>
      <t xml:space="preserve">กำหนดค่าและบังคับใช้ </t>
    </r>
    <r>
      <rPr>
        <rFont val="Calibri"/>
        <color theme="1"/>
        <sz val="14.0"/>
      </rPr>
      <t xml:space="preserve">'In-person or Trusted External Party Authenticator Issuance'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Password Policy (</t>
    </r>
    <r>
      <rPr>
        <rFont val="FreeSans"/>
        <color theme="1"/>
        <sz val="14.0"/>
      </rPr>
      <t>ความยาว ความซับซ้อน ประวัติ อายุ</t>
    </r>
    <r>
      <rPr>
        <rFont val="Calibri"/>
        <color theme="1"/>
        <sz val="14.0"/>
      </rPr>
      <t xml:space="preserve">) </t>
    </r>
    <r>
      <rPr>
        <rFont val="FreeSans"/>
        <color theme="1"/>
        <sz val="14.0"/>
      </rPr>
      <t xml:space="preserve">การเก็บ </t>
    </r>
    <r>
      <rPr>
        <rFont val="Calibri"/>
        <color theme="1"/>
        <sz val="14.0"/>
      </rPr>
      <t xml:space="preserve">Secret </t>
    </r>
    <r>
      <rPr>
        <rFont val="FreeSans"/>
        <color theme="1"/>
        <sz val="14.0"/>
      </rPr>
      <t xml:space="preserve">เปลี่ยน </t>
    </r>
    <r>
      <rPr>
        <rFont val="Calibri"/>
        <color theme="1"/>
        <sz val="14.0"/>
      </rPr>
      <t xml:space="preserve">Default Credential </t>
    </r>
    <r>
      <rPr>
        <rFont val="FreeSans"/>
        <color theme="1"/>
        <sz val="14.0"/>
      </rPr>
      <t xml:space="preserve">และจัดการ </t>
    </r>
    <r>
      <rPr>
        <rFont val="Calibri"/>
        <color theme="1"/>
        <sz val="14.0"/>
      </rPr>
      <t>Key/Certificate</t>
    </r>
  </si>
  <si>
    <t>ESBIT-IA-05(17)</t>
  </si>
  <si>
    <t>IA-05(17)</t>
  </si>
  <si>
    <t>Authenticator Management | Presentation Attack Detection for Biometric Authenticators</t>
  </si>
  <si>
    <t>Enhances IA-05 (Authenticator Management): configure and enforce 'Presentation Attack Detection for Biometric Authenticators' in addition to the base setting, keep it consistent across applicable systems and document approved exceptions. Base scope: Configure password policy (length, complexity, history, expiry), secret storage, default credential change and key/certificate handling</t>
  </si>
  <si>
    <r>
      <rPr>
        <rFont val="FreeSans"/>
        <color theme="1"/>
        <sz val="14.0"/>
      </rPr>
      <t xml:space="preserve">ส่วนขยายของ </t>
    </r>
    <r>
      <rPr>
        <rFont val="Calibri"/>
        <color theme="1"/>
        <sz val="14.0"/>
      </rPr>
      <t xml:space="preserve">IA-05: </t>
    </r>
    <r>
      <rPr>
        <rFont val="FreeSans"/>
        <color theme="1"/>
        <sz val="14.0"/>
      </rPr>
      <t xml:space="preserve">กำหนดค่าและบังคับใช้ </t>
    </r>
    <r>
      <rPr>
        <rFont val="Calibri"/>
        <color theme="1"/>
        <sz val="14.0"/>
      </rPr>
      <t xml:space="preserve">'Presentation Attack Detection for Biometric Authenticators'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Password Policy (</t>
    </r>
    <r>
      <rPr>
        <rFont val="FreeSans"/>
        <color theme="1"/>
        <sz val="14.0"/>
      </rPr>
      <t>ความยาว ความซับซ้อน ประวัติ อายุ</t>
    </r>
    <r>
      <rPr>
        <rFont val="Calibri"/>
        <color theme="1"/>
        <sz val="14.0"/>
      </rPr>
      <t xml:space="preserve">) </t>
    </r>
    <r>
      <rPr>
        <rFont val="FreeSans"/>
        <color theme="1"/>
        <sz val="14.0"/>
      </rPr>
      <t xml:space="preserve">การเก็บ </t>
    </r>
    <r>
      <rPr>
        <rFont val="Calibri"/>
        <color theme="1"/>
        <sz val="14.0"/>
      </rPr>
      <t xml:space="preserve">Secret </t>
    </r>
    <r>
      <rPr>
        <rFont val="FreeSans"/>
        <color theme="1"/>
        <sz val="14.0"/>
      </rPr>
      <t xml:space="preserve">เปลี่ยน </t>
    </r>
    <r>
      <rPr>
        <rFont val="Calibri"/>
        <color theme="1"/>
        <sz val="14.0"/>
      </rPr>
      <t xml:space="preserve">Default Credential </t>
    </r>
    <r>
      <rPr>
        <rFont val="FreeSans"/>
        <color theme="1"/>
        <sz val="14.0"/>
      </rPr>
      <t xml:space="preserve">และจัดการ </t>
    </r>
    <r>
      <rPr>
        <rFont val="Calibri"/>
        <color theme="1"/>
        <sz val="14.0"/>
      </rPr>
      <t>Key/Certificate</t>
    </r>
  </si>
  <si>
    <t>ESBIT-IA-05(18)</t>
  </si>
  <si>
    <t>IA-05(18)</t>
  </si>
  <si>
    <t>Authenticator Management | Password Managers</t>
  </si>
  <si>
    <t>Enhances IA-05 (Authenticator Management): configure and enforce 'Password Managers' in addition to the base setting, keep it consistent across applicable systems and document approved exceptions. Base scope: Configure password policy (length, complexity, history, expiry), secret storage, default credential change and key/certificate handling</t>
  </si>
  <si>
    <r>
      <rPr>
        <rFont val="FreeSans"/>
        <color theme="1"/>
        <sz val="14.0"/>
      </rPr>
      <t xml:space="preserve">ส่วนขยายของ </t>
    </r>
    <r>
      <rPr>
        <rFont val="Calibri"/>
        <color theme="1"/>
        <sz val="14.0"/>
      </rPr>
      <t xml:space="preserve">IA-05: </t>
    </r>
    <r>
      <rPr>
        <rFont val="FreeSans"/>
        <color theme="1"/>
        <sz val="14.0"/>
      </rPr>
      <t xml:space="preserve">กำหนดค่าและบังคับใช้ </t>
    </r>
    <r>
      <rPr>
        <rFont val="Calibri"/>
        <color theme="1"/>
        <sz val="14.0"/>
      </rPr>
      <t xml:space="preserve">'Password Managers'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Password Policy (</t>
    </r>
    <r>
      <rPr>
        <rFont val="FreeSans"/>
        <color theme="1"/>
        <sz val="14.0"/>
      </rPr>
      <t>ความยาว ความซับซ้อน ประวัติ อายุ</t>
    </r>
    <r>
      <rPr>
        <rFont val="Calibri"/>
        <color theme="1"/>
        <sz val="14.0"/>
      </rPr>
      <t xml:space="preserve">) </t>
    </r>
    <r>
      <rPr>
        <rFont val="FreeSans"/>
        <color theme="1"/>
        <sz val="14.0"/>
      </rPr>
      <t xml:space="preserve">การเก็บ </t>
    </r>
    <r>
      <rPr>
        <rFont val="Calibri"/>
        <color theme="1"/>
        <sz val="14.0"/>
      </rPr>
      <t xml:space="preserve">Secret </t>
    </r>
    <r>
      <rPr>
        <rFont val="FreeSans"/>
        <color theme="1"/>
        <sz val="14.0"/>
      </rPr>
      <t xml:space="preserve">เปลี่ยน </t>
    </r>
    <r>
      <rPr>
        <rFont val="Calibri"/>
        <color theme="1"/>
        <sz val="14.0"/>
      </rPr>
      <t xml:space="preserve">Default Credential </t>
    </r>
    <r>
      <rPr>
        <rFont val="FreeSans"/>
        <color theme="1"/>
        <sz val="14.0"/>
      </rPr>
      <t xml:space="preserve">และจัดการ </t>
    </r>
    <r>
      <rPr>
        <rFont val="Calibri"/>
        <color theme="1"/>
        <sz val="14.0"/>
      </rPr>
      <t>Key/Certificate</t>
    </r>
  </si>
  <si>
    <t>ESBIT-IA-06</t>
  </si>
  <si>
    <t>IA-06</t>
  </si>
  <si>
    <t>Authentication Feedback</t>
  </si>
  <si>
    <t>Configure obscured authentication feedback such as masked password input</t>
  </si>
  <si>
    <t>ตั้งค่าไม่แสดงข้อมูลตอบกลับการพิสูจน์ตัวตน เช่น ซ่อนรหัสผ่าน</t>
  </si>
  <si>
    <t>ESBIT-IA-07</t>
  </si>
  <si>
    <t>IA-07</t>
  </si>
  <si>
    <t>Cryptographic Module Authentication</t>
  </si>
  <si>
    <t>Use validated cryptographic modules (FIPS) for authentication to cryptographic functions</t>
  </si>
  <si>
    <r>
      <rPr>
        <rFont val="FreeSans"/>
        <color theme="1"/>
        <sz val="14.0"/>
      </rPr>
      <t xml:space="preserve">ใช้ </t>
    </r>
    <r>
      <rPr>
        <rFont val="Calibri"/>
        <color theme="1"/>
        <sz val="14.0"/>
      </rPr>
      <t xml:space="preserve">Cryptographic Module </t>
    </r>
    <r>
      <rPr>
        <rFont val="FreeSans"/>
        <color theme="1"/>
        <sz val="14.0"/>
      </rPr>
      <t xml:space="preserve">ที่ผ่านการรับรอง </t>
    </r>
    <r>
      <rPr>
        <rFont val="Calibri"/>
        <color theme="1"/>
        <sz val="14.0"/>
      </rPr>
      <t xml:space="preserve">(FIPS) </t>
    </r>
    <r>
      <rPr>
        <rFont val="FreeSans"/>
        <color theme="1"/>
        <sz val="14.0"/>
      </rPr>
      <t>สำหรับการพิสูจน์ตัวตนต่อฟังก์ชันเข้ารหัส</t>
    </r>
  </si>
  <si>
    <t>Cryptography/PKI, Infrastructure (Server/OS)</t>
  </si>
  <si>
    <t>ESBIT-IA-08</t>
  </si>
  <si>
    <t>IA-08</t>
  </si>
  <si>
    <t>Identification and Authentication (Non-organizational Users)</t>
  </si>
  <si>
    <t>Configure authentication for external users, partners and federated identities on portals and APIs</t>
  </si>
  <si>
    <r>
      <rPr>
        <rFont val="FreeSans"/>
        <color theme="1"/>
        <sz val="14.0"/>
      </rPr>
      <t xml:space="preserve">ตั้งค่าการพิสูจน์ตัวตนผู้ใช้ภายนอก พันธมิตร และ </t>
    </r>
    <r>
      <rPr>
        <rFont val="Calibri"/>
        <color theme="1"/>
        <sz val="14.0"/>
      </rPr>
      <t xml:space="preserve">Federated Identity </t>
    </r>
    <r>
      <rPr>
        <rFont val="FreeSans"/>
        <color theme="1"/>
        <sz val="14.0"/>
      </rPr>
      <t xml:space="preserve">บน </t>
    </r>
    <r>
      <rPr>
        <rFont val="Calibri"/>
        <color theme="1"/>
        <sz val="14.0"/>
      </rPr>
      <t>Portal/API</t>
    </r>
  </si>
  <si>
    <t>Identity &amp; Access Management, Application/Software, Cloud</t>
  </si>
  <si>
    <t>ESBIT-IA-08(01)</t>
  </si>
  <si>
    <t>IA-08(01)</t>
  </si>
  <si>
    <t>Identification and Authentication (Non-organizational Users) | Acceptance of PIV Credentials from Other Agencies</t>
  </si>
  <si>
    <t>Enhances IA-08 (Identification and Authentication (Non-organizational Users)): configure and enforce 'Acceptance of PIV Credentials from Other Agencies' in addition to the base setting, keep it consistent across applicable systems and document approved exceptions. Base scope: Configure authentication for external users, partners and federated identities on portals and APIs</t>
  </si>
  <si>
    <r>
      <rPr>
        <rFont val="FreeSans"/>
        <color theme="1"/>
        <sz val="14.0"/>
      </rPr>
      <t xml:space="preserve">ส่วนขยายของ </t>
    </r>
    <r>
      <rPr>
        <rFont val="Calibri"/>
        <color theme="1"/>
        <sz val="14.0"/>
      </rPr>
      <t xml:space="preserve">IA-08: </t>
    </r>
    <r>
      <rPr>
        <rFont val="FreeSans"/>
        <color theme="1"/>
        <sz val="14.0"/>
      </rPr>
      <t xml:space="preserve">กำหนดค่าและบังคับใช้ </t>
    </r>
    <r>
      <rPr>
        <rFont val="Calibri"/>
        <color theme="1"/>
        <sz val="14.0"/>
      </rPr>
      <t xml:space="preserve">'Acceptance of PIV Credentials from Other Agencies'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ตั้งค่าการพิสูจน์ตัวตนผู้ใช้ภายนอก พันธมิตร และ </t>
    </r>
    <r>
      <rPr>
        <rFont val="Calibri"/>
        <color theme="1"/>
        <sz val="14.0"/>
      </rPr>
      <t xml:space="preserve">Federated Identity </t>
    </r>
    <r>
      <rPr>
        <rFont val="FreeSans"/>
        <color theme="1"/>
        <sz val="14.0"/>
      </rPr>
      <t xml:space="preserve">บน </t>
    </r>
    <r>
      <rPr>
        <rFont val="Calibri"/>
        <color theme="1"/>
        <sz val="14.0"/>
      </rPr>
      <t>Portal/API</t>
    </r>
  </si>
  <si>
    <t>ESBIT-IA-08(02)</t>
  </si>
  <si>
    <t>IA-08(02)</t>
  </si>
  <si>
    <t>Identification and Authentication (Non-organizational Users) | Acceptance of External Authenticators</t>
  </si>
  <si>
    <t>Enhances IA-08 (Identification and Authentication (Non-organizational Users)): configure and enforce 'Acceptance of External Authenticators' in addition to the base setting, keep it consistent across applicable systems and document approved exceptions. Base scope: Configure authentication for external users, partners and federated identities on portals and APIs</t>
  </si>
  <si>
    <r>
      <rPr>
        <rFont val="FreeSans"/>
        <color theme="1"/>
        <sz val="14.0"/>
      </rPr>
      <t xml:space="preserve">ส่วนขยายของ </t>
    </r>
    <r>
      <rPr>
        <rFont val="Calibri"/>
        <color theme="1"/>
        <sz val="14.0"/>
      </rPr>
      <t xml:space="preserve">IA-08: </t>
    </r>
    <r>
      <rPr>
        <rFont val="FreeSans"/>
        <color theme="1"/>
        <sz val="14.0"/>
      </rPr>
      <t xml:space="preserve">กำหนดค่าและบังคับใช้ </t>
    </r>
    <r>
      <rPr>
        <rFont val="Calibri"/>
        <color theme="1"/>
        <sz val="14.0"/>
      </rPr>
      <t xml:space="preserve">'Acceptance of External Authenticators'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ตั้งค่าการพิสูจน์ตัวตนผู้ใช้ภายนอก พันธมิตร และ </t>
    </r>
    <r>
      <rPr>
        <rFont val="Calibri"/>
        <color theme="1"/>
        <sz val="14.0"/>
      </rPr>
      <t xml:space="preserve">Federated Identity </t>
    </r>
    <r>
      <rPr>
        <rFont val="FreeSans"/>
        <color theme="1"/>
        <sz val="14.0"/>
      </rPr>
      <t xml:space="preserve">บน </t>
    </r>
    <r>
      <rPr>
        <rFont val="Calibri"/>
        <color theme="1"/>
        <sz val="14.0"/>
      </rPr>
      <t>Portal/API</t>
    </r>
  </si>
  <si>
    <t>ESBIT-IA-08(03)</t>
  </si>
  <si>
    <t>IA-08(03)</t>
  </si>
  <si>
    <t>Identification and Authentication (Non-organizational Users) | Use of FICAM-approved Products</t>
  </si>
  <si>
    <t>Enhances IA-08 (Identification and Authentication (Non-organizational Users)): configure and enforce 'Use of FICAM-approved Products' in addition to the base setting, keep it consistent across applicable systems and document approved exceptions. Base scope: Configure authentication for external users, partners and federated identities on portals and APIs</t>
  </si>
  <si>
    <r>
      <rPr>
        <rFont val="FreeSans"/>
        <color theme="1"/>
        <sz val="14.0"/>
      </rPr>
      <t xml:space="preserve">ส่วนขยายของ </t>
    </r>
    <r>
      <rPr>
        <rFont val="Calibri"/>
        <color theme="1"/>
        <sz val="14.0"/>
      </rPr>
      <t xml:space="preserve">IA-08: </t>
    </r>
    <r>
      <rPr>
        <rFont val="FreeSans"/>
        <color theme="1"/>
        <sz val="14.0"/>
      </rPr>
      <t xml:space="preserve">กำหนดค่าและบังคับใช้ </t>
    </r>
    <r>
      <rPr>
        <rFont val="Calibri"/>
        <color theme="1"/>
        <sz val="14.0"/>
      </rPr>
      <t xml:space="preserve">'Use of FICAM-approved Products'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ตั้งค่าการพิสูจน์ตัวตนผู้ใช้ภายนอก พันธมิตร และ </t>
    </r>
    <r>
      <rPr>
        <rFont val="Calibri"/>
        <color theme="1"/>
        <sz val="14.0"/>
      </rPr>
      <t xml:space="preserve">Federated Identity </t>
    </r>
    <r>
      <rPr>
        <rFont val="FreeSans"/>
        <color theme="1"/>
        <sz val="14.0"/>
      </rPr>
      <t xml:space="preserve">บน </t>
    </r>
    <r>
      <rPr>
        <rFont val="Calibri"/>
        <color theme="1"/>
        <sz val="14.0"/>
      </rPr>
      <t>Portal/API</t>
    </r>
  </si>
  <si>
    <t>ESBIT-IA-08(04)</t>
  </si>
  <si>
    <t>IA-08(04)</t>
  </si>
  <si>
    <t>Identification and Authentication (Non-organizational Users) | Use of Defined Profiles</t>
  </si>
  <si>
    <t>Enhances IA-08 (Identification and Authentication (Non-organizational Users)): configure and enforce 'Use of Defined Profiles' in addition to the base setting, keep it consistent across applicable systems and document approved exceptions. Base scope: Configure authentication for external users, partners and federated identities on portals and APIs</t>
  </si>
  <si>
    <r>
      <rPr>
        <rFont val="FreeSans"/>
        <color theme="1"/>
        <sz val="14.0"/>
      </rPr>
      <t xml:space="preserve">ส่วนขยายของ </t>
    </r>
    <r>
      <rPr>
        <rFont val="Calibri"/>
        <color theme="1"/>
        <sz val="14.0"/>
      </rPr>
      <t xml:space="preserve">IA-08: </t>
    </r>
    <r>
      <rPr>
        <rFont val="FreeSans"/>
        <color theme="1"/>
        <sz val="14.0"/>
      </rPr>
      <t xml:space="preserve">กำหนดค่าและบังคับใช้ </t>
    </r>
    <r>
      <rPr>
        <rFont val="Calibri"/>
        <color theme="1"/>
        <sz val="14.0"/>
      </rPr>
      <t xml:space="preserve">'Use of Defined Profiles'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ตั้งค่าการพิสูจน์ตัวตนผู้ใช้ภายนอก พันธมิตร และ </t>
    </r>
    <r>
      <rPr>
        <rFont val="Calibri"/>
        <color theme="1"/>
        <sz val="14.0"/>
      </rPr>
      <t xml:space="preserve">Federated Identity </t>
    </r>
    <r>
      <rPr>
        <rFont val="FreeSans"/>
        <color theme="1"/>
        <sz val="14.0"/>
      </rPr>
      <t xml:space="preserve">บน </t>
    </r>
    <r>
      <rPr>
        <rFont val="Calibri"/>
        <color theme="1"/>
        <sz val="14.0"/>
      </rPr>
      <t>Portal/API</t>
    </r>
  </si>
  <si>
    <t>ESBIT-IA-08(05)</t>
  </si>
  <si>
    <t>IA-08(05)</t>
  </si>
  <si>
    <t>Identification and Authentication (Non-organizational Users) | Acceptance of PIV-I Credentials</t>
  </si>
  <si>
    <t>Enhances IA-08 (Identification and Authentication (Non-organizational Users)): configure and enforce 'Acceptance of PIV-I Credentials' in addition to the base setting, keep it consistent across applicable systems and document approved exceptions. Base scope: Configure authentication for external users, partners and federated identities on portals and APIs</t>
  </si>
  <si>
    <r>
      <rPr>
        <rFont val="FreeSans"/>
        <color theme="1"/>
        <sz val="14.0"/>
      </rPr>
      <t xml:space="preserve">ส่วนขยายของ </t>
    </r>
    <r>
      <rPr>
        <rFont val="Calibri"/>
        <color theme="1"/>
        <sz val="14.0"/>
      </rPr>
      <t xml:space="preserve">IA-08: </t>
    </r>
    <r>
      <rPr>
        <rFont val="FreeSans"/>
        <color theme="1"/>
        <sz val="14.0"/>
      </rPr>
      <t xml:space="preserve">กำหนดค่าและบังคับใช้ </t>
    </r>
    <r>
      <rPr>
        <rFont val="Calibri"/>
        <color theme="1"/>
        <sz val="14.0"/>
      </rPr>
      <t xml:space="preserve">'Acceptance of PIV-I Credentials'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ตั้งค่าการพิสูจน์ตัวตนผู้ใช้ภายนอก พันธมิตร และ </t>
    </r>
    <r>
      <rPr>
        <rFont val="Calibri"/>
        <color theme="1"/>
        <sz val="14.0"/>
      </rPr>
      <t xml:space="preserve">Federated Identity </t>
    </r>
    <r>
      <rPr>
        <rFont val="FreeSans"/>
        <color theme="1"/>
        <sz val="14.0"/>
      </rPr>
      <t xml:space="preserve">บน </t>
    </r>
    <r>
      <rPr>
        <rFont val="Calibri"/>
        <color theme="1"/>
        <sz val="14.0"/>
      </rPr>
      <t>Portal/API</t>
    </r>
  </si>
  <si>
    <t>ESBIT-IA-08(06)</t>
  </si>
  <si>
    <t>IA-08(06)</t>
  </si>
  <si>
    <t>Identification and Authentication (Non-organizational Users) | Disassociability</t>
  </si>
  <si>
    <t>Enhances IA-08 (Identification and Authentication (Non-organizational Users)): configure and enforce 'Disassociability' in addition to the base setting, keep it consistent across applicable systems and document approved exceptions. Base scope: Configure authentication for external users, partners and federated identities on portals and APIs</t>
  </si>
  <si>
    <r>
      <rPr>
        <rFont val="FreeSans"/>
        <color theme="1"/>
        <sz val="14.0"/>
      </rPr>
      <t xml:space="preserve">ส่วนขยายของ </t>
    </r>
    <r>
      <rPr>
        <rFont val="Calibri"/>
        <color theme="1"/>
        <sz val="14.0"/>
      </rPr>
      <t xml:space="preserve">IA-08: </t>
    </r>
    <r>
      <rPr>
        <rFont val="FreeSans"/>
        <color theme="1"/>
        <sz val="14.0"/>
      </rPr>
      <t xml:space="preserve">กำหนดค่าและบังคับใช้ </t>
    </r>
    <r>
      <rPr>
        <rFont val="Calibri"/>
        <color theme="1"/>
        <sz val="14.0"/>
      </rPr>
      <t xml:space="preserve">'Disassociability'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ตั้งค่าการพิสูจน์ตัวตนผู้ใช้ภายนอก พันธมิตร และ </t>
    </r>
    <r>
      <rPr>
        <rFont val="Calibri"/>
        <color theme="1"/>
        <sz val="14.0"/>
      </rPr>
      <t xml:space="preserve">Federated Identity </t>
    </r>
    <r>
      <rPr>
        <rFont val="FreeSans"/>
        <color theme="1"/>
        <sz val="14.0"/>
      </rPr>
      <t xml:space="preserve">บน </t>
    </r>
    <r>
      <rPr>
        <rFont val="Calibri"/>
        <color theme="1"/>
        <sz val="14.0"/>
      </rPr>
      <t>Portal/API</t>
    </r>
  </si>
  <si>
    <t>ESBIT-IA-09</t>
  </si>
  <si>
    <t>IA-09</t>
  </si>
  <si>
    <t>Service Identification and Authentication</t>
  </si>
  <si>
    <t>Configure service-to-service authentication using certificates, tokens or managed identities</t>
  </si>
  <si>
    <r>
      <rPr>
        <rFont val="FreeSans"/>
        <color theme="1"/>
        <sz val="14.0"/>
      </rPr>
      <t xml:space="preserve">ตั้งค่าการพิสูจน์ตัวตนระหว่างบริการด้วย </t>
    </r>
    <r>
      <rPr>
        <rFont val="Calibri"/>
        <color theme="1"/>
        <sz val="14.0"/>
      </rPr>
      <t xml:space="preserve">Certificate, Token </t>
    </r>
    <r>
      <rPr>
        <rFont val="FreeSans"/>
        <color theme="1"/>
        <sz val="14.0"/>
      </rPr>
      <t xml:space="preserve">หรือ </t>
    </r>
    <r>
      <rPr>
        <rFont val="Calibri"/>
        <color theme="1"/>
        <sz val="14.0"/>
      </rPr>
      <t>Managed Identity</t>
    </r>
  </si>
  <si>
    <t>Application/Software, Identity &amp; Access Management, Cloud</t>
  </si>
  <si>
    <t>ESBIT-IA-10</t>
  </si>
  <si>
    <t>IA-10</t>
  </si>
  <si>
    <t>Adaptive Authentication</t>
  </si>
  <si>
    <t>Configure risk-based or conditional access policies requiring additional authentication</t>
  </si>
  <si>
    <r>
      <rPr>
        <rFont val="FreeSans"/>
        <color theme="1"/>
        <sz val="14.0"/>
      </rPr>
      <t xml:space="preserve">ตั้งค่า </t>
    </r>
    <r>
      <rPr>
        <rFont val="Calibri"/>
        <color theme="1"/>
        <sz val="14.0"/>
      </rPr>
      <t xml:space="preserve">Conditional Access/Risk-based Authentication </t>
    </r>
    <r>
      <rPr>
        <rFont val="FreeSans"/>
        <color theme="1"/>
        <sz val="14.0"/>
      </rPr>
      <t>ที่ขอการยืนยันเพิ่มเติม</t>
    </r>
  </si>
  <si>
    <t>ESBIT-IA-11</t>
  </si>
  <si>
    <t>IA-11</t>
  </si>
  <si>
    <t>Re-authentication</t>
  </si>
  <si>
    <t>Configure re-authentication triggers such as role change, elevation and session timeout</t>
  </si>
  <si>
    <r>
      <rPr>
        <rFont val="FreeSans"/>
        <color theme="1"/>
        <sz val="14.0"/>
      </rPr>
      <t xml:space="preserve">ตั้งค่าเงื่อนไขให้ยืนยันตัวตนซ้ำ เช่น เปลี่ยนบทบาท ยกระดับสิทธิ์ หรือ </t>
    </r>
    <r>
      <rPr>
        <rFont val="Calibri"/>
        <color theme="1"/>
        <sz val="14.0"/>
      </rPr>
      <t xml:space="preserve">Session </t>
    </r>
    <r>
      <rPr>
        <rFont val="FreeSans"/>
        <color theme="1"/>
        <sz val="14.0"/>
      </rPr>
      <t>หมดเวลา</t>
    </r>
  </si>
  <si>
    <t>ESBIT-IA-12</t>
  </si>
  <si>
    <t>IA-12</t>
  </si>
  <si>
    <t>Identity Proofing</t>
  </si>
  <si>
    <t>PR.AA-02</t>
  </si>
  <si>
    <t>Identities are proofed and bound to credentials based on the context of interactions</t>
  </si>
  <si>
    <t>Not a direct configuration item - identity proofing before issuing accounts and credentials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</si>
  <si>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การพิสูจน์ตัวตนก่อนออกบัญชีและ </t>
    </r>
    <r>
      <rPr>
        <rFont val="Calibri"/>
        <color theme="1"/>
        <sz val="14.0"/>
      </rPr>
      <t>Credential</t>
    </r>
  </si>
  <si>
    <t>ESBIT-IA-12(01)</t>
  </si>
  <si>
    <t>IA-12(01)</t>
  </si>
  <si>
    <t>Identity Proofing | Supervisor Authorization</t>
  </si>
  <si>
    <t>Not a direct configuration item - enhancement of IA-12 (Identity Proofing): 'Supervisor Authorization'; identity proofing before issuing accounts and credentials.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</si>
  <si>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IA-12: 'Supervisor Authorization' - </t>
    </r>
    <r>
      <rPr>
        <rFont val="FreeSans"/>
        <color theme="1"/>
        <sz val="14.0"/>
      </rPr>
      <t xml:space="preserve">การพิสูจน์ตัวตนก่อนออกบัญชีและ </t>
    </r>
    <r>
      <rPr>
        <rFont val="Calibri"/>
        <color theme="1"/>
        <sz val="14.0"/>
      </rPr>
      <t>Credential</t>
    </r>
  </si>
  <si>
    <t>ESBIT-IA-12(02)</t>
  </si>
  <si>
    <t>IA-12(02)</t>
  </si>
  <si>
    <t>Identity Proofing | Identity Evidence</t>
  </si>
  <si>
    <t>Not a direct configuration item - enhancement of IA-12 (Identity Proofing): 'Identity Evidence'; identity proofing before issuing accounts and credentials.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</si>
  <si>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IA-12: 'Identity Evidence' - </t>
    </r>
    <r>
      <rPr>
        <rFont val="FreeSans"/>
        <color theme="1"/>
        <sz val="14.0"/>
      </rPr>
      <t xml:space="preserve">การพิสูจน์ตัวตนก่อนออกบัญชีและ </t>
    </r>
    <r>
      <rPr>
        <rFont val="Calibri"/>
        <color theme="1"/>
        <sz val="14.0"/>
      </rPr>
      <t>Credential</t>
    </r>
  </si>
  <si>
    <t>ESBIT-IA-12(03)</t>
  </si>
  <si>
    <t>IA-12(03)</t>
  </si>
  <si>
    <t>Identity Proofing | Identity Evidence Validation and Verification</t>
  </si>
  <si>
    <t>Not a direct configuration item - enhancement of IA-12 (Identity Proofing): 'Identity Evidence Validation and Verification'; identity proofing before issuing accounts and credentials.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</si>
  <si>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IA-12: 'Identity Evidence Validation and Verification' - </t>
    </r>
    <r>
      <rPr>
        <rFont val="FreeSans"/>
        <color theme="1"/>
        <sz val="14.0"/>
      </rPr>
      <t xml:space="preserve">การพิสูจน์ตัวตนก่อนออกบัญชีและ </t>
    </r>
    <r>
      <rPr>
        <rFont val="Calibri"/>
        <color theme="1"/>
        <sz val="14.0"/>
      </rPr>
      <t>Credential</t>
    </r>
  </si>
  <si>
    <t>ESBIT-IA-12(04)</t>
  </si>
  <si>
    <t>IA-12(04)</t>
  </si>
  <si>
    <t>Identity Proofing | In-person Validation and Verification</t>
  </si>
  <si>
    <t>Not a direct configuration item - enhancement of IA-12 (Identity Proofing): 'In-person Validation and Verification'; identity proofing before issuing accounts and credentials.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</si>
  <si>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IA-12: 'In-person Validation and Verification' - </t>
    </r>
    <r>
      <rPr>
        <rFont val="FreeSans"/>
        <color theme="1"/>
        <sz val="14.0"/>
      </rPr>
      <t xml:space="preserve">การพิสูจน์ตัวตนก่อนออกบัญชีและ </t>
    </r>
    <r>
      <rPr>
        <rFont val="Calibri"/>
        <color theme="1"/>
        <sz val="14.0"/>
      </rPr>
      <t>Credential</t>
    </r>
  </si>
  <si>
    <t>ESBIT-IA-12(05)</t>
  </si>
  <si>
    <t>IA-12(05)</t>
  </si>
  <si>
    <t>Identity Proofing | Address Confirmation</t>
  </si>
  <si>
    <t>Not a direct configuration item - enhancement of IA-12 (Identity Proofing): 'Address Confirmation'; identity proofing before issuing accounts and credentials.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</si>
  <si>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IA-12: 'Address Confirmation' - </t>
    </r>
    <r>
      <rPr>
        <rFont val="FreeSans"/>
        <color theme="1"/>
        <sz val="14.0"/>
      </rPr>
      <t xml:space="preserve">การพิสูจน์ตัวตนก่อนออกบัญชีและ </t>
    </r>
    <r>
      <rPr>
        <rFont val="Calibri"/>
        <color theme="1"/>
        <sz val="14.0"/>
      </rPr>
      <t>Credential</t>
    </r>
  </si>
  <si>
    <t>ESBIT-IA-12(06)</t>
  </si>
  <si>
    <t>IA-12(06)</t>
  </si>
  <si>
    <t>Identity Proofing | Accept Externally-proofed Identities</t>
  </si>
  <si>
    <t>Not a direct configuration item - enhancement of IA-12 (Identity Proofing): 'Accept Externally-proofed Identities'; identity proofing before issuing accounts and credentials.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</si>
  <si>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IA-12: 'Accept Externally-proofed Identities' - </t>
    </r>
    <r>
      <rPr>
        <rFont val="FreeSans"/>
        <color theme="1"/>
        <sz val="14.0"/>
      </rPr>
      <t xml:space="preserve">การพิสูจน์ตัวตนก่อนออกบัญชีและ </t>
    </r>
    <r>
      <rPr>
        <rFont val="Calibri"/>
        <color theme="1"/>
        <sz val="14.0"/>
      </rPr>
      <t>Credential</t>
    </r>
  </si>
  <si>
    <t>ESBIT-IA-13</t>
  </si>
  <si>
    <t>IA-13</t>
  </si>
  <si>
    <t>Identity Providers and Authorization Servers</t>
  </si>
  <si>
    <t>PR.AA-04</t>
  </si>
  <si>
    <t>Identity assertions are protected, conveyed, and verified</t>
  </si>
  <si>
    <t>Configure identity providers and authorization servers with protected keys and token validation</t>
  </si>
  <si>
    <r>
      <rPr>
        <rFont val="FreeSans"/>
        <color theme="1"/>
        <sz val="14.0"/>
      </rPr>
      <t xml:space="preserve">ตั้งค่า </t>
    </r>
    <r>
      <rPr>
        <rFont val="Calibri"/>
        <color theme="1"/>
        <sz val="14.0"/>
      </rPr>
      <t xml:space="preserve">Identity Provider </t>
    </r>
    <r>
      <rPr>
        <rFont val="FreeSans"/>
        <color theme="1"/>
        <sz val="14.0"/>
      </rPr>
      <t xml:space="preserve">และ </t>
    </r>
    <r>
      <rPr>
        <rFont val="Calibri"/>
        <color theme="1"/>
        <sz val="14.0"/>
      </rPr>
      <t xml:space="preserve">Authorization Server </t>
    </r>
    <r>
      <rPr>
        <rFont val="FreeSans"/>
        <color theme="1"/>
        <sz val="14.0"/>
      </rPr>
      <t xml:space="preserve">พร้อมป้องกัน </t>
    </r>
    <r>
      <rPr>
        <rFont val="Calibri"/>
        <color theme="1"/>
        <sz val="14.0"/>
      </rPr>
      <t xml:space="preserve">Key </t>
    </r>
    <r>
      <rPr>
        <rFont val="FreeSans"/>
        <color theme="1"/>
        <sz val="14.0"/>
      </rPr>
      <t xml:space="preserve">และตรวจสอบ </t>
    </r>
    <r>
      <rPr>
        <rFont val="Calibri"/>
        <color theme="1"/>
        <sz val="14.0"/>
      </rPr>
      <t>Token</t>
    </r>
  </si>
  <si>
    <t>Identity &amp; Access Management, Cloud</t>
  </si>
  <si>
    <t>ESBIT-IA-13(01)</t>
  </si>
  <si>
    <t>IA-13(01)</t>
  </si>
  <si>
    <t>Identity Providers and Authorization Servers | Protection of Cryptographic Keys</t>
  </si>
  <si>
    <t>Enhances IA-13 (Identity Providers and Authorization Servers): configure and enforce 'Protection of Cryptographic Keys' in addition to the base setting, keep it consistent across applicable systems and document approved exceptions. Base scope: Configure identity providers and authorization servers with protected keys and token validation</t>
  </si>
  <si>
    <r>
      <rPr>
        <rFont val="FreeSans"/>
        <color theme="1"/>
        <sz val="14.0"/>
      </rPr>
      <t xml:space="preserve">ส่วนขยายของ </t>
    </r>
    <r>
      <rPr>
        <rFont val="Calibri"/>
        <color theme="1"/>
        <sz val="14.0"/>
      </rPr>
      <t xml:space="preserve">IA-13: </t>
    </r>
    <r>
      <rPr>
        <rFont val="FreeSans"/>
        <color theme="1"/>
        <sz val="14.0"/>
      </rPr>
      <t xml:space="preserve">กำหนดค่าและบังคับใช้ </t>
    </r>
    <r>
      <rPr>
        <rFont val="Calibri"/>
        <color theme="1"/>
        <sz val="14.0"/>
      </rPr>
      <t xml:space="preserve">'Protection of Cryptographic Keys'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Identity Provider </t>
    </r>
    <r>
      <rPr>
        <rFont val="FreeSans"/>
        <color theme="1"/>
        <sz val="14.0"/>
      </rPr>
      <t xml:space="preserve">และ </t>
    </r>
    <r>
      <rPr>
        <rFont val="Calibri"/>
        <color theme="1"/>
        <sz val="14.0"/>
      </rPr>
      <t xml:space="preserve">Authorization Server </t>
    </r>
    <r>
      <rPr>
        <rFont val="FreeSans"/>
        <color theme="1"/>
        <sz val="14.0"/>
      </rPr>
      <t xml:space="preserve">พร้อมป้องกัน </t>
    </r>
    <r>
      <rPr>
        <rFont val="Calibri"/>
        <color theme="1"/>
        <sz val="14.0"/>
      </rPr>
      <t xml:space="preserve">Key </t>
    </r>
    <r>
      <rPr>
        <rFont val="FreeSans"/>
        <color theme="1"/>
        <sz val="14.0"/>
      </rPr>
      <t xml:space="preserve">และตรวจสอบ </t>
    </r>
    <r>
      <rPr>
        <rFont val="Calibri"/>
        <color theme="1"/>
        <sz val="14.0"/>
      </rPr>
      <t>Token</t>
    </r>
  </si>
  <si>
    <t>ESBIT-IA-13(02)</t>
  </si>
  <si>
    <t>IA-13(02)</t>
  </si>
  <si>
    <t>Identity Providers and Authorization Servers | Verification of Identity Assertions and Access Tokens</t>
  </si>
  <si>
    <t>Enhances IA-13 (Identity Providers and Authorization Servers): configure and enforce 'Verification of Identity Assertions and Access Tokens' in addition to the base setting, keep it consistent across applicable systems and document approved exceptions. Base scope: Configure identity providers and authorization servers with protected keys and token validation</t>
  </si>
  <si>
    <r>
      <rPr>
        <rFont val="FreeSans"/>
        <color theme="1"/>
        <sz val="14.0"/>
      </rPr>
      <t xml:space="preserve">ส่วนขยายของ </t>
    </r>
    <r>
      <rPr>
        <rFont val="Calibri"/>
        <color theme="1"/>
        <sz val="14.0"/>
      </rPr>
      <t xml:space="preserve">IA-13: </t>
    </r>
    <r>
      <rPr>
        <rFont val="FreeSans"/>
        <color theme="1"/>
        <sz val="14.0"/>
      </rPr>
      <t xml:space="preserve">กำหนดค่าและบังคับใช้ </t>
    </r>
    <r>
      <rPr>
        <rFont val="Calibri"/>
        <color theme="1"/>
        <sz val="14.0"/>
      </rPr>
      <t xml:space="preserve">'Verification of Identity Assertions and Access Tokens'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Identity Provider </t>
    </r>
    <r>
      <rPr>
        <rFont val="FreeSans"/>
        <color theme="1"/>
        <sz val="14.0"/>
      </rPr>
      <t xml:space="preserve">และ </t>
    </r>
    <r>
      <rPr>
        <rFont val="Calibri"/>
        <color theme="1"/>
        <sz val="14.0"/>
      </rPr>
      <t xml:space="preserve">Authorization Server </t>
    </r>
    <r>
      <rPr>
        <rFont val="FreeSans"/>
        <color theme="1"/>
        <sz val="14.0"/>
      </rPr>
      <t xml:space="preserve">พร้อมป้องกัน </t>
    </r>
    <r>
      <rPr>
        <rFont val="Calibri"/>
        <color theme="1"/>
        <sz val="14.0"/>
      </rPr>
      <t xml:space="preserve">Key </t>
    </r>
    <r>
      <rPr>
        <rFont val="FreeSans"/>
        <color theme="1"/>
        <sz val="14.0"/>
      </rPr>
      <t xml:space="preserve">และตรวจสอบ </t>
    </r>
    <r>
      <rPr>
        <rFont val="Calibri"/>
        <color theme="1"/>
        <sz val="14.0"/>
      </rPr>
      <t>Token</t>
    </r>
  </si>
  <si>
    <t>ESBIT-IA-13(03)</t>
  </si>
  <si>
    <t>IA-13(03)</t>
  </si>
  <si>
    <t>Identity Providers and Authorization Servers | Token Management</t>
  </si>
  <si>
    <t>Enhances IA-13 (Identity Providers and Authorization Servers): configure and enforce 'Token Management' in addition to the base setting, keep it consistent across applicable systems and document approved exceptions. Base scope: Configure identity providers and authorization servers with protected keys and token validation</t>
  </si>
  <si>
    <r>
      <rPr>
        <rFont val="FreeSans"/>
        <color theme="1"/>
        <sz val="14.0"/>
      </rPr>
      <t xml:space="preserve">ส่วนขยายของ </t>
    </r>
    <r>
      <rPr>
        <rFont val="Calibri"/>
        <color theme="1"/>
        <sz val="14.0"/>
      </rPr>
      <t xml:space="preserve">IA-13: </t>
    </r>
    <r>
      <rPr>
        <rFont val="FreeSans"/>
        <color theme="1"/>
        <sz val="14.0"/>
      </rPr>
      <t xml:space="preserve">กำหนดค่าและบังคับใช้ </t>
    </r>
    <r>
      <rPr>
        <rFont val="Calibri"/>
        <color theme="1"/>
        <sz val="14.0"/>
      </rPr>
      <t xml:space="preserve">'Token Management'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Identity Provider </t>
    </r>
    <r>
      <rPr>
        <rFont val="FreeSans"/>
        <color theme="1"/>
        <sz val="14.0"/>
      </rPr>
      <t xml:space="preserve">และ </t>
    </r>
    <r>
      <rPr>
        <rFont val="Calibri"/>
        <color theme="1"/>
        <sz val="14.0"/>
      </rPr>
      <t xml:space="preserve">Authorization Server </t>
    </r>
    <r>
      <rPr>
        <rFont val="FreeSans"/>
        <color theme="1"/>
        <sz val="14.0"/>
      </rPr>
      <t xml:space="preserve">พร้อมป้องกัน </t>
    </r>
    <r>
      <rPr>
        <rFont val="Calibri"/>
        <color theme="1"/>
        <sz val="14.0"/>
      </rPr>
      <t xml:space="preserve">Key </t>
    </r>
    <r>
      <rPr>
        <rFont val="FreeSans"/>
        <color theme="1"/>
        <sz val="14.0"/>
      </rPr>
      <t xml:space="preserve">และตรวจสอบ </t>
    </r>
    <r>
      <rPr>
        <rFont val="Calibri"/>
        <color theme="1"/>
        <sz val="14.0"/>
      </rPr>
      <t>Token</t>
    </r>
  </si>
  <si>
    <t>ESBIT-IR-01</t>
  </si>
  <si>
    <t>IR-01</t>
  </si>
  <si>
    <t>Not a direct configuration item - define, document, review and communicate the Incident Response policy and procedures that drive the technical configuration standards.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</si>
  <si>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กำหนด จัดทำเอกสาร และทบทวนนโยบาย</t>
    </r>
    <r>
      <rPr>
        <rFont val="Calibri"/>
        <color theme="1"/>
        <sz val="14.0"/>
      </rPr>
      <t>/</t>
    </r>
    <r>
      <rPr>
        <rFont val="FreeSans"/>
        <color theme="1"/>
        <sz val="14.0"/>
      </rPr>
      <t xml:space="preserve">ขั้นตอนของหมวดการตอบสนองเหตุการณ์ เพื่อเป็นฐานในการกำหนดมาตรฐาน </t>
    </r>
    <r>
      <rPr>
        <rFont val="Calibri"/>
        <color theme="1"/>
        <sz val="14.0"/>
      </rPr>
      <t>Config</t>
    </r>
  </si>
  <si>
    <t>ESBIT-IR-02</t>
  </si>
  <si>
    <t>IR-02</t>
  </si>
  <si>
    <t>Incident Response Training</t>
  </si>
  <si>
    <t>Not a direct configuration item - training for personnel with incident response roles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</si>
  <si>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การอบรมบุคลากรที่มีบทบาทตอบสนองเหตุการณ์</t>
    </r>
  </si>
  <si>
    <t>ESBIT-IR-02(01)</t>
  </si>
  <si>
    <t>IR-02(01)</t>
  </si>
  <si>
    <t>Incident Response Training | Simulated Events</t>
  </si>
  <si>
    <t>Not a direct configuration item - enhancement of IR-02 (Incident Response Training): 'Simulated Events'; training for personnel with incident response roles.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</si>
  <si>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IR-02: 'Simulated Events' - </t>
    </r>
    <r>
      <rPr>
        <rFont val="FreeSans"/>
        <color theme="1"/>
        <sz val="14.0"/>
      </rPr>
      <t>การอบรมบุคลากรที่มีบทบาทตอบสนองเหตุการณ์</t>
    </r>
  </si>
  <si>
    <t>ESBIT-IR-02(02)</t>
  </si>
  <si>
    <t>IR-02(02)</t>
  </si>
  <si>
    <t>Incident Response Training | Automated Training Environments</t>
  </si>
  <si>
    <t>Not a direct configuration item - enhancement of IR-02 (Incident Response Training): 'Automated Training Environments'; training for personnel with incident response roles.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</si>
  <si>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IR-02: 'Automated Training Environments' - </t>
    </r>
    <r>
      <rPr>
        <rFont val="FreeSans"/>
        <color theme="1"/>
        <sz val="14.0"/>
      </rPr>
      <t>การอบรมบุคลากรที่มีบทบาทตอบสนองเหตุการณ์</t>
    </r>
  </si>
  <si>
    <t>ESBIT-IR-02(03)</t>
  </si>
  <si>
    <t>IR-02(03)</t>
  </si>
  <si>
    <t>Incident Response Training | Breach</t>
  </si>
  <si>
    <t>Not a direct configuration item - enhancement of IR-02 (Incident Response Training): 'Breach'; training for personnel with incident response roles.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</si>
  <si>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IR-02: 'Breach' - </t>
    </r>
    <r>
      <rPr>
        <rFont val="FreeSans"/>
        <color theme="1"/>
        <sz val="14.0"/>
      </rPr>
      <t>การอบรมบุคลากรที่มีบทบาทตอบสนองเหตุการณ์</t>
    </r>
  </si>
  <si>
    <t>ESBIT-IR-03</t>
  </si>
  <si>
    <t>IR-03</t>
  </si>
  <si>
    <t>Incident Response Testing</t>
  </si>
  <si>
    <t>Not a direct configuration item - testing incident response capability through exercises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</si>
  <si>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การทดสอบขีดความสามารถตอบสนองเหตุการณ์ด้วยการซ้อม</t>
    </r>
  </si>
  <si>
    <t>ESBIT-IR-03(01)</t>
  </si>
  <si>
    <t>IR-03(01)</t>
  </si>
  <si>
    <t>Incident Response Testing | Automated Testing</t>
  </si>
  <si>
    <t>Not a direct configuration item - enhancement of IR-03 (Incident Response Testing): 'Automated Testing'; testing incident response capability through exercises.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</si>
  <si>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IR-03: 'Automated Testing' - </t>
    </r>
    <r>
      <rPr>
        <rFont val="FreeSans"/>
        <color theme="1"/>
        <sz val="14.0"/>
      </rPr>
      <t>การทดสอบขีดความสามารถตอบสนองเหตุการณ์ด้วยการซ้อม</t>
    </r>
  </si>
  <si>
    <t>ESBIT-IR-03(02)</t>
  </si>
  <si>
    <t>IR-03(02)</t>
  </si>
  <si>
    <t>Incident Response Testing | Coordination with Related Plans</t>
  </si>
  <si>
    <t>Not a direct configuration item - enhancement of IR-03 (Incident Response Testing): 'Coordination with Related Plans'; testing incident response capability through exercises.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</si>
  <si>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IR-03: 'Coordination with Related Plans' - </t>
    </r>
    <r>
      <rPr>
        <rFont val="FreeSans"/>
        <color theme="1"/>
        <sz val="14.0"/>
      </rPr>
      <t>การทดสอบขีดความสามารถตอบสนองเหตุการณ์ด้วยการซ้อม</t>
    </r>
  </si>
  <si>
    <t>ESBIT-IR-03(03)</t>
  </si>
  <si>
    <t>IR-03(03)</t>
  </si>
  <si>
    <t>Incident Response Testing | Continuous Improvement</t>
  </si>
  <si>
    <t>Not a direct configuration item - enhancement of IR-03 (Incident Response Testing): 'Continuous Improvement'; testing incident response capability through exercises.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</si>
  <si>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IR-03: 'Continuous Improvement' - </t>
    </r>
    <r>
      <rPr>
        <rFont val="FreeSans"/>
        <color theme="1"/>
        <sz val="14.0"/>
      </rPr>
      <t>การทดสอบขีดความสามารถตอบสนองเหตุการณ์ด้วยการซ้อม</t>
    </r>
  </si>
  <si>
    <t>ESBIT-IR-04</t>
  </si>
  <si>
    <t>IR-04</t>
  </si>
  <si>
    <t>Incident Handling</t>
  </si>
  <si>
    <t>RS.MA - Incident Management</t>
  </si>
  <si>
    <t>RS.MA-01</t>
  </si>
  <si>
    <t>The incident response plan is executed in coordination with relevant third parties once an incident is declared</t>
  </si>
  <si>
    <t>Configure incident handling tooling (SIEM/SOAR, ticketing, containment actions such as isolate host or block IP)</t>
  </si>
  <si>
    <r>
      <rPr>
        <rFont val="FreeSans"/>
        <color theme="1"/>
        <sz val="14.0"/>
      </rPr>
      <t xml:space="preserve">ตั้งค่าเครื่องมือจัดการเหตุการณ์ </t>
    </r>
    <r>
      <rPr>
        <rFont val="Calibri"/>
        <color theme="1"/>
        <sz val="14.0"/>
      </rPr>
      <t xml:space="preserve">(SIEM/SOAR, Ticket, Containment </t>
    </r>
    <r>
      <rPr>
        <rFont val="FreeSans"/>
        <color theme="1"/>
        <sz val="14.0"/>
      </rPr>
      <t xml:space="preserve">เช่น </t>
    </r>
    <r>
      <rPr>
        <rFont val="Calibri"/>
        <color theme="1"/>
        <sz val="14.0"/>
      </rPr>
      <t>Isolate Host/Block IP)</t>
    </r>
  </si>
  <si>
    <t>ESBIT-IR-04(01)</t>
  </si>
  <si>
    <t>IR-04(01)</t>
  </si>
  <si>
    <t>Incident Handling | Automated Incident Handling Processes</t>
  </si>
  <si>
    <t>Enhances IR-04 (Incident Handling): configure and enforce 'Automated Incident Handling Processes' in addition to the base setting, keep it consistent across applicable systems and document approved exceptions. Base scope: Configure incident handling tooling (SIEM/SOAR, ticketing, containment actions such as isolate host or block IP)</t>
  </si>
  <si>
    <r>
      <rPr>
        <rFont val="FreeSans"/>
        <color theme="1"/>
        <sz val="14.0"/>
      </rPr>
      <t xml:space="preserve">ส่วนขยายของ </t>
    </r>
    <r>
      <rPr>
        <rFont val="Calibri"/>
        <color theme="1"/>
        <sz val="14.0"/>
      </rPr>
      <t xml:space="preserve">IR-04: </t>
    </r>
    <r>
      <rPr>
        <rFont val="FreeSans"/>
        <color theme="1"/>
        <sz val="14.0"/>
      </rPr>
      <t xml:space="preserve">กำหนดค่าและบังคับใช้ </t>
    </r>
    <r>
      <rPr>
        <rFont val="Calibri"/>
        <color theme="1"/>
        <sz val="14.0"/>
      </rPr>
      <t xml:space="preserve">'Automated Incident Handling Processes'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ตั้งค่าเครื่องมือจัดการเหตุการณ์ </t>
    </r>
    <r>
      <rPr>
        <rFont val="Calibri"/>
        <color theme="1"/>
        <sz val="14.0"/>
      </rPr>
      <t xml:space="preserve">(SIEM/SOAR, Ticket, Containment </t>
    </r>
    <r>
      <rPr>
        <rFont val="FreeSans"/>
        <color theme="1"/>
        <sz val="14.0"/>
      </rPr>
      <t xml:space="preserve">เช่น </t>
    </r>
    <r>
      <rPr>
        <rFont val="Calibri"/>
        <color theme="1"/>
        <sz val="14.0"/>
      </rPr>
      <t>Isolate Host/Block IP)</t>
    </r>
  </si>
  <si>
    <t>ESBIT-IR-04(02)</t>
  </si>
  <si>
    <t>IR-04(02)</t>
  </si>
  <si>
    <t>Incident Handling | Dynamic Reconfiguration</t>
  </si>
  <si>
    <t>Enhances IR-04 (Incident Handling): configure and enforce 'Dynamic Reconfiguration' in addition to the base setting, keep it consistent across applicable systems and document approved exceptions. Base scope: Configure incident handling tooling (SIEM/SOAR, ticketing, containment actions such as isolate host or block IP)</t>
  </si>
  <si>
    <r>
      <rPr>
        <rFont val="FreeSans"/>
        <color theme="1"/>
        <sz val="14.0"/>
      </rPr>
      <t xml:space="preserve">ส่วนขยายของ </t>
    </r>
    <r>
      <rPr>
        <rFont val="Calibri"/>
        <color theme="1"/>
        <sz val="14.0"/>
      </rPr>
      <t xml:space="preserve">IR-04: </t>
    </r>
    <r>
      <rPr>
        <rFont val="FreeSans"/>
        <color theme="1"/>
        <sz val="14.0"/>
      </rPr>
      <t xml:space="preserve">กำหนดค่าและบังคับใช้ </t>
    </r>
    <r>
      <rPr>
        <rFont val="Calibri"/>
        <color theme="1"/>
        <sz val="14.0"/>
      </rPr>
      <t xml:space="preserve">'Dynamic Reconfiguration'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ตั้งค่าเครื่องมือจัดการเหตุการณ์ </t>
    </r>
    <r>
      <rPr>
        <rFont val="Calibri"/>
        <color theme="1"/>
        <sz val="14.0"/>
      </rPr>
      <t xml:space="preserve">(SIEM/SOAR, Ticket, Containment </t>
    </r>
    <r>
      <rPr>
        <rFont val="FreeSans"/>
        <color theme="1"/>
        <sz val="14.0"/>
      </rPr>
      <t xml:space="preserve">เช่น </t>
    </r>
    <r>
      <rPr>
        <rFont val="Calibri"/>
        <color theme="1"/>
        <sz val="14.0"/>
      </rPr>
      <t>Isolate Host/Block IP)</t>
    </r>
  </si>
  <si>
    <t>ESBIT-IR-04(03)</t>
  </si>
  <si>
    <t>IR-04(03)</t>
  </si>
  <si>
    <t>Incident Handling | Continuity of Operations</t>
  </si>
  <si>
    <t>Enhances IR-04 (Incident Handling): configure and enforce 'Continuity of Operations' in addition to the base setting, keep it consistent across applicable systems and document approved exceptions. Base scope: Configure incident handling tooling (SIEM/SOAR, ticketing, containment actions such as isolate host or block IP)</t>
  </si>
  <si>
    <r>
      <rPr>
        <rFont val="FreeSans"/>
        <color theme="1"/>
        <sz val="14.0"/>
      </rPr>
      <t xml:space="preserve">ส่วนขยายของ </t>
    </r>
    <r>
      <rPr>
        <rFont val="Calibri"/>
        <color theme="1"/>
        <sz val="14.0"/>
      </rPr>
      <t xml:space="preserve">IR-04: </t>
    </r>
    <r>
      <rPr>
        <rFont val="FreeSans"/>
        <color theme="1"/>
        <sz val="14.0"/>
      </rPr>
      <t xml:space="preserve">กำหนดค่าและบังคับใช้ </t>
    </r>
    <r>
      <rPr>
        <rFont val="Calibri"/>
        <color theme="1"/>
        <sz val="14.0"/>
      </rPr>
      <t xml:space="preserve">'Continuity of Operations'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ตั้งค่าเครื่องมือจัดการเหตุการณ์ </t>
    </r>
    <r>
      <rPr>
        <rFont val="Calibri"/>
        <color theme="1"/>
        <sz val="14.0"/>
      </rPr>
      <t xml:space="preserve">(SIEM/SOAR, Ticket, Containment </t>
    </r>
    <r>
      <rPr>
        <rFont val="FreeSans"/>
        <color theme="1"/>
        <sz val="14.0"/>
      </rPr>
      <t xml:space="preserve">เช่น </t>
    </r>
    <r>
      <rPr>
        <rFont val="Calibri"/>
        <color theme="1"/>
        <sz val="14.0"/>
      </rPr>
      <t>Isolate Host/Block IP)</t>
    </r>
  </si>
  <si>
    <t>ESBIT-IR-04(04)</t>
  </si>
  <si>
    <t>IR-04(04)</t>
  </si>
  <si>
    <t>Incident Handling | Information Correlation</t>
  </si>
  <si>
    <t>Enhances IR-04 (Incident Handling): configure and enforce 'Information Correlation' in addition to the base setting, keep it consistent across applicable systems and document approved exceptions. Base scope: Configure incident handling tooling (SIEM/SOAR, ticketing, containment actions such as isolate host or block IP)</t>
  </si>
  <si>
    <r>
      <rPr>
        <rFont val="FreeSans"/>
        <color theme="1"/>
        <sz val="14.0"/>
      </rPr>
      <t xml:space="preserve">ส่วนขยายของ </t>
    </r>
    <r>
      <rPr>
        <rFont val="Calibri"/>
        <color theme="1"/>
        <sz val="14.0"/>
      </rPr>
      <t xml:space="preserve">IR-04: </t>
    </r>
    <r>
      <rPr>
        <rFont val="FreeSans"/>
        <color theme="1"/>
        <sz val="14.0"/>
      </rPr>
      <t xml:space="preserve">กำหนดค่าและบังคับใช้ </t>
    </r>
    <r>
      <rPr>
        <rFont val="Calibri"/>
        <color theme="1"/>
        <sz val="14.0"/>
      </rPr>
      <t xml:space="preserve">'Information Correlation'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ตั้งค่าเครื่องมือจัดการเหตุการณ์ </t>
    </r>
    <r>
      <rPr>
        <rFont val="Calibri"/>
        <color theme="1"/>
        <sz val="14.0"/>
      </rPr>
      <t xml:space="preserve">(SIEM/SOAR, Ticket, Containment </t>
    </r>
    <r>
      <rPr>
        <rFont val="FreeSans"/>
        <color theme="1"/>
        <sz val="14.0"/>
      </rPr>
      <t xml:space="preserve">เช่น </t>
    </r>
    <r>
      <rPr>
        <rFont val="Calibri"/>
        <color theme="1"/>
        <sz val="14.0"/>
      </rPr>
      <t>Isolate Host/Block IP)</t>
    </r>
  </si>
  <si>
    <t>ESBIT-IR-04(05)</t>
  </si>
  <si>
    <t>IR-04(05)</t>
  </si>
  <si>
    <t>Incident Handling | Automatic Disabling of System</t>
  </si>
  <si>
    <t>Enhances IR-04 (Incident Handling): configure and enforce 'Automatic Disabling of System' in addition to the base setting, keep it consistent across applicable systems and document approved exceptions. Base scope: Configure incident handling tooling (SIEM/SOAR, ticketing, containment actions such as isolate host or block IP)</t>
  </si>
  <si>
    <r>
      <rPr>
        <rFont val="FreeSans"/>
        <color theme="1"/>
        <sz val="14.0"/>
      </rPr>
      <t xml:space="preserve">ส่วนขยายของ </t>
    </r>
    <r>
      <rPr>
        <rFont val="Calibri"/>
        <color theme="1"/>
        <sz val="14.0"/>
      </rPr>
      <t xml:space="preserve">IR-04: </t>
    </r>
    <r>
      <rPr>
        <rFont val="FreeSans"/>
        <color theme="1"/>
        <sz val="14.0"/>
      </rPr>
      <t xml:space="preserve">กำหนดค่าและบังคับใช้ </t>
    </r>
    <r>
      <rPr>
        <rFont val="Calibri"/>
        <color theme="1"/>
        <sz val="14.0"/>
      </rPr>
      <t xml:space="preserve">'Automatic Disabling of System'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ตั้งค่าเครื่องมือจัดการเหตุการณ์ </t>
    </r>
    <r>
      <rPr>
        <rFont val="Calibri"/>
        <color theme="1"/>
        <sz val="14.0"/>
      </rPr>
      <t xml:space="preserve">(SIEM/SOAR, Ticket, Containment </t>
    </r>
    <r>
      <rPr>
        <rFont val="FreeSans"/>
        <color theme="1"/>
        <sz val="14.0"/>
      </rPr>
      <t xml:space="preserve">เช่น </t>
    </r>
    <r>
      <rPr>
        <rFont val="Calibri"/>
        <color theme="1"/>
        <sz val="14.0"/>
      </rPr>
      <t>Isolate Host/Block IP)</t>
    </r>
  </si>
  <si>
    <t>ESBIT-IR-04(06)</t>
  </si>
  <si>
    <t>IR-04(06)</t>
  </si>
  <si>
    <t>Incident Handling | Insider Threats</t>
  </si>
  <si>
    <t>Enhances IR-04 (Incident Handling): configure and enforce 'Insider Threats' in addition to the base setting, keep it consistent across applicable systems and document approved exceptions. Base scope: Configure incident handling tooling (SIEM/SOAR, ticketing, containment actions such as isolate host or block IP)</t>
  </si>
  <si>
    <r>
      <rPr>
        <rFont val="FreeSans"/>
        <color theme="1"/>
        <sz val="14.0"/>
      </rPr>
      <t xml:space="preserve">ส่วนขยายของ </t>
    </r>
    <r>
      <rPr>
        <rFont val="Calibri"/>
        <color theme="1"/>
        <sz val="14.0"/>
      </rPr>
      <t xml:space="preserve">IR-04: </t>
    </r>
    <r>
      <rPr>
        <rFont val="FreeSans"/>
        <color theme="1"/>
        <sz val="14.0"/>
      </rPr>
      <t xml:space="preserve">กำหนดค่าและบังคับใช้ </t>
    </r>
    <r>
      <rPr>
        <rFont val="Calibri"/>
        <color theme="1"/>
        <sz val="14.0"/>
      </rPr>
      <t xml:space="preserve">'Insider Threats'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ตั้งค่าเครื่องมือจัดการเหตุการณ์ </t>
    </r>
    <r>
      <rPr>
        <rFont val="Calibri"/>
        <color theme="1"/>
        <sz val="14.0"/>
      </rPr>
      <t xml:space="preserve">(SIEM/SOAR, Ticket, Containment </t>
    </r>
    <r>
      <rPr>
        <rFont val="FreeSans"/>
        <color theme="1"/>
        <sz val="14.0"/>
      </rPr>
      <t xml:space="preserve">เช่น </t>
    </r>
    <r>
      <rPr>
        <rFont val="Calibri"/>
        <color theme="1"/>
        <sz val="14.0"/>
      </rPr>
      <t>Isolate Host/Block IP)</t>
    </r>
  </si>
  <si>
    <t>ESBIT-IR-04(07)</t>
  </si>
  <si>
    <t>IR-04(07)</t>
  </si>
  <si>
    <t>Incident Handling | Insider Threats - Intra-organization Coordination</t>
  </si>
  <si>
    <t>Enhances IR-04 (Incident Handling): configure and enforce 'Insider Threats - Intra-organization Coordination' in addition to the base setting, keep it consistent across applicable systems and document approved exceptions. Base scope: Configure incident handling tooling (SIEM/SOAR, ticketing, containment actions such as isolate host or block IP)</t>
  </si>
  <si>
    <r>
      <rPr>
        <rFont val="FreeSans"/>
        <color theme="1"/>
        <sz val="14.0"/>
      </rPr>
      <t xml:space="preserve">ส่วนขยายของ </t>
    </r>
    <r>
      <rPr>
        <rFont val="Calibri"/>
        <color theme="1"/>
        <sz val="14.0"/>
      </rPr>
      <t xml:space="preserve">IR-04: </t>
    </r>
    <r>
      <rPr>
        <rFont val="FreeSans"/>
        <color theme="1"/>
        <sz val="14.0"/>
      </rPr>
      <t xml:space="preserve">กำหนดค่าและบังคับใช้ </t>
    </r>
    <r>
      <rPr>
        <rFont val="Calibri"/>
        <color theme="1"/>
        <sz val="14.0"/>
      </rPr>
      <t xml:space="preserve">'Insider Threats - Intra-organization Coordination'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ตั้งค่าเครื่องมือจัดการเหตุการณ์ </t>
    </r>
    <r>
      <rPr>
        <rFont val="Calibri"/>
        <color theme="1"/>
        <sz val="14.0"/>
      </rPr>
      <t xml:space="preserve">(SIEM/SOAR, Ticket, Containment </t>
    </r>
    <r>
      <rPr>
        <rFont val="FreeSans"/>
        <color theme="1"/>
        <sz val="14.0"/>
      </rPr>
      <t xml:space="preserve">เช่น </t>
    </r>
    <r>
      <rPr>
        <rFont val="Calibri"/>
        <color theme="1"/>
        <sz val="14.0"/>
      </rPr>
      <t>Isolate Host/Block IP)</t>
    </r>
  </si>
  <si>
    <t>ESBIT-IR-04(08)</t>
  </si>
  <si>
    <t>IR-04(08)</t>
  </si>
  <si>
    <t>Incident Handling | Correlation with External Organizations</t>
  </si>
  <si>
    <t>Enhances IR-04 (Incident Handling): configure and enforce 'Correlation with External Organizations' in addition to the base setting, keep it consistent across applicable systems and document approved exceptions. Base scope: Configure incident handling tooling (SIEM/SOAR, ticketing, containment actions such as isolate host or block IP)</t>
  </si>
  <si>
    <r>
      <rPr>
        <rFont val="FreeSans"/>
        <color theme="1"/>
        <sz val="14.0"/>
      </rPr>
      <t xml:space="preserve">ส่วนขยายของ </t>
    </r>
    <r>
      <rPr>
        <rFont val="Calibri"/>
        <color theme="1"/>
        <sz val="14.0"/>
      </rPr>
      <t xml:space="preserve">IR-04: </t>
    </r>
    <r>
      <rPr>
        <rFont val="FreeSans"/>
        <color theme="1"/>
        <sz val="14.0"/>
      </rPr>
      <t xml:space="preserve">กำหนดค่าและบังคับใช้ </t>
    </r>
    <r>
      <rPr>
        <rFont val="Calibri"/>
        <color theme="1"/>
        <sz val="14.0"/>
      </rPr>
      <t xml:space="preserve">'Correlation with External Organizations'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ตั้งค่าเครื่องมือจัดการเหตุการณ์ </t>
    </r>
    <r>
      <rPr>
        <rFont val="Calibri"/>
        <color theme="1"/>
        <sz val="14.0"/>
      </rPr>
      <t xml:space="preserve">(SIEM/SOAR, Ticket, Containment </t>
    </r>
    <r>
      <rPr>
        <rFont val="FreeSans"/>
        <color theme="1"/>
        <sz val="14.0"/>
      </rPr>
      <t xml:space="preserve">เช่น </t>
    </r>
    <r>
      <rPr>
        <rFont val="Calibri"/>
        <color theme="1"/>
        <sz val="14.0"/>
      </rPr>
      <t>Isolate Host/Block IP)</t>
    </r>
  </si>
  <si>
    <t>ESBIT-IR-04(09)</t>
  </si>
  <si>
    <t>IR-04(09)</t>
  </si>
  <si>
    <t>Incident Handling | Dynamic Response Capability</t>
  </si>
  <si>
    <t>Enhances IR-04 (Incident Handling): configure and enforce 'Dynamic Response Capability' in addition to the base setting, keep it consistent across applicable systems and document approved exceptions. Base scope: Configure incident handling tooling (SIEM/SOAR, ticketing, containment actions such as isolate host or block IP)</t>
  </si>
  <si>
    <r>
      <rPr>
        <rFont val="FreeSans"/>
        <color theme="1"/>
        <sz val="14.0"/>
      </rPr>
      <t xml:space="preserve">ส่วนขยายของ </t>
    </r>
    <r>
      <rPr>
        <rFont val="Calibri"/>
        <color theme="1"/>
        <sz val="14.0"/>
      </rPr>
      <t xml:space="preserve">IR-04: </t>
    </r>
    <r>
      <rPr>
        <rFont val="FreeSans"/>
        <color theme="1"/>
        <sz val="14.0"/>
      </rPr>
      <t xml:space="preserve">กำหนดค่าและบังคับใช้ </t>
    </r>
    <r>
      <rPr>
        <rFont val="Calibri"/>
        <color theme="1"/>
        <sz val="14.0"/>
      </rPr>
      <t xml:space="preserve">'Dynamic Response Capability'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ตั้งค่าเครื่องมือจัดการเหตุการณ์ </t>
    </r>
    <r>
      <rPr>
        <rFont val="Calibri"/>
        <color theme="1"/>
        <sz val="14.0"/>
      </rPr>
      <t xml:space="preserve">(SIEM/SOAR, Ticket, Containment </t>
    </r>
    <r>
      <rPr>
        <rFont val="FreeSans"/>
        <color theme="1"/>
        <sz val="14.0"/>
      </rPr>
      <t xml:space="preserve">เช่น </t>
    </r>
    <r>
      <rPr>
        <rFont val="Calibri"/>
        <color theme="1"/>
        <sz val="14.0"/>
      </rPr>
      <t>Isolate Host/Block IP)</t>
    </r>
  </si>
  <si>
    <t>ESBIT-IR-04(10)</t>
  </si>
  <si>
    <t>IR-04(10)</t>
  </si>
  <si>
    <t>Incident Handling | Supply Chain Coordination</t>
  </si>
  <si>
    <t>Enhances IR-04 (Incident Handling): configure and enforce 'Supply Chain Coordination' in addition to the base setting, keep it consistent across applicable systems and document approved exceptions. Base scope: Configure incident handling tooling (SIEM/SOAR, ticketing, containment actions such as isolate host or block IP)</t>
  </si>
  <si>
    <r>
      <rPr>
        <rFont val="FreeSans"/>
        <color theme="1"/>
        <sz val="14.0"/>
      </rPr>
      <t xml:space="preserve">ส่วนขยายของ </t>
    </r>
    <r>
      <rPr>
        <rFont val="Calibri"/>
        <color theme="1"/>
        <sz val="14.0"/>
      </rPr>
      <t xml:space="preserve">IR-04: </t>
    </r>
    <r>
      <rPr>
        <rFont val="FreeSans"/>
        <color theme="1"/>
        <sz val="14.0"/>
      </rPr>
      <t xml:space="preserve">กำหนดค่าและบังคับใช้ </t>
    </r>
    <r>
      <rPr>
        <rFont val="Calibri"/>
        <color theme="1"/>
        <sz val="14.0"/>
      </rPr>
      <t xml:space="preserve">'Supply Chain Coordination'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ตั้งค่าเครื่องมือจัดการเหตุการณ์ </t>
    </r>
    <r>
      <rPr>
        <rFont val="Calibri"/>
        <color theme="1"/>
        <sz val="14.0"/>
      </rPr>
      <t xml:space="preserve">(SIEM/SOAR, Ticket, Containment </t>
    </r>
    <r>
      <rPr>
        <rFont val="FreeSans"/>
        <color theme="1"/>
        <sz val="14.0"/>
      </rPr>
      <t xml:space="preserve">เช่น </t>
    </r>
    <r>
      <rPr>
        <rFont val="Calibri"/>
        <color theme="1"/>
        <sz val="14.0"/>
      </rPr>
      <t>Isolate Host/Block IP)</t>
    </r>
  </si>
  <si>
    <t>ESBIT-IR-04(11)</t>
  </si>
  <si>
    <t>IR-04(11)</t>
  </si>
  <si>
    <t>Incident Handling | Integrated Incident Response Team</t>
  </si>
  <si>
    <t>Enhances IR-04 (Incident Handling): configure and enforce 'Integrated Incident Response Team' in addition to the base setting, keep it consistent across applicable systems and document approved exceptions. Base scope: Configure incident handling tooling (SIEM/SOAR, ticketing, containment actions such as isolate host or block IP)</t>
  </si>
  <si>
    <r>
      <rPr>
        <rFont val="FreeSans"/>
        <color theme="1"/>
        <sz val="14.0"/>
      </rPr>
      <t xml:space="preserve">ส่วนขยายของ </t>
    </r>
    <r>
      <rPr>
        <rFont val="Calibri"/>
        <color theme="1"/>
        <sz val="14.0"/>
      </rPr>
      <t xml:space="preserve">IR-04: </t>
    </r>
    <r>
      <rPr>
        <rFont val="FreeSans"/>
        <color theme="1"/>
        <sz val="14.0"/>
      </rPr>
      <t xml:space="preserve">กำหนดค่าและบังคับใช้ </t>
    </r>
    <r>
      <rPr>
        <rFont val="Calibri"/>
        <color theme="1"/>
        <sz val="14.0"/>
      </rPr>
      <t xml:space="preserve">'Integrated Incident Response Team'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ตั้งค่าเครื่องมือจัดการเหตุการณ์ </t>
    </r>
    <r>
      <rPr>
        <rFont val="Calibri"/>
        <color theme="1"/>
        <sz val="14.0"/>
      </rPr>
      <t xml:space="preserve">(SIEM/SOAR, Ticket, Containment </t>
    </r>
    <r>
      <rPr>
        <rFont val="FreeSans"/>
        <color theme="1"/>
        <sz val="14.0"/>
      </rPr>
      <t xml:space="preserve">เช่น </t>
    </r>
    <r>
      <rPr>
        <rFont val="Calibri"/>
        <color theme="1"/>
        <sz val="14.0"/>
      </rPr>
      <t>Isolate Host/Block IP)</t>
    </r>
  </si>
  <si>
    <t>ESBIT-IR-04(12)</t>
  </si>
  <si>
    <t>IR-04(12)</t>
  </si>
  <si>
    <t>Incident Handling | Malicious Code and Forensic Analysis</t>
  </si>
  <si>
    <t>Enhances IR-04 (Incident Handling): configure and enforce 'Malicious Code and Forensic Analysis' in addition to the base setting, keep it consistent across applicable systems and document approved exceptions. Base scope: Configure incident handling tooling (SIEM/SOAR, ticketing, containment actions such as isolate host or block IP)</t>
  </si>
  <si>
    <r>
      <rPr>
        <rFont val="FreeSans"/>
        <color theme="1"/>
        <sz val="14.0"/>
      </rPr>
      <t xml:space="preserve">ส่วนขยายของ </t>
    </r>
    <r>
      <rPr>
        <rFont val="Calibri"/>
        <color theme="1"/>
        <sz val="14.0"/>
      </rPr>
      <t xml:space="preserve">IR-04: </t>
    </r>
    <r>
      <rPr>
        <rFont val="FreeSans"/>
        <color theme="1"/>
        <sz val="14.0"/>
      </rPr>
      <t xml:space="preserve">กำหนดค่าและบังคับใช้ </t>
    </r>
    <r>
      <rPr>
        <rFont val="Calibri"/>
        <color theme="1"/>
        <sz val="14.0"/>
      </rPr>
      <t xml:space="preserve">'Malicious Code and Forensic Analysis'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ตั้งค่าเครื่องมือจัดการเหตุการณ์ </t>
    </r>
    <r>
      <rPr>
        <rFont val="Calibri"/>
        <color theme="1"/>
        <sz val="14.0"/>
      </rPr>
      <t xml:space="preserve">(SIEM/SOAR, Ticket, Containment </t>
    </r>
    <r>
      <rPr>
        <rFont val="FreeSans"/>
        <color theme="1"/>
        <sz val="14.0"/>
      </rPr>
      <t xml:space="preserve">เช่น </t>
    </r>
    <r>
      <rPr>
        <rFont val="Calibri"/>
        <color theme="1"/>
        <sz val="14.0"/>
      </rPr>
      <t>Isolate Host/Block IP)</t>
    </r>
  </si>
  <si>
    <t>ESBIT-IR-04(13)</t>
  </si>
  <si>
    <t>IR-04(13)</t>
  </si>
  <si>
    <t>Incident Handling | Behavior Analysis</t>
  </si>
  <si>
    <t>Enhances IR-04 (Incident Handling): configure and enforce 'Behavior Analysis' in addition to the base setting, keep it consistent across applicable systems and document approved exceptions. Base scope: Configure incident handling tooling (SIEM/SOAR, ticketing, containment actions such as isolate host or block IP)</t>
  </si>
  <si>
    <r>
      <rPr>
        <rFont val="FreeSans"/>
        <color theme="1"/>
        <sz val="14.0"/>
      </rPr>
      <t xml:space="preserve">ส่วนขยายของ </t>
    </r>
    <r>
      <rPr>
        <rFont val="Calibri"/>
        <color theme="1"/>
        <sz val="14.0"/>
      </rPr>
      <t xml:space="preserve">IR-04: </t>
    </r>
    <r>
      <rPr>
        <rFont val="FreeSans"/>
        <color theme="1"/>
        <sz val="14.0"/>
      </rPr>
      <t xml:space="preserve">กำหนดค่าและบังคับใช้ </t>
    </r>
    <r>
      <rPr>
        <rFont val="Calibri"/>
        <color theme="1"/>
        <sz val="14.0"/>
      </rPr>
      <t xml:space="preserve">'Behavior Analysis'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ตั้งค่าเครื่องมือจัดการเหตุการณ์ </t>
    </r>
    <r>
      <rPr>
        <rFont val="Calibri"/>
        <color theme="1"/>
        <sz val="14.0"/>
      </rPr>
      <t xml:space="preserve">(SIEM/SOAR, Ticket, Containment </t>
    </r>
    <r>
      <rPr>
        <rFont val="FreeSans"/>
        <color theme="1"/>
        <sz val="14.0"/>
      </rPr>
      <t xml:space="preserve">เช่น </t>
    </r>
    <r>
      <rPr>
        <rFont val="Calibri"/>
        <color theme="1"/>
        <sz val="14.0"/>
      </rPr>
      <t>Isolate Host/Block IP)</t>
    </r>
  </si>
  <si>
    <t>ESBIT-IR-04(14)</t>
  </si>
  <si>
    <t>IR-04(14)</t>
  </si>
  <si>
    <t>Incident Handling | Security Operations Center</t>
  </si>
  <si>
    <t>Enhances IR-04 (Incident Handling): configure and enforce 'Security Operations Center' in addition to the base setting, keep it consistent across applicable systems and document approved exceptions. Base scope: Configure incident handling tooling (SIEM/SOAR, ticketing, containment actions such as isolate host or block IP)</t>
  </si>
  <si>
    <r>
      <rPr>
        <rFont val="FreeSans"/>
        <color theme="1"/>
        <sz val="14.0"/>
      </rPr>
      <t xml:space="preserve">ส่วนขยายของ </t>
    </r>
    <r>
      <rPr>
        <rFont val="Calibri"/>
        <color theme="1"/>
        <sz val="14.0"/>
      </rPr>
      <t xml:space="preserve">IR-04: </t>
    </r>
    <r>
      <rPr>
        <rFont val="FreeSans"/>
        <color theme="1"/>
        <sz val="14.0"/>
      </rPr>
      <t xml:space="preserve">กำหนดค่าและบังคับใช้ </t>
    </r>
    <r>
      <rPr>
        <rFont val="Calibri"/>
        <color theme="1"/>
        <sz val="14.0"/>
      </rPr>
      <t xml:space="preserve">'Security Operations Center'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ตั้งค่าเครื่องมือจัดการเหตุการณ์ </t>
    </r>
    <r>
      <rPr>
        <rFont val="Calibri"/>
        <color theme="1"/>
        <sz val="14.0"/>
      </rPr>
      <t xml:space="preserve">(SIEM/SOAR, Ticket, Containment </t>
    </r>
    <r>
      <rPr>
        <rFont val="FreeSans"/>
        <color theme="1"/>
        <sz val="14.0"/>
      </rPr>
      <t xml:space="preserve">เช่น </t>
    </r>
    <r>
      <rPr>
        <rFont val="Calibri"/>
        <color theme="1"/>
        <sz val="14.0"/>
      </rPr>
      <t>Isolate Host/Block IP)</t>
    </r>
  </si>
  <si>
    <t>ESBIT-IR-04(15)</t>
  </si>
  <si>
    <t>IR-04(15)</t>
  </si>
  <si>
    <t>Incident Handling | Public Relations and Reputation Repair</t>
  </si>
  <si>
    <t>Enhances IR-04 (Incident Handling): configure and enforce 'Public Relations and Reputation Repair' in addition to the base setting, keep it consistent across applicable systems and document approved exceptions. Base scope: Configure incident handling tooling (SIEM/SOAR, ticketing, containment actions such as isolate host or block IP)</t>
  </si>
  <si>
    <r>
      <rPr>
        <rFont val="FreeSans"/>
        <color theme="1"/>
        <sz val="14.0"/>
      </rPr>
      <t xml:space="preserve">ส่วนขยายของ </t>
    </r>
    <r>
      <rPr>
        <rFont val="Calibri"/>
        <color theme="1"/>
        <sz val="14.0"/>
      </rPr>
      <t xml:space="preserve">IR-04: </t>
    </r>
    <r>
      <rPr>
        <rFont val="FreeSans"/>
        <color theme="1"/>
        <sz val="14.0"/>
      </rPr>
      <t xml:space="preserve">กำหนดค่าและบังคับใช้ </t>
    </r>
    <r>
      <rPr>
        <rFont val="Calibri"/>
        <color theme="1"/>
        <sz val="14.0"/>
      </rPr>
      <t xml:space="preserve">'Public Relations and Reputation Repair'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ตั้งค่าเครื่องมือจัดการเหตุการณ์ </t>
    </r>
    <r>
      <rPr>
        <rFont val="Calibri"/>
        <color theme="1"/>
        <sz val="14.0"/>
      </rPr>
      <t xml:space="preserve">(SIEM/SOAR, Ticket, Containment </t>
    </r>
    <r>
      <rPr>
        <rFont val="FreeSans"/>
        <color theme="1"/>
        <sz val="14.0"/>
      </rPr>
      <t xml:space="preserve">เช่น </t>
    </r>
    <r>
      <rPr>
        <rFont val="Calibri"/>
        <color theme="1"/>
        <sz val="14.0"/>
      </rPr>
      <t>Isolate Host/Block IP)</t>
    </r>
  </si>
  <si>
    <t>ESBIT-IR-05</t>
  </si>
  <si>
    <t>IR-05</t>
  </si>
  <si>
    <t>Incident Monitoring</t>
  </si>
  <si>
    <t>DE.AE-08</t>
  </si>
  <si>
    <t>Incidents are declared when adverse events meet the defined incident criteria</t>
  </si>
  <si>
    <t>Configure tracking and documentation of incidents in a ticketing or case management tool</t>
  </si>
  <si>
    <r>
      <rPr>
        <rFont val="FreeSans"/>
        <color theme="1"/>
        <sz val="14.0"/>
      </rPr>
      <t xml:space="preserve">ตั้งค่าการติดตามและบันทึกเหตุการณ์ในระบบ </t>
    </r>
    <r>
      <rPr>
        <rFont val="Calibri"/>
        <color theme="1"/>
        <sz val="14.0"/>
      </rPr>
      <t>Ticket/Case Management</t>
    </r>
  </si>
  <si>
    <t>ESBIT-IR-05(01)</t>
  </si>
  <si>
    <t>IR-05(01)</t>
  </si>
  <si>
    <t>Incident Monitoring | Automated Tracking, Data Collection, and Analysis</t>
  </si>
  <si>
    <t>Enhances IR-05 (Incident Monitoring): configure and enforce 'Automated Tracking, Data Collection, and Analysis' in addition to the base setting, keep it consistent across applicable systems and document approved exceptions. Base scope: Configure tracking and documentation of incidents in a ticketing or case management tool</t>
  </si>
  <si>
    <r>
      <rPr>
        <rFont val="FreeSans"/>
        <color theme="1"/>
        <sz val="14.0"/>
      </rPr>
      <t xml:space="preserve">ส่วนขยายของ </t>
    </r>
    <r>
      <rPr>
        <rFont val="Calibri"/>
        <color theme="1"/>
        <sz val="14.0"/>
      </rPr>
      <t xml:space="preserve">IR-05: </t>
    </r>
    <r>
      <rPr>
        <rFont val="FreeSans"/>
        <color theme="1"/>
        <sz val="14.0"/>
      </rPr>
      <t xml:space="preserve">กำหนดค่าและบังคับใช้ </t>
    </r>
    <r>
      <rPr>
        <rFont val="Calibri"/>
        <color theme="1"/>
        <sz val="14.0"/>
      </rPr>
      <t xml:space="preserve">'Automated Tracking, Data Collection, and Analysis'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ตั้งค่าการติดตามและบันทึกเหตุการณ์ในระบบ </t>
    </r>
    <r>
      <rPr>
        <rFont val="Calibri"/>
        <color theme="1"/>
        <sz val="14.0"/>
      </rPr>
      <t>Ticket/Case Management</t>
    </r>
  </si>
  <si>
    <t>ESBIT-IR-06</t>
  </si>
  <si>
    <t>IR-06</t>
  </si>
  <si>
    <t>Incident Reporting</t>
  </si>
  <si>
    <t>RS.CO - Incident Response Reporting and Communication</t>
  </si>
  <si>
    <t>RS.CO-02</t>
  </si>
  <si>
    <t>Internal and external stakeholders are notified of incidents</t>
  </si>
  <si>
    <t>Not a direct configuration item - reporting incidents to designated authorities within required timeframes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</si>
  <si>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การรายงานเหตุการณ์ต่อหน่วยงานที่กำหนดตามกรอบเวลา</t>
    </r>
  </si>
  <si>
    <t>ESBIT-IR-06(01)</t>
  </si>
  <si>
    <t>IR-06(01)</t>
  </si>
  <si>
    <t>Incident Reporting | Automated Reporting</t>
  </si>
  <si>
    <t>Not a direct configuration item - enhancement of IR-06 (Incident Reporting): 'Automated Reporting'; reporting incidents to designated authorities within required timeframes.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</si>
  <si>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IR-06: 'Automated Reporting' - </t>
    </r>
    <r>
      <rPr>
        <rFont val="FreeSans"/>
        <color theme="1"/>
        <sz val="14.0"/>
      </rPr>
      <t>การรายงานเหตุการณ์ต่อหน่วยงานที่กำหนดตามกรอบเวลา</t>
    </r>
  </si>
  <si>
    <t>ESBIT-IR-06(02)</t>
  </si>
  <si>
    <t>IR-06(02)</t>
  </si>
  <si>
    <t>Incident Reporting | Vulnerabilities Related to Incidents</t>
  </si>
  <si>
    <t>Not a direct configuration item - enhancement of IR-06 (Incident Reporting): 'Vulnerabilities Related to Incidents'; reporting incidents to designated authorities within required timeframes.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</si>
  <si>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IR-06: 'Vulnerabilities Related to Incidents' - </t>
    </r>
    <r>
      <rPr>
        <rFont val="FreeSans"/>
        <color theme="1"/>
        <sz val="14.0"/>
      </rPr>
      <t>การรายงานเหตุการณ์ต่อหน่วยงานที่กำหนดตามกรอบเวลา</t>
    </r>
  </si>
  <si>
    <t>ESBIT-IR-06(03)</t>
  </si>
  <si>
    <t>IR-06(03)</t>
  </si>
  <si>
    <t>Incident Reporting | Supply Chain Coordination</t>
  </si>
  <si>
    <t>Not a direct configuration item - enhancement of IR-06 (Incident Reporting): 'Supply Chain Coordination'; reporting incidents to designated authorities within required timeframes.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</si>
  <si>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IR-06: 'Supply Chain Coordination' - </t>
    </r>
    <r>
      <rPr>
        <rFont val="FreeSans"/>
        <color theme="1"/>
        <sz val="14.0"/>
      </rPr>
      <t>การรายงานเหตุการณ์ต่อหน่วยงานที่กำหนดตามกรอบเวลา</t>
    </r>
  </si>
  <si>
    <t>ESBIT-IR-07</t>
  </si>
  <si>
    <t>IR-07</t>
  </si>
  <si>
    <t>Incident Response Assistance</t>
  </si>
  <si>
    <t>RS.CO-03</t>
  </si>
  <si>
    <t>Information is shared with designated internal and external stakeholders</t>
  </si>
  <si>
    <t>Not a direct configuration item - providing incident response support resources to users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</si>
  <si>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การให้ความช่วยเหลือด้านการตอบสนองเหตุการณ์แก่ผู้ใช้</t>
    </r>
  </si>
  <si>
    <t>ESBIT-IR-07(01)</t>
  </si>
  <si>
    <t>IR-07(01)</t>
  </si>
  <si>
    <t>Incident Response Assistance | Automation Support for Availability of Information and Support</t>
  </si>
  <si>
    <t>Not a direct configuration item - enhancement of IR-07 (Incident Response Assistance): 'Automation Support for Availability of Information and Support'; providing incident response support resources to users.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</si>
  <si>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IR-07: 'Automation Support for Availability of Information and Support' - </t>
    </r>
    <r>
      <rPr>
        <rFont val="FreeSans"/>
        <color theme="1"/>
        <sz val="14.0"/>
      </rPr>
      <t>การให้ความช่วยเหลือด้านการตอบสนองเหตุการณ์แก่ผู้ใช้</t>
    </r>
  </si>
  <si>
    <t>ESBIT-IR-08</t>
  </si>
  <si>
    <t>IR-08</t>
  </si>
  <si>
    <t>Incident Response Plan</t>
  </si>
  <si>
    <t>ID.IM-04</t>
  </si>
  <si>
    <t>Incident response plans and other cybersecurity plans that affect operations are established, communicated, maintained, and improved</t>
  </si>
  <si>
    <t>Not a direct configuration item - documented incident response plan and its maintenance</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</si>
  <si>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แผนตอบสนองเหตุการณ์ที่เป็นลายลักษณ์อักษรและการปรับปรุง</t>
    </r>
  </si>
  <si>
    <t>ESBIT-IR-08(01)</t>
  </si>
  <si>
    <t>IR-08(01)</t>
  </si>
  <si>
    <t>Incident Response Plan | Breaches</t>
  </si>
  <si>
    <t>Not a direct configuration item - enhancement of IR-08 (Incident Response Plan): 'Breaches'; documented incident response plan and its maintenance.</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</si>
  <si>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IR-08: 'Breaches' - </t>
    </r>
    <r>
      <rPr>
        <rFont val="FreeSans"/>
        <color theme="1"/>
        <sz val="14.0"/>
      </rPr>
      <t>แผนตอบสนองเหตุการณ์ที่เป็นลายลักษณ์อักษรและการปรับปรุง</t>
    </r>
  </si>
  <si>
    <t>ESBIT-IR-09</t>
  </si>
  <si>
    <t>IR-09</t>
  </si>
  <si>
    <t>Information Spillage Response</t>
  </si>
  <si>
    <t>RS.MI - Incident Mitigation</t>
  </si>
  <si>
    <t>RS.MI-02</t>
  </si>
  <si>
    <t>Incidents are eradicated</t>
  </si>
  <si>
    <t>Not a direct configuration item - response procedures for information spillage</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</si>
  <si>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ขั้นตอนตอบสนองกรณีข้อมูลรั่วไหลไปยังระบบที่ไม่ได้รับอนุญาต</t>
    </r>
  </si>
  <si>
    <t>ESBIT-IR-09(02)</t>
  </si>
  <si>
    <t>IR-09(02)</t>
  </si>
  <si>
    <t>Information Spillage Response | Training</t>
  </si>
  <si>
    <t>Not a direct configuration item - enhancement of IR-09 (Information Spillage Response): 'Training'; response procedures for information spillage.</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</si>
  <si>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IR-09: 'Training' - </t>
    </r>
    <r>
      <rPr>
        <rFont val="FreeSans"/>
        <color theme="1"/>
        <sz val="14.0"/>
      </rPr>
      <t>ขั้นตอนตอบสนองกรณีข้อมูลรั่วไหลไปยังระบบที่ไม่ได้รับอนุญาต</t>
    </r>
  </si>
  <si>
    <t>ESBIT-IR-09(03)</t>
  </si>
  <si>
    <t>IR-09(03)</t>
  </si>
  <si>
    <t>Information Spillage Response | Post-spill Operations</t>
  </si>
  <si>
    <t>Not a direct configuration item - enhancement of IR-09 (Information Spillage Response): 'Post-spill Operations'; response procedures for information spillage.</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</si>
  <si>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IR-09: 'Post-spill Operations' - </t>
    </r>
    <r>
      <rPr>
        <rFont val="FreeSans"/>
        <color theme="1"/>
        <sz val="14.0"/>
      </rPr>
      <t>ขั้นตอนตอบสนองกรณีข้อมูลรั่วไหลไปยังระบบที่ไม่ได้รับอนุญาต</t>
    </r>
  </si>
  <si>
    <t>ESBIT-IR-09(04)</t>
  </si>
  <si>
    <t>IR-09(04)</t>
  </si>
  <si>
    <t>Information Spillage Response | Exposure to Unauthorized Personnel</t>
  </si>
  <si>
    <t>Not a direct configuration item - enhancement of IR-09 (Information Spillage Response): 'Exposure to Unauthorized Personnel'; response procedures for information spillage.</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</si>
  <si>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IR-09: 'Exposure to Unauthorized Personnel' - </t>
    </r>
    <r>
      <rPr>
        <rFont val="FreeSans"/>
        <color theme="1"/>
        <sz val="14.0"/>
      </rPr>
      <t>ขั้นตอนตอบสนองกรณีข้อมูลรั่วไหลไปยังระบบที่ไม่ได้รับอนุญาต</t>
    </r>
  </si>
  <si>
    <t>ESBIT-MA-01</t>
  </si>
  <si>
    <t>MA-01</t>
  </si>
  <si>
    <t>Not a direct configuration item - define, document, review and communicate the Maintenance policy and procedures that drive the technical configuration standards.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</si>
  <si>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กำหนด จัดทำเอกสาร และทบทวนนโยบาย</t>
    </r>
    <r>
      <rPr>
        <rFont val="Calibri"/>
        <color theme="1"/>
        <sz val="14.0"/>
      </rPr>
      <t>/</t>
    </r>
    <r>
      <rPr>
        <rFont val="FreeSans"/>
        <color theme="1"/>
        <sz val="14.0"/>
      </rPr>
      <t xml:space="preserve">ขั้นตอนของหมวดการบำรุงรักษา เพื่อเป็นฐานในการกำหนดมาตรฐาน </t>
    </r>
    <r>
      <rPr>
        <rFont val="Calibri"/>
        <color theme="1"/>
        <sz val="14.0"/>
      </rPr>
      <t>Config</t>
    </r>
  </si>
  <si>
    <t>ESBIT-MA-02</t>
  </si>
  <si>
    <t>MA-02</t>
  </si>
  <si>
    <t>Controlled Maintenance</t>
  </si>
  <si>
    <t>PR.PS-03</t>
  </si>
  <si>
    <t>Hardware is maintained, replaced, and removed commensurate with risk</t>
  </si>
  <si>
    <t>Configure approval, scheduling and logging of maintenance activities and equipment removal</t>
  </si>
  <si>
    <t>ตั้งค่าการอนุมัติ ตารางงาน และบันทึกงานบำรุงรักษาและการนำอุปกรณ์ออก</t>
  </si>
  <si>
    <t>ESBIT-MA-02(02)</t>
  </si>
  <si>
    <t>MA-02(02)</t>
  </si>
  <si>
    <t>Controlled Maintenance | Automated Maintenance Activities</t>
  </si>
  <si>
    <t>Enhances MA-02 (Controlled Maintenance): configure and enforce 'Automated Maintenance Activities' in addition to the base setting, keep it consistent across applicable systems and document approved exceptions. Base scope: Configure approval, scheduling and logging of maintenance activities and equipment removal</t>
  </si>
  <si>
    <r>
      <rPr>
        <rFont val="FreeSans"/>
        <color theme="1"/>
        <sz val="14.0"/>
      </rPr>
      <t xml:space="preserve">ส่วนขยายของ </t>
    </r>
    <r>
      <rPr>
        <rFont val="Calibri"/>
        <color theme="1"/>
        <sz val="14.0"/>
      </rPr>
      <t xml:space="preserve">MA-02: </t>
    </r>
    <r>
      <rPr>
        <rFont val="FreeSans"/>
        <color theme="1"/>
        <sz val="14.0"/>
      </rPr>
      <t xml:space="preserve">กำหนดค่าและบังคับใช้ </t>
    </r>
    <r>
      <rPr>
        <rFont val="Calibri"/>
        <color theme="1"/>
        <sz val="14.0"/>
      </rPr>
      <t xml:space="preserve">'Automated Maintenance Activities'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ตั้งค่าการอนุมัติ ตารางงาน และบันทึกงานบำรุงรักษาและการนำอุปกรณ์ออก</t>
    </r>
  </si>
  <si>
    <t>ESBIT-MA-03</t>
  </si>
  <si>
    <t>MA-03</t>
  </si>
  <si>
    <t>Maintenance Tools</t>
  </si>
  <si>
    <t>Inspect and control maintenance tools, diagnostic software and media before use</t>
  </si>
  <si>
    <t>ตรวจสอบและควบคุมเครื่องมือบำรุงรักษาและซอฟต์แวร์วินิจฉัยก่อนใช้งาน</t>
  </si>
  <si>
    <t>ESBIT-MA-03(01)</t>
  </si>
  <si>
    <t>MA-03(01)</t>
  </si>
  <si>
    <t>Maintenance Tools | Inspect Tools</t>
  </si>
  <si>
    <t>Enhances MA-03 (Maintenance Tools): configure and enforce 'Inspect Tools' in addition to the base setting, keep it consistent across applicable systems and document approved exceptions. Base scope: Inspect and control maintenance tools, diagnostic software and media before use</t>
  </si>
  <si>
    <r>
      <rPr>
        <rFont val="FreeSans"/>
        <color theme="1"/>
        <sz val="14.0"/>
      </rPr>
      <t xml:space="preserve">ส่วนขยายของ </t>
    </r>
    <r>
      <rPr>
        <rFont val="Calibri"/>
        <color theme="1"/>
        <sz val="14.0"/>
      </rPr>
      <t xml:space="preserve">MA-03: </t>
    </r>
    <r>
      <rPr>
        <rFont val="FreeSans"/>
        <color theme="1"/>
        <sz val="14.0"/>
      </rPr>
      <t xml:space="preserve">กำหนดค่าและบังคับใช้ </t>
    </r>
    <r>
      <rPr>
        <rFont val="Calibri"/>
        <color theme="1"/>
        <sz val="14.0"/>
      </rPr>
      <t xml:space="preserve">'Inspect Tools'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ตรวจสอบและควบคุมเครื่องมือบำรุงรักษาและซอฟต์แวร์วินิจฉัยก่อนใช้งาน</t>
    </r>
  </si>
  <si>
    <t>ESBIT-MA-03(02)</t>
  </si>
  <si>
    <t>MA-03(02)</t>
  </si>
  <si>
    <t>Maintenance Tools | Inspect Media</t>
  </si>
  <si>
    <t>Enhances MA-03 (Maintenance Tools): configure and enforce 'Inspect Media' in addition to the base setting, keep it consistent across applicable systems and document approved exceptions. Base scope: Inspect and control maintenance tools, diagnostic software and media before use</t>
  </si>
  <si>
    <r>
      <rPr>
        <rFont val="FreeSans"/>
        <color theme="1"/>
        <sz val="14.0"/>
      </rPr>
      <t xml:space="preserve">ส่วนขยายของ </t>
    </r>
    <r>
      <rPr>
        <rFont val="Calibri"/>
        <color theme="1"/>
        <sz val="14.0"/>
      </rPr>
      <t xml:space="preserve">MA-03: </t>
    </r>
    <r>
      <rPr>
        <rFont val="FreeSans"/>
        <color theme="1"/>
        <sz val="14.0"/>
      </rPr>
      <t xml:space="preserve">กำหนดค่าและบังคับใช้ </t>
    </r>
    <r>
      <rPr>
        <rFont val="Calibri"/>
        <color theme="1"/>
        <sz val="14.0"/>
      </rPr>
      <t xml:space="preserve">'Inspect Media'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ตรวจสอบและควบคุมเครื่องมือบำรุงรักษาและซอฟต์แวร์วินิจฉัยก่อนใช้งาน</t>
    </r>
  </si>
  <si>
    <t>ESBIT-MA-03(03)</t>
  </si>
  <si>
    <t>MA-03(03)</t>
  </si>
  <si>
    <t>Maintenance Tools | Prevent Unauthorized Removal</t>
  </si>
  <si>
    <t>Enhances MA-03 (Maintenance Tools): configure and enforce 'Prevent Unauthorized Removal' in addition to the base setting, keep it consistent across applicable systems and document approved exceptions. Base scope: Inspect and control maintenance tools, diagnostic software and media before use</t>
  </si>
  <si>
    <r>
      <rPr>
        <rFont val="FreeSans"/>
        <color theme="1"/>
        <sz val="14.0"/>
      </rPr>
      <t xml:space="preserve">ส่วนขยายของ </t>
    </r>
    <r>
      <rPr>
        <rFont val="Calibri"/>
        <color theme="1"/>
        <sz val="14.0"/>
      </rPr>
      <t xml:space="preserve">MA-03: </t>
    </r>
    <r>
      <rPr>
        <rFont val="FreeSans"/>
        <color theme="1"/>
        <sz val="14.0"/>
      </rPr>
      <t xml:space="preserve">กำหนดค่าและบังคับใช้ </t>
    </r>
    <r>
      <rPr>
        <rFont val="Calibri"/>
        <color theme="1"/>
        <sz val="14.0"/>
      </rPr>
      <t xml:space="preserve">'Prevent Unauthorized Removal'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ตรวจสอบและควบคุมเครื่องมือบำรุงรักษาและซอฟต์แวร์วินิจฉัยก่อนใช้งาน</t>
    </r>
  </si>
  <si>
    <t>ESBIT-MA-03(04)</t>
  </si>
  <si>
    <t>MA-03(04)</t>
  </si>
  <si>
    <t>Maintenance Tools | Restricted Tool Use</t>
  </si>
  <si>
    <t>Enhances MA-03 (Maintenance Tools): configure and enforce 'Restricted Tool Use' in addition to the base setting, keep it consistent across applicable systems and document approved exceptions. Base scope: Inspect and control maintenance tools, diagnostic software and media before use</t>
  </si>
  <si>
    <r>
      <rPr>
        <rFont val="FreeSans"/>
        <color theme="1"/>
        <sz val="14.0"/>
      </rPr>
      <t xml:space="preserve">ส่วนขยายของ </t>
    </r>
    <r>
      <rPr>
        <rFont val="Calibri"/>
        <color theme="1"/>
        <sz val="14.0"/>
      </rPr>
      <t xml:space="preserve">MA-03: </t>
    </r>
    <r>
      <rPr>
        <rFont val="FreeSans"/>
        <color theme="1"/>
        <sz val="14.0"/>
      </rPr>
      <t xml:space="preserve">กำหนดค่าและบังคับใช้ </t>
    </r>
    <r>
      <rPr>
        <rFont val="Calibri"/>
        <color theme="1"/>
        <sz val="14.0"/>
      </rPr>
      <t xml:space="preserve">'Restricted Tool Use'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ตรวจสอบและควบคุมเครื่องมือบำรุงรักษาและซอฟต์แวร์วินิจฉัยก่อนใช้งาน</t>
    </r>
  </si>
  <si>
    <t>ESBIT-MA-03(05)</t>
  </si>
  <si>
    <t>MA-03(05)</t>
  </si>
  <si>
    <t>Maintenance Tools | Execution with Privilege</t>
  </si>
  <si>
    <t>Enhances MA-03 (Maintenance Tools): configure and enforce 'Execution with Privilege' in addition to the base setting, keep it consistent across applicable systems and document approved exceptions. Base scope: Inspect and control maintenance tools, diagnostic software and media before use</t>
  </si>
  <si>
    <r>
      <rPr>
        <rFont val="FreeSans"/>
        <color theme="1"/>
        <sz val="14.0"/>
      </rPr>
      <t xml:space="preserve">ส่วนขยายของ </t>
    </r>
    <r>
      <rPr>
        <rFont val="Calibri"/>
        <color theme="1"/>
        <sz val="14.0"/>
      </rPr>
      <t xml:space="preserve">MA-03: </t>
    </r>
    <r>
      <rPr>
        <rFont val="FreeSans"/>
        <color theme="1"/>
        <sz val="14.0"/>
      </rPr>
      <t xml:space="preserve">กำหนดค่าและบังคับใช้ </t>
    </r>
    <r>
      <rPr>
        <rFont val="Calibri"/>
        <color theme="1"/>
        <sz val="14.0"/>
      </rPr>
      <t xml:space="preserve">'Execution with Privilege'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ตรวจสอบและควบคุมเครื่องมือบำรุงรักษาและซอฟต์แวร์วินิจฉัยก่อนใช้งาน</t>
    </r>
  </si>
  <si>
    <t>ESBIT-MA-03(06)</t>
  </si>
  <si>
    <t>MA-03(06)</t>
  </si>
  <si>
    <t>Maintenance Tools | Software Updates and Patches</t>
  </si>
  <si>
    <t>Enhances MA-03 (Maintenance Tools): configure and enforce 'Software Updates and Patches' in addition to the base setting, keep it consistent across applicable systems and document approved exceptions. Base scope: Inspect and control maintenance tools, diagnostic software and media before use</t>
  </si>
  <si>
    <r>
      <rPr>
        <rFont val="FreeSans"/>
        <color theme="1"/>
        <sz val="14.0"/>
      </rPr>
      <t xml:space="preserve">ส่วนขยายของ </t>
    </r>
    <r>
      <rPr>
        <rFont val="Calibri"/>
        <color theme="1"/>
        <sz val="14.0"/>
      </rPr>
      <t xml:space="preserve">MA-03: </t>
    </r>
    <r>
      <rPr>
        <rFont val="FreeSans"/>
        <color theme="1"/>
        <sz val="14.0"/>
      </rPr>
      <t xml:space="preserve">กำหนดค่าและบังคับใช้ </t>
    </r>
    <r>
      <rPr>
        <rFont val="Calibri"/>
        <color theme="1"/>
        <sz val="14.0"/>
      </rPr>
      <t xml:space="preserve">'Software Updates and Patches'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ตรวจสอบและควบคุมเครื่องมือบำรุงรักษาและซอฟต์แวร์วินิจฉัยก่อนใช้งาน</t>
    </r>
  </si>
  <si>
    <t>ESBIT-MA-04</t>
  </si>
  <si>
    <t>MA-04</t>
  </si>
  <si>
    <t>Nonlocal Maintenance</t>
  </si>
  <si>
    <t>Configure MFA, encrypted sessions, logging and session termination for remote maintenance and vendor access</t>
  </si>
  <si>
    <r>
      <rPr>
        <rFont val="FreeSans"/>
        <color theme="1"/>
        <sz val="14.0"/>
      </rPr>
      <t xml:space="preserve">ตั้งค่า </t>
    </r>
    <r>
      <rPr>
        <rFont val="Calibri"/>
        <color theme="1"/>
        <sz val="14.0"/>
      </rPr>
      <t xml:space="preserve">MFA </t>
    </r>
    <r>
      <rPr>
        <rFont val="FreeSans"/>
        <color theme="1"/>
        <sz val="14.0"/>
      </rPr>
      <t xml:space="preserve">เข้ารหัส บันทึกล็อก และตัด </t>
    </r>
    <r>
      <rPr>
        <rFont val="Calibri"/>
        <color theme="1"/>
        <sz val="14.0"/>
      </rPr>
      <t xml:space="preserve">Session </t>
    </r>
    <r>
      <rPr>
        <rFont val="FreeSans"/>
        <color theme="1"/>
        <sz val="14.0"/>
      </rPr>
      <t xml:space="preserve">สำหรับการบำรุงรักษาระยะไกลและ </t>
    </r>
    <r>
      <rPr>
        <rFont val="Calibri"/>
        <color theme="1"/>
        <sz val="14.0"/>
      </rPr>
      <t>Vendor</t>
    </r>
  </si>
  <si>
    <t>ESBIT-MA-04(01)</t>
  </si>
  <si>
    <t>MA-04(01)</t>
  </si>
  <si>
    <t>Nonlocal Maintenance | Logging and Review</t>
  </si>
  <si>
    <t>Enhances MA-04 (Nonlocal Maintenance): configure and enforce 'Logging and Review' in addition to the base setting, keep it consistent across applicable systems and document approved exceptions. Base scope: Configure MFA, encrypted sessions, logging and session termination for remote maintenance and vendor access</t>
  </si>
  <si>
    <r>
      <rPr>
        <rFont val="FreeSans"/>
        <color theme="1"/>
        <sz val="14.0"/>
      </rPr>
      <t xml:space="preserve">ส่วนขยายของ </t>
    </r>
    <r>
      <rPr>
        <rFont val="Calibri"/>
        <color theme="1"/>
        <sz val="14.0"/>
      </rPr>
      <t xml:space="preserve">MA-04: </t>
    </r>
    <r>
      <rPr>
        <rFont val="FreeSans"/>
        <color theme="1"/>
        <sz val="14.0"/>
      </rPr>
      <t xml:space="preserve">กำหนดค่าและบังคับใช้ </t>
    </r>
    <r>
      <rPr>
        <rFont val="Calibri"/>
        <color theme="1"/>
        <sz val="14.0"/>
      </rPr>
      <t xml:space="preserve">'Logging and Review'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MFA </t>
    </r>
    <r>
      <rPr>
        <rFont val="FreeSans"/>
        <color theme="1"/>
        <sz val="14.0"/>
      </rPr>
      <t xml:space="preserve">เข้ารหัส บันทึกล็อก และตัด </t>
    </r>
    <r>
      <rPr>
        <rFont val="Calibri"/>
        <color theme="1"/>
        <sz val="14.0"/>
      </rPr>
      <t xml:space="preserve">Session </t>
    </r>
    <r>
      <rPr>
        <rFont val="FreeSans"/>
        <color theme="1"/>
        <sz val="14.0"/>
      </rPr>
      <t xml:space="preserve">สำหรับการบำรุงรักษาระยะไกลและ </t>
    </r>
    <r>
      <rPr>
        <rFont val="Calibri"/>
        <color theme="1"/>
        <sz val="14.0"/>
      </rPr>
      <t>Vendor</t>
    </r>
  </si>
  <si>
    <t>ESBIT-MA-04(03)</t>
  </si>
  <si>
    <t>MA-04(03)</t>
  </si>
  <si>
    <t>Nonlocal Maintenance | Comparable Security and Sanitization</t>
  </si>
  <si>
    <t>Enhances MA-04 (Nonlocal Maintenance): configure and enforce 'Comparable Security and Sanitization' in addition to the base setting, keep it consistent across applicable systems and document approved exceptions. Base scope: Configure MFA, encrypted sessions, logging and session termination for remote maintenance and vendor access</t>
  </si>
  <si>
    <r>
      <rPr>
        <rFont val="FreeSans"/>
        <color theme="1"/>
        <sz val="14.0"/>
      </rPr>
      <t xml:space="preserve">ส่วนขยายของ </t>
    </r>
    <r>
      <rPr>
        <rFont val="Calibri"/>
        <color theme="1"/>
        <sz val="14.0"/>
      </rPr>
      <t xml:space="preserve">MA-04: </t>
    </r>
    <r>
      <rPr>
        <rFont val="FreeSans"/>
        <color theme="1"/>
        <sz val="14.0"/>
      </rPr>
      <t xml:space="preserve">กำหนดค่าและบังคับใช้ </t>
    </r>
    <r>
      <rPr>
        <rFont val="Calibri"/>
        <color theme="1"/>
        <sz val="14.0"/>
      </rPr>
      <t xml:space="preserve">'Comparable Security and Sanitization'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MFA </t>
    </r>
    <r>
      <rPr>
        <rFont val="FreeSans"/>
        <color theme="1"/>
        <sz val="14.0"/>
      </rPr>
      <t xml:space="preserve">เข้ารหัส บันทึกล็อก และตัด </t>
    </r>
    <r>
      <rPr>
        <rFont val="Calibri"/>
        <color theme="1"/>
        <sz val="14.0"/>
      </rPr>
      <t xml:space="preserve">Session </t>
    </r>
    <r>
      <rPr>
        <rFont val="FreeSans"/>
        <color theme="1"/>
        <sz val="14.0"/>
      </rPr>
      <t xml:space="preserve">สำหรับการบำรุงรักษาระยะไกลและ </t>
    </r>
    <r>
      <rPr>
        <rFont val="Calibri"/>
        <color theme="1"/>
        <sz val="14.0"/>
      </rPr>
      <t>Vendor</t>
    </r>
  </si>
  <si>
    <t>ESBIT-MA-04(04)</t>
  </si>
  <si>
    <t>MA-04(04)</t>
  </si>
  <si>
    <t>Nonlocal Maintenance | Authentication and Separation of Maintenance Sessions</t>
  </si>
  <si>
    <t>Enhances MA-04 (Nonlocal Maintenance): configure and enforce 'Authentication and Separation of Maintenance Sessions' in addition to the base setting, keep it consistent across applicable systems and document approved exceptions. Base scope: Configure MFA, encrypted sessions, logging and session termination for remote maintenance and vendor access</t>
  </si>
  <si>
    <r>
      <rPr>
        <rFont val="FreeSans"/>
        <color theme="1"/>
        <sz val="14.0"/>
      </rPr>
      <t xml:space="preserve">ส่วนขยายของ </t>
    </r>
    <r>
      <rPr>
        <rFont val="Calibri"/>
        <color theme="1"/>
        <sz val="14.0"/>
      </rPr>
      <t xml:space="preserve">MA-04: </t>
    </r>
    <r>
      <rPr>
        <rFont val="FreeSans"/>
        <color theme="1"/>
        <sz val="14.0"/>
      </rPr>
      <t xml:space="preserve">กำหนดค่าและบังคับใช้ </t>
    </r>
    <r>
      <rPr>
        <rFont val="Calibri"/>
        <color theme="1"/>
        <sz val="14.0"/>
      </rPr>
      <t xml:space="preserve">'Authentication and Separation of Maintenance Sessions'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MFA </t>
    </r>
    <r>
      <rPr>
        <rFont val="FreeSans"/>
        <color theme="1"/>
        <sz val="14.0"/>
      </rPr>
      <t xml:space="preserve">เข้ารหัส บันทึกล็อก และตัด </t>
    </r>
    <r>
      <rPr>
        <rFont val="Calibri"/>
        <color theme="1"/>
        <sz val="14.0"/>
      </rPr>
      <t xml:space="preserve">Session </t>
    </r>
    <r>
      <rPr>
        <rFont val="FreeSans"/>
        <color theme="1"/>
        <sz val="14.0"/>
      </rPr>
      <t xml:space="preserve">สำหรับการบำรุงรักษาระยะไกลและ </t>
    </r>
    <r>
      <rPr>
        <rFont val="Calibri"/>
        <color theme="1"/>
        <sz val="14.0"/>
      </rPr>
      <t>Vendor</t>
    </r>
  </si>
  <si>
    <t>ESBIT-MA-04(05)</t>
  </si>
  <si>
    <t>MA-04(05)</t>
  </si>
  <si>
    <t>Nonlocal Maintenance | Approvals and Notifications</t>
  </si>
  <si>
    <t>Enhances MA-04 (Nonlocal Maintenance): configure and enforce 'Approvals and Notifications' in addition to the base setting, keep it consistent across applicable systems and document approved exceptions. Base scope: Configure MFA, encrypted sessions, logging and session termination for remote maintenance and vendor access</t>
  </si>
  <si>
    <r>
      <rPr>
        <rFont val="FreeSans"/>
        <color theme="1"/>
        <sz val="14.0"/>
      </rPr>
      <t xml:space="preserve">ส่วนขยายของ </t>
    </r>
    <r>
      <rPr>
        <rFont val="Calibri"/>
        <color theme="1"/>
        <sz val="14.0"/>
      </rPr>
      <t xml:space="preserve">MA-04: </t>
    </r>
    <r>
      <rPr>
        <rFont val="FreeSans"/>
        <color theme="1"/>
        <sz val="14.0"/>
      </rPr>
      <t xml:space="preserve">กำหนดค่าและบังคับใช้ </t>
    </r>
    <r>
      <rPr>
        <rFont val="Calibri"/>
        <color theme="1"/>
        <sz val="14.0"/>
      </rPr>
      <t xml:space="preserve">'Approvals and Notifications'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MFA </t>
    </r>
    <r>
      <rPr>
        <rFont val="FreeSans"/>
        <color theme="1"/>
        <sz val="14.0"/>
      </rPr>
      <t xml:space="preserve">เข้ารหัส บันทึกล็อก และตัด </t>
    </r>
    <r>
      <rPr>
        <rFont val="Calibri"/>
        <color theme="1"/>
        <sz val="14.0"/>
      </rPr>
      <t xml:space="preserve">Session </t>
    </r>
    <r>
      <rPr>
        <rFont val="FreeSans"/>
        <color theme="1"/>
        <sz val="14.0"/>
      </rPr>
      <t xml:space="preserve">สำหรับการบำรุงรักษาระยะไกลและ </t>
    </r>
    <r>
      <rPr>
        <rFont val="Calibri"/>
        <color theme="1"/>
        <sz val="14.0"/>
      </rPr>
      <t>Vendor</t>
    </r>
  </si>
  <si>
    <t>ESBIT-MA-04(06)</t>
  </si>
  <si>
    <t>MA-04(06)</t>
  </si>
  <si>
    <t>Nonlocal Maintenance | Cryptographic Protection</t>
  </si>
  <si>
    <t>Enhances MA-04 (Nonlocal Maintenance): configure and enforce 'Cryptographic Protection' in addition to the base setting, keep it consistent across applicable systems and document approved exceptions. Base scope: Configure MFA, encrypted sessions, logging and session termination for remote maintenance and vendor access</t>
  </si>
  <si>
    <r>
      <rPr>
        <rFont val="FreeSans"/>
        <color theme="1"/>
        <sz val="14.0"/>
      </rPr>
      <t xml:space="preserve">ส่วนขยายของ </t>
    </r>
    <r>
      <rPr>
        <rFont val="Calibri"/>
        <color theme="1"/>
        <sz val="14.0"/>
      </rPr>
      <t xml:space="preserve">MA-04: </t>
    </r>
    <r>
      <rPr>
        <rFont val="FreeSans"/>
        <color theme="1"/>
        <sz val="14.0"/>
      </rPr>
      <t xml:space="preserve">กำหนดค่าและบังคับใช้ </t>
    </r>
    <r>
      <rPr>
        <rFont val="Calibri"/>
        <color theme="1"/>
        <sz val="14.0"/>
      </rPr>
      <t xml:space="preserve">'Cryptographic Protection'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MFA </t>
    </r>
    <r>
      <rPr>
        <rFont val="FreeSans"/>
        <color theme="1"/>
        <sz val="14.0"/>
      </rPr>
      <t xml:space="preserve">เข้ารหัส บันทึกล็อก และตัด </t>
    </r>
    <r>
      <rPr>
        <rFont val="Calibri"/>
        <color theme="1"/>
        <sz val="14.0"/>
      </rPr>
      <t xml:space="preserve">Session </t>
    </r>
    <r>
      <rPr>
        <rFont val="FreeSans"/>
        <color theme="1"/>
        <sz val="14.0"/>
      </rPr>
      <t xml:space="preserve">สำหรับการบำรุงรักษาระยะไกลและ </t>
    </r>
    <r>
      <rPr>
        <rFont val="Calibri"/>
        <color theme="1"/>
        <sz val="14.0"/>
      </rPr>
      <t>Vendor</t>
    </r>
  </si>
  <si>
    <t>ESBIT-MA-04(07)</t>
  </si>
  <si>
    <t>MA-04(07)</t>
  </si>
  <si>
    <t>Nonlocal Maintenance | Disconnect Verification</t>
  </si>
  <si>
    <t>Enhances MA-04 (Nonlocal Maintenance): configure and enforce 'Disconnect Verification' in addition to the base setting, keep it consistent across applicable systems and document approved exceptions. Base scope: Configure MFA, encrypted sessions, logging and session termination for remote maintenance and vendor access</t>
  </si>
  <si>
    <r>
      <rPr>
        <rFont val="FreeSans"/>
        <color theme="1"/>
        <sz val="14.0"/>
      </rPr>
      <t xml:space="preserve">ส่วนขยายของ </t>
    </r>
    <r>
      <rPr>
        <rFont val="Calibri"/>
        <color theme="1"/>
        <sz val="14.0"/>
      </rPr>
      <t xml:space="preserve">MA-04: </t>
    </r>
    <r>
      <rPr>
        <rFont val="FreeSans"/>
        <color theme="1"/>
        <sz val="14.0"/>
      </rPr>
      <t xml:space="preserve">กำหนดค่าและบังคับใช้ </t>
    </r>
    <r>
      <rPr>
        <rFont val="Calibri"/>
        <color theme="1"/>
        <sz val="14.0"/>
      </rPr>
      <t xml:space="preserve">'Disconnect Verification'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MFA </t>
    </r>
    <r>
      <rPr>
        <rFont val="FreeSans"/>
        <color theme="1"/>
        <sz val="14.0"/>
      </rPr>
      <t xml:space="preserve">เข้ารหัส บันทึกล็อก และตัด </t>
    </r>
    <r>
      <rPr>
        <rFont val="Calibri"/>
        <color theme="1"/>
        <sz val="14.0"/>
      </rPr>
      <t xml:space="preserve">Session </t>
    </r>
    <r>
      <rPr>
        <rFont val="FreeSans"/>
        <color theme="1"/>
        <sz val="14.0"/>
      </rPr>
      <t xml:space="preserve">สำหรับการบำรุงรักษาระยะไกลและ </t>
    </r>
    <r>
      <rPr>
        <rFont val="Calibri"/>
        <color theme="1"/>
        <sz val="14.0"/>
      </rPr>
      <t>Vendor</t>
    </r>
  </si>
  <si>
    <t>ESBIT-MA-05</t>
  </si>
  <si>
    <t>MA-05</t>
  </si>
  <si>
    <t>Maintenance Personnel</t>
  </si>
  <si>
    <t>Not a direct configuration item - authorization and supervision of maintenance personnel</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</si>
  <si>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การอนุญาตและกำกับดูแลบุคลากรบำรุงรักษา</t>
    </r>
  </si>
  <si>
    <t>ESBIT-MA-05(01)</t>
  </si>
  <si>
    <t>MA-05(01)</t>
  </si>
  <si>
    <t>Maintenance Personnel | Individuals Without Appropriate Access</t>
  </si>
  <si>
    <t>Not a direct configuration item - enhancement of MA-05 (Maintenance Personnel): 'Individuals Without Appropriate Access'; authorization and supervision of maintenance personnel.</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</si>
  <si>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MA-05: 'Individuals Without Appropriate Access' - </t>
    </r>
    <r>
      <rPr>
        <rFont val="FreeSans"/>
        <color theme="1"/>
        <sz val="14.0"/>
      </rPr>
      <t>การอนุญาตและกำกับดูแลบุคลากรบำรุงรักษา</t>
    </r>
  </si>
  <si>
    <t>ESBIT-MA-05(02)</t>
  </si>
  <si>
    <t>MA-05(02)</t>
  </si>
  <si>
    <t>Maintenance Personnel | Security Clearances for Classified Systems</t>
  </si>
  <si>
    <t>Not a direct configuration item - enhancement of MA-05 (Maintenance Personnel): 'Security Clearances for Classified Systems'; authorization and supervision of maintenance personnel.</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</si>
  <si>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MA-05: 'Security Clearances for Classified Systems' - </t>
    </r>
    <r>
      <rPr>
        <rFont val="FreeSans"/>
        <color theme="1"/>
        <sz val="14.0"/>
      </rPr>
      <t>การอนุญาตและกำกับดูแลบุคลากรบำรุงรักษา</t>
    </r>
  </si>
  <si>
    <t>ESBIT-MA-05(03)</t>
  </si>
  <si>
    <t>MA-05(03)</t>
  </si>
  <si>
    <t>Maintenance Personnel | Citizenship Requirements for Classified Systems</t>
  </si>
  <si>
    <t>Not a direct configuration item - enhancement of MA-05 (Maintenance Personnel): 'Citizenship Requirements for Classified Systems'; authorization and supervision of maintenance personnel.</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</si>
  <si>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MA-05: 'Citizenship Requirements for Classified Systems' - </t>
    </r>
    <r>
      <rPr>
        <rFont val="FreeSans"/>
        <color theme="1"/>
        <sz val="14.0"/>
      </rPr>
      <t>การอนุญาตและกำกับดูแลบุคลากรบำรุงรักษา</t>
    </r>
  </si>
  <si>
    <t>ESBIT-MA-05(04)</t>
  </si>
  <si>
    <t>MA-05(04)</t>
  </si>
  <si>
    <t>Maintenance Personnel | Foreign Nationals</t>
  </si>
  <si>
    <t>Not a direct configuration item - enhancement of MA-05 (Maintenance Personnel): 'Foreign Nationals'; authorization and supervision of maintenance personnel.</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</si>
  <si>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MA-05: 'Foreign Nationals' - </t>
    </r>
    <r>
      <rPr>
        <rFont val="FreeSans"/>
        <color theme="1"/>
        <sz val="14.0"/>
      </rPr>
      <t>การอนุญาตและกำกับดูแลบุคลากรบำรุงรักษา</t>
    </r>
  </si>
  <si>
    <t>ESBIT-MA-05(05)</t>
  </si>
  <si>
    <t>MA-05(05)</t>
  </si>
  <si>
    <t>Maintenance Personnel | Non-system Maintenance</t>
  </si>
  <si>
    <t>Not a direct configuration item - enhancement of MA-05 (Maintenance Personnel): 'Non-system Maintenance'; authorization and supervision of maintenance personnel.</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</si>
  <si>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MA-05: 'Non-system Maintenance' - </t>
    </r>
    <r>
      <rPr>
        <rFont val="FreeSans"/>
        <color theme="1"/>
        <sz val="14.0"/>
      </rPr>
      <t>การอนุญาตและกำกับดูแลบุคลากรบำรุงรักษา</t>
    </r>
  </si>
  <si>
    <t>ESBIT-MA-06</t>
  </si>
  <si>
    <t>MA-06</t>
  </si>
  <si>
    <t>Timely Maintenance</t>
  </si>
  <si>
    <t>Obtain maintenance support and spare parts within defined time for critical components</t>
  </si>
  <si>
    <t>จัดให้มีการบำรุงรักษาและอะไหล่ภายในเวลาที่กำหนดสำหรับคอมโพเนนต์สำคัญ</t>
  </si>
  <si>
    <t>ESBIT-MA-06(01)</t>
  </si>
  <si>
    <t>MA-06(01)</t>
  </si>
  <si>
    <t>Timely Maintenance | Preventive Maintenance</t>
  </si>
  <si>
    <t>Enhances MA-06 (Timely Maintenance): configure and enforce 'Preventive Maintenance' in addition to the base setting, keep it consistent across applicable systems and document approved exceptions. Base scope: Obtain maintenance support and spare parts within defined time for critical components</t>
  </si>
  <si>
    <r>
      <rPr>
        <rFont val="FreeSans"/>
        <color theme="1"/>
        <sz val="14.0"/>
      </rPr>
      <t xml:space="preserve">ส่วนขยายของ </t>
    </r>
    <r>
      <rPr>
        <rFont val="Calibri"/>
        <color theme="1"/>
        <sz val="14.0"/>
      </rPr>
      <t xml:space="preserve">MA-06: </t>
    </r>
    <r>
      <rPr>
        <rFont val="FreeSans"/>
        <color theme="1"/>
        <sz val="14.0"/>
      </rPr>
      <t xml:space="preserve">กำหนดค่าและบังคับใช้ </t>
    </r>
    <r>
      <rPr>
        <rFont val="Calibri"/>
        <color theme="1"/>
        <sz val="14.0"/>
      </rPr>
      <t xml:space="preserve">'Preventive Maintenance'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จัดให้มีการบำรุงรักษาและอะไหล่ภายในเวลาที่กำหนดสำหรับคอมโพเนนต์สำคัญ</t>
    </r>
  </si>
  <si>
    <t>ESBIT-MA-06(02)</t>
  </si>
  <si>
    <t>MA-06(02)</t>
  </si>
  <si>
    <t>Timely Maintenance | Predictive Maintenance</t>
  </si>
  <si>
    <t>Enhances MA-06 (Timely Maintenance): configure and enforce 'Predictive Maintenance' in addition to the base setting, keep it consistent across applicable systems and document approved exceptions. Base scope: Obtain maintenance support and spare parts within defined time for critical components</t>
  </si>
  <si>
    <r>
      <rPr>
        <rFont val="FreeSans"/>
        <color theme="1"/>
        <sz val="14.0"/>
      </rPr>
      <t xml:space="preserve">ส่วนขยายของ </t>
    </r>
    <r>
      <rPr>
        <rFont val="Calibri"/>
        <color theme="1"/>
        <sz val="14.0"/>
      </rPr>
      <t xml:space="preserve">MA-06: </t>
    </r>
    <r>
      <rPr>
        <rFont val="FreeSans"/>
        <color theme="1"/>
        <sz val="14.0"/>
      </rPr>
      <t xml:space="preserve">กำหนดค่าและบังคับใช้ </t>
    </r>
    <r>
      <rPr>
        <rFont val="Calibri"/>
        <color theme="1"/>
        <sz val="14.0"/>
      </rPr>
      <t xml:space="preserve">'Predictive Maintenance'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จัดให้มีการบำรุงรักษาและอะไหล่ภายในเวลาที่กำหนดสำหรับคอมโพเนนต์สำคัญ</t>
    </r>
  </si>
  <si>
    <t>ESBIT-MA-06(03)</t>
  </si>
  <si>
    <t>MA-06(03)</t>
  </si>
  <si>
    <t>Timely Maintenance | Automated Support for Predictive Maintenance</t>
  </si>
  <si>
    <t>Enhances MA-06 (Timely Maintenance): configure and enforce 'Automated Support for Predictive Maintenance' in addition to the base setting, keep it consistent across applicable systems and document approved exceptions. Base scope: Obtain maintenance support and spare parts within defined time for critical components</t>
  </si>
  <si>
    <r>
      <rPr>
        <rFont val="FreeSans"/>
        <color theme="1"/>
        <sz val="14.0"/>
      </rPr>
      <t xml:space="preserve">ส่วนขยายของ </t>
    </r>
    <r>
      <rPr>
        <rFont val="Calibri"/>
        <color theme="1"/>
        <sz val="14.0"/>
      </rPr>
      <t xml:space="preserve">MA-06: </t>
    </r>
    <r>
      <rPr>
        <rFont val="FreeSans"/>
        <color theme="1"/>
        <sz val="14.0"/>
      </rPr>
      <t xml:space="preserve">กำหนดค่าและบังคับใช้ </t>
    </r>
    <r>
      <rPr>
        <rFont val="Calibri"/>
        <color theme="1"/>
        <sz val="14.0"/>
      </rPr>
      <t xml:space="preserve">'Automated Support for Predictive Maintenance'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จัดให้มีการบำรุงรักษาและอะไหล่ภายในเวลาที่กำหนดสำหรับคอมโพเนนต์สำคัญ</t>
    </r>
  </si>
  <si>
    <t>ESBIT-MA-07</t>
  </si>
  <si>
    <t>MA-07</t>
  </si>
  <si>
    <t>Field Maintenance</t>
  </si>
  <si>
    <t>Restrict or prohibit field maintenance on systems or components in high-risk areas</t>
  </si>
  <si>
    <t>จำกัดหรือห้ามบำรุงรักษาภาคสนามในพื้นที่เสี่ยงสูง</t>
  </si>
  <si>
    <t>ESBIT-MP-01</t>
  </si>
  <si>
    <t>MP-01</t>
  </si>
  <si>
    <t>Not a direct configuration item - define, document, review and communicate the Media Protection policy and procedures that drive the technical configuration standards.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</si>
  <si>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กำหนด จัดทำเอกสาร และทบทวนนโยบาย</t>
    </r>
    <r>
      <rPr>
        <rFont val="Calibri"/>
        <color theme="1"/>
        <sz val="14.0"/>
      </rPr>
      <t>/</t>
    </r>
    <r>
      <rPr>
        <rFont val="FreeSans"/>
        <color theme="1"/>
        <sz val="14.0"/>
      </rPr>
      <t xml:space="preserve">ขั้นตอนของหมวดการป้องกันสื่อบันทึกข้อมูล เพื่อเป็นฐานในการกำหนดมาตรฐาน </t>
    </r>
    <r>
      <rPr>
        <rFont val="Calibri"/>
        <color theme="1"/>
        <sz val="14.0"/>
      </rPr>
      <t>Config</t>
    </r>
  </si>
  <si>
    <t>ESBIT-MP-02</t>
  </si>
  <si>
    <t>MP-02</t>
  </si>
  <si>
    <t>Media Access</t>
  </si>
  <si>
    <t>Restrict access to digital and non-digital media to authorized users; disable USB/removable media ports</t>
  </si>
  <si>
    <r>
      <rPr>
        <rFont val="FreeSans"/>
        <color theme="1"/>
        <sz val="14.0"/>
      </rPr>
      <t xml:space="preserve">จำกัดการเข้าถึงสื่อบันทึกเฉพาะผู้มีสิทธิ์ และปิดพอร์ต </t>
    </r>
    <r>
      <rPr>
        <rFont val="Calibri"/>
        <color theme="1"/>
        <sz val="14.0"/>
      </rPr>
      <t>USB/Removable Media</t>
    </r>
  </si>
  <si>
    <t>Data Protection/Storage, Endpoint/Mobile</t>
  </si>
  <si>
    <t>ESBIT-MP-03</t>
  </si>
  <si>
    <t>MP-03</t>
  </si>
  <si>
    <t>Media Marking</t>
  </si>
  <si>
    <t>Mark media with distribution limitations and data classification</t>
  </si>
  <si>
    <t>ติดป้ายสื่อบันทึกตามข้อจำกัดการเผยแพร่และชั้นความลับ</t>
  </si>
  <si>
    <t>ESBIT-MP-04</t>
  </si>
  <si>
    <t>MP-04</t>
  </si>
  <si>
    <t>Media Storage</t>
  </si>
  <si>
    <t>Secure storage of media in controlled locations with access restriction</t>
  </si>
  <si>
    <t>จัดเก็บสื่อบันทึกในสถานที่ควบคุมและจำกัดการเข้าถึง</t>
  </si>
  <si>
    <t>Data Protection/Storage, Physical/Facility (Data Center)</t>
  </si>
  <si>
    <t>ESBIT-MP-04(02)</t>
  </si>
  <si>
    <t>MP-04(02)</t>
  </si>
  <si>
    <t>Media Storage | Automated Restricted Access</t>
  </si>
  <si>
    <t>Enhances MP-04 (Media Storage): configure and enforce 'Automated Restricted Access' in addition to the base setting, keep it consistent across applicable systems and document approved exceptions. Base scope: Secure storage of media in controlled locations with access restriction</t>
  </si>
  <si>
    <r>
      <rPr>
        <rFont val="FreeSans"/>
        <color theme="1"/>
        <sz val="14.0"/>
      </rPr>
      <t xml:space="preserve">ส่วนขยายของ </t>
    </r>
    <r>
      <rPr>
        <rFont val="Calibri"/>
        <color theme="1"/>
        <sz val="14.0"/>
      </rPr>
      <t xml:space="preserve">MP-04: </t>
    </r>
    <r>
      <rPr>
        <rFont val="FreeSans"/>
        <color theme="1"/>
        <sz val="14.0"/>
      </rPr>
      <t xml:space="preserve">กำหนดค่าและบังคับใช้ </t>
    </r>
    <r>
      <rPr>
        <rFont val="Calibri"/>
        <color theme="1"/>
        <sz val="14.0"/>
      </rPr>
      <t xml:space="preserve">'Automated Restricted Access'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จัดเก็บสื่อบันทึกในสถานที่ควบคุมและจำกัดการเข้าถึง</t>
    </r>
  </si>
  <si>
    <t>ESBIT-MP-05</t>
  </si>
  <si>
    <t>MP-05</t>
  </si>
  <si>
    <t>Media Transport</t>
  </si>
  <si>
    <t>PR.DS-02</t>
  </si>
  <si>
    <t>The confidentiality, integrity, and availability of data-in-transit are protected</t>
  </si>
  <si>
    <t>Configure encryption and tracking for media in transport</t>
  </si>
  <si>
    <t>ตั้งค่าการเข้ารหัสและติดตามสื่อบันทึกระหว่างขนส่ง</t>
  </si>
  <si>
    <t>Data Protection/Storage, Cryptography/PKI</t>
  </si>
  <si>
    <t>ESBIT-MP-05(03)</t>
  </si>
  <si>
    <t>MP-05(03)</t>
  </si>
  <si>
    <t>Media Transport | Custodians</t>
  </si>
  <si>
    <t>Enhances MP-05 (Media Transport): configure and enforce 'Custodians' in addition to the base setting, keep it consistent across applicable systems and document approved exceptions. Base scope: Configure encryption and tracking for media in transport</t>
  </si>
  <si>
    <r>
      <rPr>
        <rFont val="FreeSans"/>
        <color theme="1"/>
        <sz val="14.0"/>
      </rPr>
      <t xml:space="preserve">ส่วนขยายของ </t>
    </r>
    <r>
      <rPr>
        <rFont val="Calibri"/>
        <color theme="1"/>
        <sz val="14.0"/>
      </rPr>
      <t xml:space="preserve">MP-05: </t>
    </r>
    <r>
      <rPr>
        <rFont val="FreeSans"/>
        <color theme="1"/>
        <sz val="14.0"/>
      </rPr>
      <t xml:space="preserve">กำหนดค่าและบังคับใช้ </t>
    </r>
    <r>
      <rPr>
        <rFont val="Calibri"/>
        <color theme="1"/>
        <sz val="14.0"/>
      </rPr>
      <t xml:space="preserve">'Custodians'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ตั้งค่าการเข้ารหัสและติดตามสื่อบันทึกระหว่างขนส่ง</t>
    </r>
  </si>
  <si>
    <t>ESBIT-MP-05(04)</t>
  </si>
  <si>
    <t>MP-05(04)</t>
  </si>
  <si>
    <t>Media Transport | Cryptographic Protection</t>
  </si>
  <si>
    <t>Enhances MP-05 (Media Transport): configure and enforce 'Cryptographic Protection' in addition to the base setting, keep it consistent across applicable systems and document approved exceptions. Base scope: Configure encryption and tracking for media in transport</t>
  </si>
  <si>
    <r>
      <rPr>
        <rFont val="FreeSans"/>
        <color theme="1"/>
        <sz val="14.0"/>
      </rPr>
      <t xml:space="preserve">ส่วนขยายของ </t>
    </r>
    <r>
      <rPr>
        <rFont val="Calibri"/>
        <color theme="1"/>
        <sz val="14.0"/>
      </rPr>
      <t xml:space="preserve">MP-05: </t>
    </r>
    <r>
      <rPr>
        <rFont val="FreeSans"/>
        <color theme="1"/>
        <sz val="14.0"/>
      </rPr>
      <t xml:space="preserve">กำหนดค่าและบังคับใช้ </t>
    </r>
    <r>
      <rPr>
        <rFont val="Calibri"/>
        <color theme="1"/>
        <sz val="14.0"/>
      </rPr>
      <t xml:space="preserve">'Cryptographic Protection'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ตั้งค่าการเข้ารหัสและติดตามสื่อบันทึกระหว่างขนส่ง</t>
    </r>
  </si>
  <si>
    <t>ESBIT-MP-06</t>
  </si>
  <si>
    <t>MP-06</t>
  </si>
  <si>
    <t>Media Sanitization</t>
  </si>
  <si>
    <t>Configure secure wipe or destruction (NIST 800-88) before reuse or disposal of disks, devices and cloud volumes</t>
  </si>
  <si>
    <r>
      <rPr>
        <rFont val="FreeSans"/>
        <color theme="1"/>
        <sz val="14.0"/>
      </rPr>
      <t xml:space="preserve">ตั้งค่าการลบข้อมูลอย่างปลอดภัย </t>
    </r>
    <r>
      <rPr>
        <rFont val="Calibri"/>
        <color theme="1"/>
        <sz val="14.0"/>
      </rPr>
      <t xml:space="preserve">(NIST 800-88) </t>
    </r>
    <r>
      <rPr>
        <rFont val="FreeSans"/>
        <color theme="1"/>
        <sz val="14.0"/>
      </rPr>
      <t xml:space="preserve">ก่อนนำ </t>
    </r>
    <r>
      <rPr>
        <rFont val="Calibri"/>
        <color theme="1"/>
        <sz val="14.0"/>
      </rPr>
      <t>Disk/</t>
    </r>
    <r>
      <rPr>
        <rFont val="FreeSans"/>
        <color theme="1"/>
        <sz val="14.0"/>
      </rPr>
      <t>อุปกรณ์</t>
    </r>
    <r>
      <rPr>
        <rFont val="Calibri"/>
        <color theme="1"/>
        <sz val="14.0"/>
      </rPr>
      <t xml:space="preserve">/Cloud Volume </t>
    </r>
    <r>
      <rPr>
        <rFont val="FreeSans"/>
        <color theme="1"/>
        <sz val="14.0"/>
      </rPr>
      <t>กลับมาใช้หรือทิ้ง</t>
    </r>
  </si>
  <si>
    <t>Data Protection/Storage, Infrastructure (Server/OS)</t>
  </si>
  <si>
    <t>ESBIT-MP-06(01)</t>
  </si>
  <si>
    <t>MP-06(01)</t>
  </si>
  <si>
    <t>Media Sanitization | Review, Approve, Track, Document, and Verify</t>
  </si>
  <si>
    <t>Enhances MP-06 (Media Sanitization): configure and enforce 'Review, Approve, Track, Document, and Verify' in addition to the base setting, keep it consistent across applicable systems and document approved exceptions. Base scope: Configure secure wipe or destruction (NIST 800-88) before reuse or disposal of disks, devices and cloud volumes</t>
  </si>
  <si>
    <r>
      <rPr>
        <rFont val="FreeSans"/>
        <color theme="1"/>
        <sz val="14.0"/>
      </rPr>
      <t xml:space="preserve">ส่วนขยายของ </t>
    </r>
    <r>
      <rPr>
        <rFont val="Calibri"/>
        <color theme="1"/>
        <sz val="14.0"/>
      </rPr>
      <t xml:space="preserve">MP-06: </t>
    </r>
    <r>
      <rPr>
        <rFont val="FreeSans"/>
        <color theme="1"/>
        <sz val="14.0"/>
      </rPr>
      <t xml:space="preserve">กำหนดค่าและบังคับใช้ </t>
    </r>
    <r>
      <rPr>
        <rFont val="Calibri"/>
        <color theme="1"/>
        <sz val="14.0"/>
      </rPr>
      <t xml:space="preserve">'Review, Approve, Track, Document, and Verify'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ตั้งค่าการลบข้อมูลอย่างปลอดภัย </t>
    </r>
    <r>
      <rPr>
        <rFont val="Calibri"/>
        <color theme="1"/>
        <sz val="14.0"/>
      </rPr>
      <t xml:space="preserve">(NIST 800-88) </t>
    </r>
    <r>
      <rPr>
        <rFont val="FreeSans"/>
        <color theme="1"/>
        <sz val="14.0"/>
      </rPr>
      <t xml:space="preserve">ก่อนนำ </t>
    </r>
    <r>
      <rPr>
        <rFont val="Calibri"/>
        <color theme="1"/>
        <sz val="14.0"/>
      </rPr>
      <t>Disk/</t>
    </r>
    <r>
      <rPr>
        <rFont val="FreeSans"/>
        <color theme="1"/>
        <sz val="14.0"/>
      </rPr>
      <t>อุปกรณ์</t>
    </r>
    <r>
      <rPr>
        <rFont val="Calibri"/>
        <color theme="1"/>
        <sz val="14.0"/>
      </rPr>
      <t xml:space="preserve">/Cloud Volume </t>
    </r>
    <r>
      <rPr>
        <rFont val="FreeSans"/>
        <color theme="1"/>
        <sz val="14.0"/>
      </rPr>
      <t>กลับมาใช้หรือทิ้ง</t>
    </r>
  </si>
  <si>
    <t>ESBIT-MP-06(02)</t>
  </si>
  <si>
    <t>MP-06(02)</t>
  </si>
  <si>
    <t>Media Sanitization | Equipment Testing</t>
  </si>
  <si>
    <t>Enhances MP-06 (Media Sanitization): configure and enforce 'Equipment Testing' in addition to the base setting, keep it consistent across applicable systems and document approved exceptions. Base scope: Configure secure wipe or destruction (NIST 800-88) before reuse or disposal of disks, devices and cloud volumes</t>
  </si>
  <si>
    <r>
      <rPr>
        <rFont val="FreeSans"/>
        <color theme="1"/>
        <sz val="14.0"/>
      </rPr>
      <t xml:space="preserve">ส่วนขยายของ </t>
    </r>
    <r>
      <rPr>
        <rFont val="Calibri"/>
        <color theme="1"/>
        <sz val="14.0"/>
      </rPr>
      <t xml:space="preserve">MP-06: </t>
    </r>
    <r>
      <rPr>
        <rFont val="FreeSans"/>
        <color theme="1"/>
        <sz val="14.0"/>
      </rPr>
      <t xml:space="preserve">กำหนดค่าและบังคับใช้ </t>
    </r>
    <r>
      <rPr>
        <rFont val="Calibri"/>
        <color theme="1"/>
        <sz val="14.0"/>
      </rPr>
      <t xml:space="preserve">'Equipment Testing'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ตั้งค่าการลบข้อมูลอย่างปลอดภัย </t>
    </r>
    <r>
      <rPr>
        <rFont val="Calibri"/>
        <color theme="1"/>
        <sz val="14.0"/>
      </rPr>
      <t xml:space="preserve">(NIST 800-88) </t>
    </r>
    <r>
      <rPr>
        <rFont val="FreeSans"/>
        <color theme="1"/>
        <sz val="14.0"/>
      </rPr>
      <t xml:space="preserve">ก่อนนำ </t>
    </r>
    <r>
      <rPr>
        <rFont val="Calibri"/>
        <color theme="1"/>
        <sz val="14.0"/>
      </rPr>
      <t>Disk/</t>
    </r>
    <r>
      <rPr>
        <rFont val="FreeSans"/>
        <color theme="1"/>
        <sz val="14.0"/>
      </rPr>
      <t>อุปกรณ์</t>
    </r>
    <r>
      <rPr>
        <rFont val="Calibri"/>
        <color theme="1"/>
        <sz val="14.0"/>
      </rPr>
      <t xml:space="preserve">/Cloud Volume </t>
    </r>
    <r>
      <rPr>
        <rFont val="FreeSans"/>
        <color theme="1"/>
        <sz val="14.0"/>
      </rPr>
      <t>กลับมาใช้หรือทิ้ง</t>
    </r>
  </si>
  <si>
    <t>ESBIT-MP-06(03)</t>
  </si>
  <si>
    <t>MP-06(03)</t>
  </si>
  <si>
    <t>Media Sanitization | Nondestructive Techniques</t>
  </si>
  <si>
    <t>Enhances MP-06 (Media Sanitization): configure and enforce 'Nondestructive Techniques' in addition to the base setting, keep it consistent across applicable systems and document approved exceptions. Base scope: Configure secure wipe or destruction (NIST 800-88) before reuse or disposal of disks, devices and cloud volumes</t>
  </si>
  <si>
    <r>
      <rPr>
        <rFont val="FreeSans"/>
        <color theme="1"/>
        <sz val="14.0"/>
      </rPr>
      <t xml:space="preserve">ส่วนขยายของ </t>
    </r>
    <r>
      <rPr>
        <rFont val="Calibri"/>
        <color theme="1"/>
        <sz val="14.0"/>
      </rPr>
      <t xml:space="preserve">MP-06: </t>
    </r>
    <r>
      <rPr>
        <rFont val="FreeSans"/>
        <color theme="1"/>
        <sz val="14.0"/>
      </rPr>
      <t xml:space="preserve">กำหนดค่าและบังคับใช้ </t>
    </r>
    <r>
      <rPr>
        <rFont val="Calibri"/>
        <color theme="1"/>
        <sz val="14.0"/>
      </rPr>
      <t xml:space="preserve">'Nondestructive Techniques'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ตั้งค่าการลบข้อมูลอย่างปลอดภัย </t>
    </r>
    <r>
      <rPr>
        <rFont val="Calibri"/>
        <color theme="1"/>
        <sz val="14.0"/>
      </rPr>
      <t xml:space="preserve">(NIST 800-88) </t>
    </r>
    <r>
      <rPr>
        <rFont val="FreeSans"/>
        <color theme="1"/>
        <sz val="14.0"/>
      </rPr>
      <t xml:space="preserve">ก่อนนำ </t>
    </r>
    <r>
      <rPr>
        <rFont val="Calibri"/>
        <color theme="1"/>
        <sz val="14.0"/>
      </rPr>
      <t>Disk/</t>
    </r>
    <r>
      <rPr>
        <rFont val="FreeSans"/>
        <color theme="1"/>
        <sz val="14.0"/>
      </rPr>
      <t>อุปกรณ์</t>
    </r>
    <r>
      <rPr>
        <rFont val="Calibri"/>
        <color theme="1"/>
        <sz val="14.0"/>
      </rPr>
      <t xml:space="preserve">/Cloud Volume </t>
    </r>
    <r>
      <rPr>
        <rFont val="FreeSans"/>
        <color theme="1"/>
        <sz val="14.0"/>
      </rPr>
      <t>กลับมาใช้หรือทิ้ง</t>
    </r>
  </si>
  <si>
    <t>ESBIT-MP-06(07)</t>
  </si>
  <si>
    <t>MP-06(07)</t>
  </si>
  <si>
    <t>Media Sanitization | Dual Authorization</t>
  </si>
  <si>
    <t>Enhances MP-06 (Media Sanitization): configure and enforce 'Dual Authorization' in addition to the base setting, keep it consistent across applicable systems and document approved exceptions. Base scope: Configure secure wipe or destruction (NIST 800-88) before reuse or disposal of disks, devices and cloud volumes</t>
  </si>
  <si>
    <r>
      <rPr>
        <rFont val="FreeSans"/>
        <color theme="1"/>
        <sz val="14.0"/>
      </rPr>
      <t xml:space="preserve">ส่วนขยายของ </t>
    </r>
    <r>
      <rPr>
        <rFont val="Calibri"/>
        <color theme="1"/>
        <sz val="14.0"/>
      </rPr>
      <t xml:space="preserve">MP-06: </t>
    </r>
    <r>
      <rPr>
        <rFont val="FreeSans"/>
        <color theme="1"/>
        <sz val="14.0"/>
      </rPr>
      <t xml:space="preserve">กำหนดค่าและบังคับใช้ </t>
    </r>
    <r>
      <rPr>
        <rFont val="Calibri"/>
        <color theme="1"/>
        <sz val="14.0"/>
      </rPr>
      <t xml:space="preserve">'Dual Authorization'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ตั้งค่าการลบข้อมูลอย่างปลอดภัย </t>
    </r>
    <r>
      <rPr>
        <rFont val="Calibri"/>
        <color theme="1"/>
        <sz val="14.0"/>
      </rPr>
      <t xml:space="preserve">(NIST 800-88) </t>
    </r>
    <r>
      <rPr>
        <rFont val="FreeSans"/>
        <color theme="1"/>
        <sz val="14.0"/>
      </rPr>
      <t xml:space="preserve">ก่อนนำ </t>
    </r>
    <r>
      <rPr>
        <rFont val="Calibri"/>
        <color theme="1"/>
        <sz val="14.0"/>
      </rPr>
      <t>Disk/</t>
    </r>
    <r>
      <rPr>
        <rFont val="FreeSans"/>
        <color theme="1"/>
        <sz val="14.0"/>
      </rPr>
      <t>อุปกรณ์</t>
    </r>
    <r>
      <rPr>
        <rFont val="Calibri"/>
        <color theme="1"/>
        <sz val="14.0"/>
      </rPr>
      <t xml:space="preserve">/Cloud Volume </t>
    </r>
    <r>
      <rPr>
        <rFont val="FreeSans"/>
        <color theme="1"/>
        <sz val="14.0"/>
      </rPr>
      <t>กลับมาใช้หรือทิ้ง</t>
    </r>
  </si>
  <si>
    <t>ESBIT-MP-06(08)</t>
  </si>
  <si>
    <t>MP-06(08)</t>
  </si>
  <si>
    <t>Media Sanitization | Remote Purging or Wiping of Information</t>
  </si>
  <si>
    <t>Enhances MP-06 (Media Sanitization): configure and enforce 'Remote Purging or Wiping of Information' in addition to the base setting, keep it consistent across applicable systems and document approved exceptions. Base scope: Configure secure wipe or destruction (NIST 800-88) before reuse or disposal of disks, devices and cloud volumes</t>
  </si>
  <si>
    <r>
      <rPr>
        <rFont val="FreeSans"/>
        <color theme="1"/>
        <sz val="14.0"/>
      </rPr>
      <t xml:space="preserve">ส่วนขยายของ </t>
    </r>
    <r>
      <rPr>
        <rFont val="Calibri"/>
        <color theme="1"/>
        <sz val="14.0"/>
      </rPr>
      <t xml:space="preserve">MP-06: </t>
    </r>
    <r>
      <rPr>
        <rFont val="FreeSans"/>
        <color theme="1"/>
        <sz val="14.0"/>
      </rPr>
      <t xml:space="preserve">กำหนดค่าและบังคับใช้ </t>
    </r>
    <r>
      <rPr>
        <rFont val="Calibri"/>
        <color theme="1"/>
        <sz val="14.0"/>
      </rPr>
      <t xml:space="preserve">'Remote Purging or Wiping of Information'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ตั้งค่าการลบข้อมูลอย่างปลอดภัย </t>
    </r>
    <r>
      <rPr>
        <rFont val="Calibri"/>
        <color theme="1"/>
        <sz val="14.0"/>
      </rPr>
      <t xml:space="preserve">(NIST 800-88) </t>
    </r>
    <r>
      <rPr>
        <rFont val="FreeSans"/>
        <color theme="1"/>
        <sz val="14.0"/>
      </rPr>
      <t xml:space="preserve">ก่อนนำ </t>
    </r>
    <r>
      <rPr>
        <rFont val="Calibri"/>
        <color theme="1"/>
        <sz val="14.0"/>
      </rPr>
      <t>Disk/</t>
    </r>
    <r>
      <rPr>
        <rFont val="FreeSans"/>
        <color theme="1"/>
        <sz val="14.0"/>
      </rPr>
      <t>อุปกรณ์</t>
    </r>
    <r>
      <rPr>
        <rFont val="Calibri"/>
        <color theme="1"/>
        <sz val="14.0"/>
      </rPr>
      <t xml:space="preserve">/Cloud Volume </t>
    </r>
    <r>
      <rPr>
        <rFont val="FreeSans"/>
        <color theme="1"/>
        <sz val="14.0"/>
      </rPr>
      <t>กลับมาใช้หรือทิ้ง</t>
    </r>
  </si>
  <si>
    <t>ESBIT-MP-07</t>
  </si>
  <si>
    <t>MP-07</t>
  </si>
  <si>
    <t>Media Use</t>
  </si>
  <si>
    <t>Configure endpoint controls restricting use of removable media</t>
  </si>
  <si>
    <r>
      <rPr>
        <rFont val="FreeSans"/>
        <color theme="1"/>
        <sz val="14.0"/>
      </rPr>
      <t xml:space="preserve">ตั้งค่า </t>
    </r>
    <r>
      <rPr>
        <rFont val="Calibri"/>
        <color theme="1"/>
        <sz val="14.0"/>
      </rPr>
      <t xml:space="preserve">Endpoint Control </t>
    </r>
    <r>
      <rPr>
        <rFont val="FreeSans"/>
        <color theme="1"/>
        <sz val="14.0"/>
      </rPr>
      <t xml:space="preserve">จำกัดการใช้ </t>
    </r>
    <r>
      <rPr>
        <rFont val="Calibri"/>
        <color theme="1"/>
        <sz val="14.0"/>
      </rPr>
      <t>Removable Media</t>
    </r>
  </si>
  <si>
    <t>Endpoint/Mobile, Data Protection/Storage</t>
  </si>
  <si>
    <t>ESBIT-MP-08</t>
  </si>
  <si>
    <t>MP-08</t>
  </si>
  <si>
    <t>Media Downgrading</t>
  </si>
  <si>
    <t>Downgrade media in accordance with classification and sanitization procedures</t>
  </si>
  <si>
    <t>ลดชั้นความลับของสื่อตามขั้นตอนการลบข้อมูลที่กำหนด</t>
  </si>
  <si>
    <t>ESBIT-MP-08(01)</t>
  </si>
  <si>
    <t>MP-08(01)</t>
  </si>
  <si>
    <t>Media Downgrading | Documentation of Process</t>
  </si>
  <si>
    <t>Enhances MP-08 (Media Downgrading): configure and enforce 'Documentation of Process' in addition to the base setting, keep it consistent across applicable systems and document approved exceptions. Base scope: Downgrade media in accordance with classification and sanitization procedures</t>
  </si>
  <si>
    <r>
      <rPr>
        <rFont val="FreeSans"/>
        <color theme="1"/>
        <sz val="14.0"/>
      </rPr>
      <t xml:space="preserve">ส่วนขยายของ </t>
    </r>
    <r>
      <rPr>
        <rFont val="Calibri"/>
        <color theme="1"/>
        <sz val="14.0"/>
      </rPr>
      <t xml:space="preserve">MP-08: </t>
    </r>
    <r>
      <rPr>
        <rFont val="FreeSans"/>
        <color theme="1"/>
        <sz val="14.0"/>
      </rPr>
      <t xml:space="preserve">กำหนดค่าและบังคับใช้ </t>
    </r>
    <r>
      <rPr>
        <rFont val="Calibri"/>
        <color theme="1"/>
        <sz val="14.0"/>
      </rPr>
      <t xml:space="preserve">'Documentation of Process'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ลดชั้นความลับของสื่อตามขั้นตอนการลบข้อมูลที่กำหนด</t>
    </r>
  </si>
  <si>
    <t>ESBIT-MP-08(02)</t>
  </si>
  <si>
    <t>MP-08(02)</t>
  </si>
  <si>
    <t>Media Downgrading | Equipment Testing</t>
  </si>
  <si>
    <t>Enhances MP-08 (Media Downgrading): configure and enforce 'Equipment Testing' in addition to the base setting, keep it consistent across applicable systems and document approved exceptions. Base scope: Downgrade media in accordance with classification and sanitization procedures</t>
  </si>
  <si>
    <r>
      <rPr>
        <rFont val="FreeSans"/>
        <color theme="1"/>
        <sz val="14.0"/>
      </rPr>
      <t xml:space="preserve">ส่วนขยายของ </t>
    </r>
    <r>
      <rPr>
        <rFont val="Calibri"/>
        <color theme="1"/>
        <sz val="14.0"/>
      </rPr>
      <t xml:space="preserve">MP-08: </t>
    </r>
    <r>
      <rPr>
        <rFont val="FreeSans"/>
        <color theme="1"/>
        <sz val="14.0"/>
      </rPr>
      <t xml:space="preserve">กำหนดค่าและบังคับใช้ </t>
    </r>
    <r>
      <rPr>
        <rFont val="Calibri"/>
        <color theme="1"/>
        <sz val="14.0"/>
      </rPr>
      <t xml:space="preserve">'Equipment Testing'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ลดชั้นความลับของสื่อตามขั้นตอนการลบข้อมูลที่กำหนด</t>
    </r>
  </si>
  <si>
    <t>ESBIT-MP-08(03)</t>
  </si>
  <si>
    <t>MP-08(03)</t>
  </si>
  <si>
    <t>Media Downgrading | Controlled Unclassified Information</t>
  </si>
  <si>
    <t>Enhances MP-08 (Media Downgrading): configure and enforce 'Controlled Unclassified Information' in addition to the base setting, keep it consistent across applicable systems and document approved exceptions. Base scope: Downgrade media in accordance with classification and sanitization procedures</t>
  </si>
  <si>
    <r>
      <rPr>
        <rFont val="FreeSans"/>
        <color theme="1"/>
        <sz val="14.0"/>
      </rPr>
      <t xml:space="preserve">ส่วนขยายของ </t>
    </r>
    <r>
      <rPr>
        <rFont val="Calibri"/>
        <color theme="1"/>
        <sz val="14.0"/>
      </rPr>
      <t xml:space="preserve">MP-08: </t>
    </r>
    <r>
      <rPr>
        <rFont val="FreeSans"/>
        <color theme="1"/>
        <sz val="14.0"/>
      </rPr>
      <t xml:space="preserve">กำหนดค่าและบังคับใช้ </t>
    </r>
    <r>
      <rPr>
        <rFont val="Calibri"/>
        <color theme="1"/>
        <sz val="14.0"/>
      </rPr>
      <t xml:space="preserve">'Controlled Unclassified Information'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ลดชั้นความลับของสื่อตามขั้นตอนการลบข้อมูลที่กำหนด</t>
    </r>
  </si>
  <si>
    <t>ESBIT-MP-08(04)</t>
  </si>
  <si>
    <t>MP-08(04)</t>
  </si>
  <si>
    <t>Media Downgrading | Classified Information</t>
  </si>
  <si>
    <t>Enhances MP-08 (Media Downgrading): configure and enforce 'Classified Information' in addition to the base setting, keep it consistent across applicable systems and document approved exceptions. Base scope: Downgrade media in accordance with classification and sanitization procedures</t>
  </si>
  <si>
    <r>
      <rPr>
        <rFont val="FreeSans"/>
        <color theme="1"/>
        <sz val="14.0"/>
      </rPr>
      <t xml:space="preserve">ส่วนขยายของ </t>
    </r>
    <r>
      <rPr>
        <rFont val="Calibri"/>
        <color theme="1"/>
        <sz val="14.0"/>
      </rPr>
      <t xml:space="preserve">MP-08: </t>
    </r>
    <r>
      <rPr>
        <rFont val="FreeSans"/>
        <color theme="1"/>
        <sz val="14.0"/>
      </rPr>
      <t xml:space="preserve">กำหนดค่าและบังคับใช้ </t>
    </r>
    <r>
      <rPr>
        <rFont val="Calibri"/>
        <color theme="1"/>
        <sz val="14.0"/>
      </rPr>
      <t xml:space="preserve">'Classified Information'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ลดชั้นความลับของสื่อตามขั้นตอนการลบข้อมูลที่กำหนด</t>
    </r>
  </si>
  <si>
    <t>ESBIT-PE-01</t>
  </si>
  <si>
    <t>PE-01</t>
  </si>
  <si>
    <t>Not a direct configuration item - define, document, review and communicate the Physical and Environmental Protection policy and procedures that drive the technical configuration standards.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</si>
  <si>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กำหนด จัดทำเอกสาร และทบทวนนโยบาย</t>
    </r>
    <r>
      <rPr>
        <rFont val="Calibri"/>
        <color theme="1"/>
        <sz val="14.0"/>
      </rPr>
      <t>/</t>
    </r>
    <r>
      <rPr>
        <rFont val="FreeSans"/>
        <color theme="1"/>
        <sz val="14.0"/>
      </rPr>
      <t xml:space="preserve">ขั้นตอนของหมวดการรักษาความปลอดภัยทางกายภาพและสิ่งแวดล้อม เพื่อเป็นฐานในการกำหนดมาตรฐาน </t>
    </r>
    <r>
      <rPr>
        <rFont val="Calibri"/>
        <color theme="1"/>
        <sz val="14.0"/>
      </rPr>
      <t>Config</t>
    </r>
  </si>
  <si>
    <t>ESBIT-PE-02</t>
  </si>
  <si>
    <t>PE-02</t>
  </si>
  <si>
    <t>Physical Access Authorizations</t>
  </si>
  <si>
    <t>PR.AA-06</t>
  </si>
  <si>
    <t>Physical access to assets is managed, monitored, and enforced commensurate with risk</t>
  </si>
  <si>
    <t>Not a direct configuration item - authorized physical access lists and credentials for facilities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</si>
  <si>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รายชื่อผู้มีสิทธิ์เข้าสถานที่และ </t>
    </r>
    <r>
      <rPr>
        <rFont val="Calibri"/>
        <color theme="1"/>
        <sz val="14.0"/>
      </rPr>
      <t>Credential</t>
    </r>
  </si>
  <si>
    <t>ESBIT-PE-02(01)</t>
  </si>
  <si>
    <t>PE-02(01)</t>
  </si>
  <si>
    <t>Physical Access Authorizations | Access by Position or Role</t>
  </si>
  <si>
    <t>Not a direct configuration item - enhancement of PE-02 (Physical Access Authorizations): 'Access by Position or Role'; authorized physical access lists and credentials for facilities.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</si>
  <si>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PE-02: 'Access by Position or Role' - </t>
    </r>
    <r>
      <rPr>
        <rFont val="FreeSans"/>
        <color theme="1"/>
        <sz val="14.0"/>
      </rPr>
      <t xml:space="preserve">รายชื่อผู้มีสิทธิ์เข้าสถานที่และ </t>
    </r>
    <r>
      <rPr>
        <rFont val="Calibri"/>
        <color theme="1"/>
        <sz val="14.0"/>
      </rPr>
      <t>Credential</t>
    </r>
  </si>
  <si>
    <t>ESBIT-PE-02(02)</t>
  </si>
  <si>
    <t>PE-02(02)</t>
  </si>
  <si>
    <t>Physical Access Authorizations | Two Forms of Identification</t>
  </si>
  <si>
    <t>Not a direct configuration item - enhancement of PE-02 (Physical Access Authorizations): 'Two Forms of Identification'; authorized physical access lists and credentials for facilities.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</si>
  <si>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PE-02: 'Two Forms of Identification' - </t>
    </r>
    <r>
      <rPr>
        <rFont val="FreeSans"/>
        <color theme="1"/>
        <sz val="14.0"/>
      </rPr>
      <t xml:space="preserve">รายชื่อผู้มีสิทธิ์เข้าสถานที่และ </t>
    </r>
    <r>
      <rPr>
        <rFont val="Calibri"/>
        <color theme="1"/>
        <sz val="14.0"/>
      </rPr>
      <t>Credential</t>
    </r>
  </si>
  <si>
    <t>ESBIT-PE-02(03)</t>
  </si>
  <si>
    <t>PE-02(03)</t>
  </si>
  <si>
    <t>Physical Access Authorizations | Restrict Unescorted Access</t>
  </si>
  <si>
    <t>Not a direct configuration item - enhancement of PE-02 (Physical Access Authorizations): 'Restrict Unescorted Access'; authorized physical access lists and credentials for facilities.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</si>
  <si>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PE-02: 'Restrict Unescorted Access' - </t>
    </r>
    <r>
      <rPr>
        <rFont val="FreeSans"/>
        <color theme="1"/>
        <sz val="14.0"/>
      </rPr>
      <t xml:space="preserve">รายชื่อผู้มีสิทธิ์เข้าสถานที่และ </t>
    </r>
    <r>
      <rPr>
        <rFont val="Calibri"/>
        <color theme="1"/>
        <sz val="14.0"/>
      </rPr>
      <t>Credential</t>
    </r>
  </si>
  <si>
    <t>ESBIT-PE-03</t>
  </si>
  <si>
    <t>PE-03</t>
  </si>
  <si>
    <t>Physical Access Control</t>
  </si>
  <si>
    <t>Configure badge/biometric access control, logs and locks for data centers and network rooms</t>
  </si>
  <si>
    <r>
      <rPr>
        <rFont val="FreeSans"/>
        <color theme="1"/>
        <sz val="14.0"/>
      </rPr>
      <t xml:space="preserve">ตั้งค่าระบบ </t>
    </r>
    <r>
      <rPr>
        <rFont val="Calibri"/>
        <color theme="1"/>
        <sz val="14.0"/>
      </rPr>
      <t xml:space="preserve">Badge/Biometric </t>
    </r>
    <r>
      <rPr>
        <rFont val="FreeSans"/>
        <color theme="1"/>
        <sz val="14.0"/>
      </rPr>
      <t xml:space="preserve">บันทึกการเข้าออก และกุญแจสำหรับ </t>
    </r>
    <r>
      <rPr>
        <rFont val="Calibri"/>
        <color theme="1"/>
        <sz val="14.0"/>
      </rPr>
      <t>Data Center/</t>
    </r>
    <r>
      <rPr>
        <rFont val="FreeSans"/>
        <color theme="1"/>
        <sz val="14.0"/>
      </rPr>
      <t xml:space="preserve">ห้อง </t>
    </r>
    <r>
      <rPr>
        <rFont val="Calibri"/>
        <color theme="1"/>
        <sz val="14.0"/>
      </rPr>
      <t>Network</t>
    </r>
  </si>
  <si>
    <t>ESBIT-PE-03(01)</t>
  </si>
  <si>
    <t>PE-03(01)</t>
  </si>
  <si>
    <t>Physical Access Control | System Access</t>
  </si>
  <si>
    <t>Enhances PE-03 (Physical Access Control): configure and enforce 'System Access' in addition to the base setting, keep it consistent across applicable systems and document approved exceptions. Base scope: Configure badge/biometric access control, logs and locks for data centers and network rooms</t>
  </si>
  <si>
    <r>
      <rPr>
        <rFont val="FreeSans"/>
        <color theme="1"/>
        <sz val="14.0"/>
      </rPr>
      <t xml:space="preserve">ส่วนขยายของ </t>
    </r>
    <r>
      <rPr>
        <rFont val="Calibri"/>
        <color theme="1"/>
        <sz val="14.0"/>
      </rPr>
      <t xml:space="preserve">PE-03: </t>
    </r>
    <r>
      <rPr>
        <rFont val="FreeSans"/>
        <color theme="1"/>
        <sz val="14.0"/>
      </rPr>
      <t xml:space="preserve">กำหนดค่าและบังคับใช้ </t>
    </r>
    <r>
      <rPr>
        <rFont val="Calibri"/>
        <color theme="1"/>
        <sz val="14.0"/>
      </rPr>
      <t xml:space="preserve">'System Access'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ตั้งค่าระบบ </t>
    </r>
    <r>
      <rPr>
        <rFont val="Calibri"/>
        <color theme="1"/>
        <sz val="14.0"/>
      </rPr>
      <t xml:space="preserve">Badge/Biometric </t>
    </r>
    <r>
      <rPr>
        <rFont val="FreeSans"/>
        <color theme="1"/>
        <sz val="14.0"/>
      </rPr>
      <t xml:space="preserve">บันทึกการเข้าออก และกุญแจสำหรับ </t>
    </r>
    <r>
      <rPr>
        <rFont val="Calibri"/>
        <color theme="1"/>
        <sz val="14.0"/>
      </rPr>
      <t>Data Center/</t>
    </r>
    <r>
      <rPr>
        <rFont val="FreeSans"/>
        <color theme="1"/>
        <sz val="14.0"/>
      </rPr>
      <t xml:space="preserve">ห้อง </t>
    </r>
    <r>
      <rPr>
        <rFont val="Calibri"/>
        <color theme="1"/>
        <sz val="14.0"/>
      </rPr>
      <t>Network</t>
    </r>
  </si>
  <si>
    <t>ESBIT-PE-03(02)</t>
  </si>
  <si>
    <t>PE-03(02)</t>
  </si>
  <si>
    <t>Physical Access Control | Facility and Systems</t>
  </si>
  <si>
    <t>Enhances PE-03 (Physical Access Control): configure and enforce 'Facility and Systems' in addition to the base setting, keep it consistent across applicable systems and document approved exceptions. Base scope: Configure badge/biometric access control, logs and locks for data centers and network rooms</t>
  </si>
  <si>
    <r>
      <rPr>
        <rFont val="FreeSans"/>
        <color theme="1"/>
        <sz val="14.0"/>
      </rPr>
      <t xml:space="preserve">ส่วนขยายของ </t>
    </r>
    <r>
      <rPr>
        <rFont val="Calibri"/>
        <color theme="1"/>
        <sz val="14.0"/>
      </rPr>
      <t xml:space="preserve">PE-03: </t>
    </r>
    <r>
      <rPr>
        <rFont val="FreeSans"/>
        <color theme="1"/>
        <sz val="14.0"/>
      </rPr>
      <t xml:space="preserve">กำหนดค่าและบังคับใช้ </t>
    </r>
    <r>
      <rPr>
        <rFont val="Calibri"/>
        <color theme="1"/>
        <sz val="14.0"/>
      </rPr>
      <t xml:space="preserve">'Facility and Systems'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ตั้งค่าระบบ </t>
    </r>
    <r>
      <rPr>
        <rFont val="Calibri"/>
        <color theme="1"/>
        <sz val="14.0"/>
      </rPr>
      <t xml:space="preserve">Badge/Biometric </t>
    </r>
    <r>
      <rPr>
        <rFont val="FreeSans"/>
        <color theme="1"/>
        <sz val="14.0"/>
      </rPr>
      <t xml:space="preserve">บันทึกการเข้าออก และกุญแจสำหรับ </t>
    </r>
    <r>
      <rPr>
        <rFont val="Calibri"/>
        <color theme="1"/>
        <sz val="14.0"/>
      </rPr>
      <t>Data Center/</t>
    </r>
    <r>
      <rPr>
        <rFont val="FreeSans"/>
        <color theme="1"/>
        <sz val="14.0"/>
      </rPr>
      <t xml:space="preserve">ห้อง </t>
    </r>
    <r>
      <rPr>
        <rFont val="Calibri"/>
        <color theme="1"/>
        <sz val="14.0"/>
      </rPr>
      <t>Network</t>
    </r>
  </si>
  <si>
    <t>ESBIT-PE-03(03)</t>
  </si>
  <si>
    <t>PE-03(03)</t>
  </si>
  <si>
    <t>Physical Access Control | Continuous Guards</t>
  </si>
  <si>
    <t>Enhances PE-03 (Physical Access Control): configure and enforce 'Continuous Guards' in addition to the base setting, keep it consistent across applicable systems and document approved exceptions. Base scope: Configure badge/biometric access control, logs and locks for data centers and network rooms</t>
  </si>
  <si>
    <r>
      <rPr>
        <rFont val="FreeSans"/>
        <color theme="1"/>
        <sz val="14.0"/>
      </rPr>
      <t xml:space="preserve">ส่วนขยายของ </t>
    </r>
    <r>
      <rPr>
        <rFont val="Calibri"/>
        <color theme="1"/>
        <sz val="14.0"/>
      </rPr>
      <t xml:space="preserve">PE-03: </t>
    </r>
    <r>
      <rPr>
        <rFont val="FreeSans"/>
        <color theme="1"/>
        <sz val="14.0"/>
      </rPr>
      <t xml:space="preserve">กำหนดค่าและบังคับใช้ </t>
    </r>
    <r>
      <rPr>
        <rFont val="Calibri"/>
        <color theme="1"/>
        <sz val="14.0"/>
      </rPr>
      <t xml:space="preserve">'Continuous Guards'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ตั้งค่าระบบ </t>
    </r>
    <r>
      <rPr>
        <rFont val="Calibri"/>
        <color theme="1"/>
        <sz val="14.0"/>
      </rPr>
      <t xml:space="preserve">Badge/Biometric </t>
    </r>
    <r>
      <rPr>
        <rFont val="FreeSans"/>
        <color theme="1"/>
        <sz val="14.0"/>
      </rPr>
      <t xml:space="preserve">บันทึกการเข้าออก และกุญแจสำหรับ </t>
    </r>
    <r>
      <rPr>
        <rFont val="Calibri"/>
        <color theme="1"/>
        <sz val="14.0"/>
      </rPr>
      <t>Data Center/</t>
    </r>
    <r>
      <rPr>
        <rFont val="FreeSans"/>
        <color theme="1"/>
        <sz val="14.0"/>
      </rPr>
      <t xml:space="preserve">ห้อง </t>
    </r>
    <r>
      <rPr>
        <rFont val="Calibri"/>
        <color theme="1"/>
        <sz val="14.0"/>
      </rPr>
      <t>Network</t>
    </r>
  </si>
  <si>
    <t>ESBIT-PE-03(04)</t>
  </si>
  <si>
    <t>PE-03(04)</t>
  </si>
  <si>
    <t>Physical Access Control | Lockable Casings</t>
  </si>
  <si>
    <t>Enhances PE-03 (Physical Access Control): configure and enforce 'Lockable Casings' in addition to the base setting, keep it consistent across applicable systems and document approved exceptions. Base scope: Configure badge/biometric access control, logs and locks for data centers and network rooms</t>
  </si>
  <si>
    <r>
      <rPr>
        <rFont val="FreeSans"/>
        <color theme="1"/>
        <sz val="14.0"/>
      </rPr>
      <t xml:space="preserve">ส่วนขยายของ </t>
    </r>
    <r>
      <rPr>
        <rFont val="Calibri"/>
        <color theme="1"/>
        <sz val="14.0"/>
      </rPr>
      <t xml:space="preserve">PE-03: </t>
    </r>
    <r>
      <rPr>
        <rFont val="FreeSans"/>
        <color theme="1"/>
        <sz val="14.0"/>
      </rPr>
      <t xml:space="preserve">กำหนดค่าและบังคับใช้ </t>
    </r>
    <r>
      <rPr>
        <rFont val="Calibri"/>
        <color theme="1"/>
        <sz val="14.0"/>
      </rPr>
      <t xml:space="preserve">'Lockable Casings'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ตั้งค่าระบบ </t>
    </r>
    <r>
      <rPr>
        <rFont val="Calibri"/>
        <color theme="1"/>
        <sz val="14.0"/>
      </rPr>
      <t xml:space="preserve">Badge/Biometric </t>
    </r>
    <r>
      <rPr>
        <rFont val="FreeSans"/>
        <color theme="1"/>
        <sz val="14.0"/>
      </rPr>
      <t xml:space="preserve">บันทึกการเข้าออก และกุญแจสำหรับ </t>
    </r>
    <r>
      <rPr>
        <rFont val="Calibri"/>
        <color theme="1"/>
        <sz val="14.0"/>
      </rPr>
      <t>Data Center/</t>
    </r>
    <r>
      <rPr>
        <rFont val="FreeSans"/>
        <color theme="1"/>
        <sz val="14.0"/>
      </rPr>
      <t xml:space="preserve">ห้อง </t>
    </r>
    <r>
      <rPr>
        <rFont val="Calibri"/>
        <color theme="1"/>
        <sz val="14.0"/>
      </rPr>
      <t>Network</t>
    </r>
  </si>
  <si>
    <t>ESBIT-PE-03(05)</t>
  </si>
  <si>
    <t>PE-03(05)</t>
  </si>
  <si>
    <t>Physical Access Control | Tamper Protection</t>
  </si>
  <si>
    <t>Enhances PE-03 (Physical Access Control): configure and enforce 'Tamper Protection' in addition to the base setting, keep it consistent across applicable systems and document approved exceptions. Base scope: Configure badge/biometric access control, logs and locks for data centers and network rooms</t>
  </si>
  <si>
    <r>
      <rPr>
        <rFont val="FreeSans"/>
        <color theme="1"/>
        <sz val="14.0"/>
      </rPr>
      <t xml:space="preserve">ส่วนขยายของ </t>
    </r>
    <r>
      <rPr>
        <rFont val="Calibri"/>
        <color theme="1"/>
        <sz val="14.0"/>
      </rPr>
      <t xml:space="preserve">PE-03: </t>
    </r>
    <r>
      <rPr>
        <rFont val="FreeSans"/>
        <color theme="1"/>
        <sz val="14.0"/>
      </rPr>
      <t xml:space="preserve">กำหนดค่าและบังคับใช้ </t>
    </r>
    <r>
      <rPr>
        <rFont val="Calibri"/>
        <color theme="1"/>
        <sz val="14.0"/>
      </rPr>
      <t xml:space="preserve">'Tamper Protection'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ตั้งค่าระบบ </t>
    </r>
    <r>
      <rPr>
        <rFont val="Calibri"/>
        <color theme="1"/>
        <sz val="14.0"/>
      </rPr>
      <t xml:space="preserve">Badge/Biometric </t>
    </r>
    <r>
      <rPr>
        <rFont val="FreeSans"/>
        <color theme="1"/>
        <sz val="14.0"/>
      </rPr>
      <t xml:space="preserve">บันทึกการเข้าออก และกุญแจสำหรับ </t>
    </r>
    <r>
      <rPr>
        <rFont val="Calibri"/>
        <color theme="1"/>
        <sz val="14.0"/>
      </rPr>
      <t>Data Center/</t>
    </r>
    <r>
      <rPr>
        <rFont val="FreeSans"/>
        <color theme="1"/>
        <sz val="14.0"/>
      </rPr>
      <t xml:space="preserve">ห้อง </t>
    </r>
    <r>
      <rPr>
        <rFont val="Calibri"/>
        <color theme="1"/>
        <sz val="14.0"/>
      </rPr>
      <t>Network</t>
    </r>
  </si>
  <si>
    <t>ESBIT-PE-03(08)</t>
  </si>
  <si>
    <t>PE-03(08)</t>
  </si>
  <si>
    <t>Physical Access Control | Access Control Vestibules</t>
  </si>
  <si>
    <t>Enhances PE-03 (Physical Access Control): configure and enforce 'Access Control Vestibules' in addition to the base setting, keep it consistent across applicable systems and document approved exceptions. Base scope: Configure badge/biometric access control, logs and locks for data centers and network rooms</t>
  </si>
  <si>
    <r>
      <rPr>
        <rFont val="FreeSans"/>
        <color theme="1"/>
        <sz val="14.0"/>
      </rPr>
      <t xml:space="preserve">ส่วนขยายของ </t>
    </r>
    <r>
      <rPr>
        <rFont val="Calibri"/>
        <color theme="1"/>
        <sz val="14.0"/>
      </rPr>
      <t xml:space="preserve">PE-03: </t>
    </r>
    <r>
      <rPr>
        <rFont val="FreeSans"/>
        <color theme="1"/>
        <sz val="14.0"/>
      </rPr>
      <t xml:space="preserve">กำหนดค่าและบังคับใช้ </t>
    </r>
    <r>
      <rPr>
        <rFont val="Calibri"/>
        <color theme="1"/>
        <sz val="14.0"/>
      </rPr>
      <t xml:space="preserve">'Access Control Vestibules'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ตั้งค่าระบบ </t>
    </r>
    <r>
      <rPr>
        <rFont val="Calibri"/>
        <color theme="1"/>
        <sz val="14.0"/>
      </rPr>
      <t xml:space="preserve">Badge/Biometric </t>
    </r>
    <r>
      <rPr>
        <rFont val="FreeSans"/>
        <color theme="1"/>
        <sz val="14.0"/>
      </rPr>
      <t xml:space="preserve">บันทึกการเข้าออก และกุญแจสำหรับ </t>
    </r>
    <r>
      <rPr>
        <rFont val="Calibri"/>
        <color theme="1"/>
        <sz val="14.0"/>
      </rPr>
      <t>Data Center/</t>
    </r>
    <r>
      <rPr>
        <rFont val="FreeSans"/>
        <color theme="1"/>
        <sz val="14.0"/>
      </rPr>
      <t xml:space="preserve">ห้อง </t>
    </r>
    <r>
      <rPr>
        <rFont val="Calibri"/>
        <color theme="1"/>
        <sz val="14.0"/>
      </rPr>
      <t>Network</t>
    </r>
  </si>
  <si>
    <t>ESBIT-PE-04</t>
  </si>
  <si>
    <t>PE-04</t>
  </si>
  <si>
    <t>Access Control for Transmission</t>
  </si>
  <si>
    <t>Protect network cabling and distribution lines with physical controls</t>
  </si>
  <si>
    <t>ป้องกันสายเครือข่ายและช่องทางส่งสัญญาณด้วยมาตรการทางกายภาพ</t>
  </si>
  <si>
    <t>Physical/Facility (Data Center), Network</t>
  </si>
  <si>
    <t>ESBIT-PE-05</t>
  </si>
  <si>
    <t>PE-05</t>
  </si>
  <si>
    <t>Access Control for Output Devices</t>
  </si>
  <si>
    <t>Restrict physical access to printers, monitors and output devices</t>
  </si>
  <si>
    <r>
      <rPr>
        <rFont val="FreeSans"/>
        <color theme="1"/>
        <sz val="14.0"/>
      </rPr>
      <t>จำกัดการเข้าถึงอุปกรณ์แสดงผล</t>
    </r>
    <r>
      <rPr>
        <rFont val="Calibri"/>
        <color theme="1"/>
        <sz val="14.0"/>
      </rPr>
      <t>/</t>
    </r>
    <r>
      <rPr>
        <rFont val="FreeSans"/>
        <color theme="1"/>
        <sz val="14.0"/>
      </rPr>
      <t>พิมพ์</t>
    </r>
  </si>
  <si>
    <t>ESBIT-PE-05(02)</t>
  </si>
  <si>
    <t>PE-05(02)</t>
  </si>
  <si>
    <t>Access Control for Output Devices | Link to Individual Identity</t>
  </si>
  <si>
    <t>Enhances PE-05 (Access Control for Output Devices): configure and enforce 'Link to Individual Identity' in addition to the base setting, keep it consistent across applicable systems and document approved exceptions. Base scope: Restrict physical access to printers, monitors and output devices</t>
  </si>
  <si>
    <r>
      <rPr>
        <rFont val="FreeSans"/>
        <color theme="1"/>
        <sz val="14.0"/>
      </rPr>
      <t xml:space="preserve">ส่วนขยายของ </t>
    </r>
    <r>
      <rPr>
        <rFont val="Calibri"/>
        <color theme="1"/>
        <sz val="14.0"/>
      </rPr>
      <t xml:space="preserve">PE-05: </t>
    </r>
    <r>
      <rPr>
        <rFont val="FreeSans"/>
        <color theme="1"/>
        <sz val="14.0"/>
      </rPr>
      <t xml:space="preserve">กำหนดค่าและบังคับใช้ </t>
    </r>
    <r>
      <rPr>
        <rFont val="Calibri"/>
        <color theme="1"/>
        <sz val="14.0"/>
      </rPr>
      <t xml:space="preserve">'Link to Individual Identity'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จำกัดการเข้าถึงอุปกรณ์แสดงผล</t>
    </r>
    <r>
      <rPr>
        <rFont val="Calibri"/>
        <color theme="1"/>
        <sz val="14.0"/>
      </rPr>
      <t>/</t>
    </r>
    <r>
      <rPr>
        <rFont val="FreeSans"/>
        <color theme="1"/>
        <sz val="14.0"/>
      </rPr>
      <t>พิมพ์</t>
    </r>
  </si>
  <si>
    <t>ESBIT-PE-06</t>
  </si>
  <si>
    <t>PE-06</t>
  </si>
  <si>
    <t>Monitoring Physical Access</t>
  </si>
  <si>
    <t>DE.CM-02</t>
  </si>
  <si>
    <t>The physical environment is monitored to find potentially adverse events</t>
  </si>
  <si>
    <t>Configure CCTV, intrusion alarms and physical access log review</t>
  </si>
  <si>
    <r>
      <rPr>
        <rFont val="FreeSans"/>
        <color theme="1"/>
        <sz val="14.0"/>
      </rPr>
      <t xml:space="preserve">ตั้งค่า </t>
    </r>
    <r>
      <rPr>
        <rFont val="Calibri"/>
        <color theme="1"/>
        <sz val="14.0"/>
      </rPr>
      <t xml:space="preserve">CCTV </t>
    </r>
    <r>
      <rPr>
        <rFont val="FreeSans"/>
        <color theme="1"/>
        <sz val="14.0"/>
      </rPr>
      <t>สัญญาณเตือนบุกรุก และการทบทวนบันทึกการเข้าออก</t>
    </r>
  </si>
  <si>
    <t>ESBIT-PE-06(01)</t>
  </si>
  <si>
    <t>PE-06(01)</t>
  </si>
  <si>
    <t>Monitoring Physical Access | Intrusion Alarms and Surveillance Equipment</t>
  </si>
  <si>
    <t>Enhances PE-06 (Monitoring Physical Access): configure and enforce 'Intrusion Alarms and Surveillance Equipment' in addition to the base setting, keep it consistent across applicable systems and document approved exceptions. Base scope: Configure CCTV, intrusion alarms and physical access log review</t>
  </si>
  <si>
    <r>
      <rPr>
        <rFont val="FreeSans"/>
        <color theme="1"/>
        <sz val="14.0"/>
      </rPr>
      <t xml:space="preserve">ส่วนขยายของ </t>
    </r>
    <r>
      <rPr>
        <rFont val="Calibri"/>
        <color theme="1"/>
        <sz val="14.0"/>
      </rPr>
      <t xml:space="preserve">PE-06: </t>
    </r>
    <r>
      <rPr>
        <rFont val="FreeSans"/>
        <color theme="1"/>
        <sz val="14.0"/>
      </rPr>
      <t xml:space="preserve">กำหนดค่าและบังคับใช้ </t>
    </r>
    <r>
      <rPr>
        <rFont val="Calibri"/>
        <color theme="1"/>
        <sz val="14.0"/>
      </rPr>
      <t xml:space="preserve">'Intrusion Alarms and Surveillance Equipment'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CCTV </t>
    </r>
    <r>
      <rPr>
        <rFont val="FreeSans"/>
        <color theme="1"/>
        <sz val="14.0"/>
      </rPr>
      <t>สัญญาณเตือนบุกรุก และการทบทวนบันทึกการเข้าออก</t>
    </r>
  </si>
  <si>
    <t>ESBIT-PE-06(02)</t>
  </si>
  <si>
    <t>PE-06(02)</t>
  </si>
  <si>
    <t>Monitoring Physical Access | Automated Intrusion Recognition and Responses</t>
  </si>
  <si>
    <t>Enhances PE-06 (Monitoring Physical Access): configure and enforce 'Automated Intrusion Recognition and Responses' in addition to the base setting, keep it consistent across applicable systems and document approved exceptions. Base scope: Configure CCTV, intrusion alarms and physical access log review</t>
  </si>
  <si>
    <r>
      <rPr>
        <rFont val="FreeSans"/>
        <color theme="1"/>
        <sz val="14.0"/>
      </rPr>
      <t xml:space="preserve">ส่วนขยายของ </t>
    </r>
    <r>
      <rPr>
        <rFont val="Calibri"/>
        <color theme="1"/>
        <sz val="14.0"/>
      </rPr>
      <t xml:space="preserve">PE-06: </t>
    </r>
    <r>
      <rPr>
        <rFont val="FreeSans"/>
        <color theme="1"/>
        <sz val="14.0"/>
      </rPr>
      <t xml:space="preserve">กำหนดค่าและบังคับใช้ </t>
    </r>
    <r>
      <rPr>
        <rFont val="Calibri"/>
        <color theme="1"/>
        <sz val="14.0"/>
      </rPr>
      <t xml:space="preserve">'Automated Intrusion Recognition and Responses'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CCTV </t>
    </r>
    <r>
      <rPr>
        <rFont val="FreeSans"/>
        <color theme="1"/>
        <sz val="14.0"/>
      </rPr>
      <t>สัญญาณเตือนบุกรุก และการทบทวนบันทึกการเข้าออก</t>
    </r>
  </si>
  <si>
    <t>ESBIT-PE-06(03)</t>
  </si>
  <si>
    <t>PE-06(03)</t>
  </si>
  <si>
    <t>Monitoring Physical Access | Video Surveillance</t>
  </si>
  <si>
    <t>Enhances PE-06 (Monitoring Physical Access): configure and enforce 'Video Surveillance' in addition to the base setting, keep it consistent across applicable systems and document approved exceptions. Base scope: Configure CCTV, intrusion alarms and physical access log review</t>
  </si>
  <si>
    <r>
      <rPr>
        <rFont val="FreeSans"/>
        <color theme="1"/>
        <sz val="14.0"/>
      </rPr>
      <t xml:space="preserve">ส่วนขยายของ </t>
    </r>
    <r>
      <rPr>
        <rFont val="Calibri"/>
        <color theme="1"/>
        <sz val="14.0"/>
      </rPr>
      <t xml:space="preserve">PE-06: </t>
    </r>
    <r>
      <rPr>
        <rFont val="FreeSans"/>
        <color theme="1"/>
        <sz val="14.0"/>
      </rPr>
      <t xml:space="preserve">กำหนดค่าและบังคับใช้ </t>
    </r>
    <r>
      <rPr>
        <rFont val="Calibri"/>
        <color theme="1"/>
        <sz val="14.0"/>
      </rPr>
      <t xml:space="preserve">'Video Surveillance'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CCTV </t>
    </r>
    <r>
      <rPr>
        <rFont val="FreeSans"/>
        <color theme="1"/>
        <sz val="14.0"/>
      </rPr>
      <t>สัญญาณเตือนบุกรุก และการทบทวนบันทึกการเข้าออก</t>
    </r>
  </si>
  <si>
    <t>ESBIT-PE-06(04)</t>
  </si>
  <si>
    <t>PE-06(04)</t>
  </si>
  <si>
    <t>Monitoring Physical Access | Monitoring Physical Access to Systems</t>
  </si>
  <si>
    <t>Enhances PE-06 (Monitoring Physical Access): configure and enforce 'Monitoring Physical Access to Systems' in addition to the base setting, keep it consistent across applicable systems and document approved exceptions. Base scope: Configure CCTV, intrusion alarms and physical access log review</t>
  </si>
  <si>
    <r>
      <rPr>
        <rFont val="FreeSans"/>
        <color theme="1"/>
        <sz val="14.0"/>
      </rPr>
      <t xml:space="preserve">ส่วนขยายของ </t>
    </r>
    <r>
      <rPr>
        <rFont val="Calibri"/>
        <color theme="1"/>
        <sz val="14.0"/>
      </rPr>
      <t xml:space="preserve">PE-06: </t>
    </r>
    <r>
      <rPr>
        <rFont val="FreeSans"/>
        <color theme="1"/>
        <sz val="14.0"/>
      </rPr>
      <t xml:space="preserve">กำหนดค่าและบังคับใช้ </t>
    </r>
    <r>
      <rPr>
        <rFont val="Calibri"/>
        <color theme="1"/>
        <sz val="14.0"/>
      </rPr>
      <t xml:space="preserve">'Monitoring Physical Access to Systems'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CCTV </t>
    </r>
    <r>
      <rPr>
        <rFont val="FreeSans"/>
        <color theme="1"/>
        <sz val="14.0"/>
      </rPr>
      <t>สัญญาณเตือนบุกรุก และการทบทวนบันทึกการเข้าออก</t>
    </r>
  </si>
  <si>
    <t>ESBIT-PE-08</t>
  </si>
  <si>
    <t>PE-08</t>
  </si>
  <si>
    <t>Visitor Access Records</t>
  </si>
  <si>
    <t>Not a direct configuration item - maintaining visitor access records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</si>
  <si>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การเก็บบันทึกผู้เยี่ยมชม</t>
    </r>
  </si>
  <si>
    <t>ESBIT-PE-08(01)</t>
  </si>
  <si>
    <t>PE-08(01)</t>
  </si>
  <si>
    <t>Visitor Access Records | Automated Records Maintenance and Review</t>
  </si>
  <si>
    <t>Not a direct configuration item - enhancement of PE-08 (Visitor Access Records): 'Automated Records Maintenance and Review'; maintaining visitor access records.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</si>
  <si>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PE-08: 'Automated Records Maintenance and Review' - </t>
    </r>
    <r>
      <rPr>
        <rFont val="FreeSans"/>
        <color theme="1"/>
        <sz val="14.0"/>
      </rPr>
      <t>การเก็บบันทึกผู้เยี่ยมชม</t>
    </r>
  </si>
  <si>
    <t>ESBIT-PE-08(03)</t>
  </si>
  <si>
    <t>PE-08(03)</t>
  </si>
  <si>
    <t>Visitor Access Records | Limit Personally Identifiable Information Elements</t>
  </si>
  <si>
    <t>Not a direct configuration item - enhancement of PE-08 (Visitor Access Records): 'Limit Personally Identifiable Information Elements'; maintaining visitor access records.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</si>
  <si>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PE-08: 'Limit Personally Identifiable Information Elements' - </t>
    </r>
    <r>
      <rPr>
        <rFont val="FreeSans"/>
        <color theme="1"/>
        <sz val="14.0"/>
      </rPr>
      <t>การเก็บบันทึกผู้เยี่ยมชม</t>
    </r>
  </si>
  <si>
    <t>ESBIT-PE-09</t>
  </si>
  <si>
    <t>PE-09</t>
  </si>
  <si>
    <t>Power Equipment and Cabling</t>
  </si>
  <si>
    <t>PR.IR-02</t>
  </si>
  <si>
    <t>The organization's technology assets are protected from environmental threats</t>
  </si>
  <si>
    <t>Protect power equipment and cabling from damage and tampering</t>
  </si>
  <si>
    <t>ป้องกันอุปกรณ์ไฟฟ้าและสายไฟจากความเสียหายและการแก้ไข</t>
  </si>
  <si>
    <t>ESBIT-PE-09(01)</t>
  </si>
  <si>
    <t>PE-09(01)</t>
  </si>
  <si>
    <t>Power Equipment and Cabling | Redundant Cabling</t>
  </si>
  <si>
    <t>Enhances PE-09 (Power Equipment and Cabling): configure and enforce 'Redundant Cabling' in addition to the base setting, keep it consistent across applicable systems and document approved exceptions. Base scope: Protect power equipment and cabling from damage and tampering</t>
  </si>
  <si>
    <r>
      <rPr>
        <rFont val="FreeSans"/>
        <color theme="1"/>
        <sz val="14.0"/>
      </rPr>
      <t xml:space="preserve">ส่วนขยายของ </t>
    </r>
    <r>
      <rPr>
        <rFont val="Calibri"/>
        <color theme="1"/>
        <sz val="14.0"/>
      </rPr>
      <t xml:space="preserve">PE-09: </t>
    </r>
    <r>
      <rPr>
        <rFont val="FreeSans"/>
        <color theme="1"/>
        <sz val="14.0"/>
      </rPr>
      <t xml:space="preserve">กำหนดค่าและบังคับใช้ </t>
    </r>
    <r>
      <rPr>
        <rFont val="Calibri"/>
        <color theme="1"/>
        <sz val="14.0"/>
      </rPr>
      <t xml:space="preserve">'Redundant Cabling'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ป้องกันอุปกรณ์ไฟฟ้าและสายไฟจากความเสียหายและการแก้ไข</t>
    </r>
  </si>
  <si>
    <t>ESBIT-PE-09(02)</t>
  </si>
  <si>
    <t>PE-09(02)</t>
  </si>
  <si>
    <t>Power Equipment and Cabling | Automatic Voltage Controls</t>
  </si>
  <si>
    <t>Enhances PE-09 (Power Equipment and Cabling): configure and enforce 'Automatic Voltage Controls' in addition to the base setting, keep it consistent across applicable systems and document approved exceptions. Base scope: Protect power equipment and cabling from damage and tampering</t>
  </si>
  <si>
    <r>
      <rPr>
        <rFont val="FreeSans"/>
        <color theme="1"/>
        <sz val="14.0"/>
      </rPr>
      <t xml:space="preserve">ส่วนขยายของ </t>
    </r>
    <r>
      <rPr>
        <rFont val="Calibri"/>
        <color theme="1"/>
        <sz val="14.0"/>
      </rPr>
      <t xml:space="preserve">PE-09: </t>
    </r>
    <r>
      <rPr>
        <rFont val="FreeSans"/>
        <color theme="1"/>
        <sz val="14.0"/>
      </rPr>
      <t xml:space="preserve">กำหนดค่าและบังคับใช้ </t>
    </r>
    <r>
      <rPr>
        <rFont val="Calibri"/>
        <color theme="1"/>
        <sz val="14.0"/>
      </rPr>
      <t xml:space="preserve">'Automatic Voltage Controls'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ป้องกันอุปกรณ์ไฟฟ้าและสายไฟจากความเสียหายและการแก้ไข</t>
    </r>
  </si>
  <si>
    <t>ESBIT-PE-10</t>
  </si>
  <si>
    <t>PE-10</t>
  </si>
  <si>
    <t>Emergency Shutoff</t>
  </si>
  <si>
    <t>Provide emergency power shutoff capability with protection from accidental activation</t>
  </si>
  <si>
    <t>จัดให้มีสวิตช์ตัดไฟฉุกเฉินพร้อมป้องกันการกดโดยไม่ตั้งใจ</t>
  </si>
  <si>
    <t>ESBIT-PE-11</t>
  </si>
  <si>
    <t>PE-11</t>
  </si>
  <si>
    <t>Emergency Power</t>
  </si>
  <si>
    <t>Configure UPS and generator for transition to long-term alternate power</t>
  </si>
  <si>
    <r>
      <rPr>
        <rFont val="FreeSans"/>
        <color theme="1"/>
        <sz val="14.0"/>
      </rPr>
      <t xml:space="preserve">ตั้งค่า </t>
    </r>
    <r>
      <rPr>
        <rFont val="Calibri"/>
        <color theme="1"/>
        <sz val="14.0"/>
      </rPr>
      <t xml:space="preserve">UPS </t>
    </r>
    <r>
      <rPr>
        <rFont val="FreeSans"/>
        <color theme="1"/>
        <sz val="14.0"/>
      </rPr>
      <t>และเครื่องกำเนิดไฟฟ้าเพื่อรองรับไฟสำรองระยะยาว</t>
    </r>
  </si>
  <si>
    <t>ESBIT-PE-11(01)</t>
  </si>
  <si>
    <t>PE-11(01)</t>
  </si>
  <si>
    <t>Emergency Power | Alternate Power Supply - Minimal Operational Capability</t>
  </si>
  <si>
    <t>Enhances PE-11 (Emergency Power): configure and enforce 'Alternate Power Supply - Minimal Operational Capability' in addition to the base setting, keep it consistent across applicable systems and document approved exceptions. Base scope: Configure UPS and generator for transition to long-term alternate power</t>
  </si>
  <si>
    <r>
      <rPr>
        <rFont val="FreeSans"/>
        <color theme="1"/>
        <sz val="14.0"/>
      </rPr>
      <t xml:space="preserve">ส่วนขยายของ </t>
    </r>
    <r>
      <rPr>
        <rFont val="Calibri"/>
        <color theme="1"/>
        <sz val="14.0"/>
      </rPr>
      <t xml:space="preserve">PE-11: </t>
    </r>
    <r>
      <rPr>
        <rFont val="FreeSans"/>
        <color theme="1"/>
        <sz val="14.0"/>
      </rPr>
      <t xml:space="preserve">กำหนดค่าและบังคับใช้ </t>
    </r>
    <r>
      <rPr>
        <rFont val="Calibri"/>
        <color theme="1"/>
        <sz val="14.0"/>
      </rPr>
      <t xml:space="preserve">'Alternate Power Supply - Minimal Operational Capability'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UPS </t>
    </r>
    <r>
      <rPr>
        <rFont val="FreeSans"/>
        <color theme="1"/>
        <sz val="14.0"/>
      </rPr>
      <t>และเครื่องกำเนิดไฟฟ้าเพื่อรองรับไฟสำรองระยะยาว</t>
    </r>
  </si>
  <si>
    <t>ESBIT-PE-11(02)</t>
  </si>
  <si>
    <t>PE-11(02)</t>
  </si>
  <si>
    <t>Emergency Power | Alternate Power Supply - Self-contained</t>
  </si>
  <si>
    <t>Enhances PE-11 (Emergency Power): configure and enforce 'Alternate Power Supply - Self-contained' in addition to the base setting, keep it consistent across applicable systems and document approved exceptions. Base scope: Configure UPS and generator for transition to long-term alternate power</t>
  </si>
  <si>
    <r>
      <rPr>
        <rFont val="FreeSans"/>
        <color theme="1"/>
        <sz val="14.0"/>
      </rPr>
      <t xml:space="preserve">ส่วนขยายของ </t>
    </r>
    <r>
      <rPr>
        <rFont val="Calibri"/>
        <color theme="1"/>
        <sz val="14.0"/>
      </rPr>
      <t xml:space="preserve">PE-11: </t>
    </r>
    <r>
      <rPr>
        <rFont val="FreeSans"/>
        <color theme="1"/>
        <sz val="14.0"/>
      </rPr>
      <t xml:space="preserve">กำหนดค่าและบังคับใช้ </t>
    </r>
    <r>
      <rPr>
        <rFont val="Calibri"/>
        <color theme="1"/>
        <sz val="14.0"/>
      </rPr>
      <t xml:space="preserve">'Alternate Power Supply - Self-contained'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UPS </t>
    </r>
    <r>
      <rPr>
        <rFont val="FreeSans"/>
        <color theme="1"/>
        <sz val="14.0"/>
      </rPr>
      <t>และเครื่องกำเนิดไฟฟ้าเพื่อรองรับไฟสำรองระยะยาว</t>
    </r>
  </si>
  <si>
    <t>ESBIT-PE-12</t>
  </si>
  <si>
    <t>PE-12</t>
  </si>
  <si>
    <t>Emergency Lighting</t>
  </si>
  <si>
    <t>Provide automatic emergency lighting during power outage</t>
  </si>
  <si>
    <t>จัดให้มีไฟฉุกเฉินอัตโนมัติเมื่อไฟดับ</t>
  </si>
  <si>
    <t>ESBIT-PE-12(01)</t>
  </si>
  <si>
    <t>PE-12(01)</t>
  </si>
  <si>
    <t>Emergency Lighting | Essential Mission and Business Functions</t>
  </si>
  <si>
    <t>Enhances PE-12 (Emergency Lighting): configure and enforce 'Essential Mission and Business Functions' in addition to the base setting, keep it consistent across applicable systems and document approved exceptions. Base scope: Provide automatic emergency lighting during power outage</t>
  </si>
  <si>
    <r>
      <rPr>
        <rFont val="FreeSans"/>
        <color theme="1"/>
        <sz val="14.0"/>
      </rPr>
      <t xml:space="preserve">ส่วนขยายของ </t>
    </r>
    <r>
      <rPr>
        <rFont val="Calibri"/>
        <color theme="1"/>
        <sz val="14.0"/>
      </rPr>
      <t xml:space="preserve">PE-12: </t>
    </r>
    <r>
      <rPr>
        <rFont val="FreeSans"/>
        <color theme="1"/>
        <sz val="14.0"/>
      </rPr>
      <t xml:space="preserve">กำหนดค่าและบังคับใช้ </t>
    </r>
    <r>
      <rPr>
        <rFont val="Calibri"/>
        <color theme="1"/>
        <sz val="14.0"/>
      </rPr>
      <t xml:space="preserve">'Essential Mission and Business Functions'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จัดให้มีไฟฉุกเฉินอัตโนมัติเมื่อไฟดับ</t>
    </r>
  </si>
  <si>
    <t>ESBIT-PE-13</t>
  </si>
  <si>
    <t>PE-13</t>
  </si>
  <si>
    <t>Fire Protection</t>
  </si>
  <si>
    <t>Configure fire detection and suppression systems for facilities</t>
  </si>
  <si>
    <t>ตั้งค่าระบบตรวจจับและดับเพลิงสำหรับสถานที่</t>
  </si>
  <si>
    <t>ESBIT-PE-13(01)</t>
  </si>
  <si>
    <t>PE-13(01)</t>
  </si>
  <si>
    <t>Fire Protection | Detection Systems - Automatic Activation and Notification</t>
  </si>
  <si>
    <t>Enhances PE-13 (Fire Protection): configure and enforce 'Detection Systems - Automatic Activation and Notification' in addition to the base setting, keep it consistent across applicable systems and document approved exceptions. Base scope: Configure fire detection and suppression systems for facilities</t>
  </si>
  <si>
    <r>
      <rPr>
        <rFont val="FreeSans"/>
        <color theme="1"/>
        <sz val="14.0"/>
      </rPr>
      <t xml:space="preserve">ส่วนขยายของ </t>
    </r>
    <r>
      <rPr>
        <rFont val="Calibri"/>
        <color theme="1"/>
        <sz val="14.0"/>
      </rPr>
      <t xml:space="preserve">PE-13: </t>
    </r>
    <r>
      <rPr>
        <rFont val="FreeSans"/>
        <color theme="1"/>
        <sz val="14.0"/>
      </rPr>
      <t xml:space="preserve">กำหนดค่าและบังคับใช้ </t>
    </r>
    <r>
      <rPr>
        <rFont val="Calibri"/>
        <color theme="1"/>
        <sz val="14.0"/>
      </rPr>
      <t xml:space="preserve">'Detection Systems - Automatic Activation and Notification'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ตั้งค่าระบบตรวจจับและดับเพลิงสำหรับสถานที่</t>
    </r>
  </si>
  <si>
    <t>ESBIT-PE-13(04)</t>
  </si>
  <si>
    <t>PE-13(04)</t>
  </si>
  <si>
    <t>Fire Protection | Inspections</t>
  </si>
  <si>
    <t>Enhances PE-13 (Fire Protection): configure and enforce 'Inspections' in addition to the base setting, keep it consistent across applicable systems and document approved exceptions. Base scope: Configure fire detection and suppression systems for facilities</t>
  </si>
  <si>
    <r>
      <rPr>
        <rFont val="FreeSans"/>
        <color theme="1"/>
        <sz val="14.0"/>
      </rPr>
      <t xml:space="preserve">ส่วนขยายของ </t>
    </r>
    <r>
      <rPr>
        <rFont val="Calibri"/>
        <color theme="1"/>
        <sz val="14.0"/>
      </rPr>
      <t xml:space="preserve">PE-13: </t>
    </r>
    <r>
      <rPr>
        <rFont val="FreeSans"/>
        <color theme="1"/>
        <sz val="14.0"/>
      </rPr>
      <t xml:space="preserve">กำหนดค่าและบังคับใช้ </t>
    </r>
    <r>
      <rPr>
        <rFont val="Calibri"/>
        <color theme="1"/>
        <sz val="14.0"/>
      </rPr>
      <t xml:space="preserve">'Inspections'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ตั้งค่าระบบตรวจจับและดับเพลิงสำหรับสถานที่</t>
    </r>
  </si>
  <si>
    <t>ESBIT-PE-14</t>
  </si>
  <si>
    <t>PE-14</t>
  </si>
  <si>
    <t>Environmental Controls</t>
  </si>
  <si>
    <t>Configure temperature and humidity monitoring and control in equipment rooms</t>
  </si>
  <si>
    <t>ตั้งค่าการควบคุมและเฝ้าระวังอุณหภูมิและความชื้นในห้องอุปกรณ์</t>
  </si>
  <si>
    <t>ESBIT-PE-14(01)</t>
  </si>
  <si>
    <t>PE-14(01)</t>
  </si>
  <si>
    <t>Environmental Controls | Automatic Controls</t>
  </si>
  <si>
    <t>Enhances PE-14 (Environmental Controls): configure and enforce 'Automatic Controls' in addition to the base setting, keep it consistent across applicable systems and document approved exceptions. Base scope: Configure temperature and humidity monitoring and control in equipment rooms</t>
  </si>
  <si>
    <r>
      <rPr>
        <rFont val="FreeSans"/>
        <color theme="1"/>
        <sz val="14.0"/>
      </rPr>
      <t xml:space="preserve">ส่วนขยายของ </t>
    </r>
    <r>
      <rPr>
        <rFont val="Calibri"/>
        <color theme="1"/>
        <sz val="14.0"/>
      </rPr>
      <t xml:space="preserve">PE-14: </t>
    </r>
    <r>
      <rPr>
        <rFont val="FreeSans"/>
        <color theme="1"/>
        <sz val="14.0"/>
      </rPr>
      <t xml:space="preserve">กำหนดค่าและบังคับใช้ </t>
    </r>
    <r>
      <rPr>
        <rFont val="Calibri"/>
        <color theme="1"/>
        <sz val="14.0"/>
      </rPr>
      <t xml:space="preserve">'Automatic Controls'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ตั้งค่าการควบคุมและเฝ้าระวังอุณหภูมิและความชื้นในห้องอุปกรณ์</t>
    </r>
  </si>
  <si>
    <t>ESBIT-PE-14(02)</t>
  </si>
  <si>
    <t>PE-14(02)</t>
  </si>
  <si>
    <t>Environmental Controls | Monitoring with Alarms and Notifications</t>
  </si>
  <si>
    <t>Enhances PE-14 (Environmental Controls): configure and enforce 'Monitoring with Alarms and Notifications' in addition to the base setting, keep it consistent across applicable systems and document approved exceptions. Base scope: Configure temperature and humidity monitoring and control in equipment rooms</t>
  </si>
  <si>
    <r>
      <rPr>
        <rFont val="FreeSans"/>
        <color theme="1"/>
        <sz val="14.0"/>
      </rPr>
      <t xml:space="preserve">ส่วนขยายของ </t>
    </r>
    <r>
      <rPr>
        <rFont val="Calibri"/>
        <color theme="1"/>
        <sz val="14.0"/>
      </rPr>
      <t xml:space="preserve">PE-14: </t>
    </r>
    <r>
      <rPr>
        <rFont val="FreeSans"/>
        <color theme="1"/>
        <sz val="14.0"/>
      </rPr>
      <t xml:space="preserve">กำหนดค่าและบังคับใช้ </t>
    </r>
    <r>
      <rPr>
        <rFont val="Calibri"/>
        <color theme="1"/>
        <sz val="14.0"/>
      </rPr>
      <t xml:space="preserve">'Monitoring with Alarms and Notifications'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ตั้งค่าการควบคุมและเฝ้าระวังอุณหภูมิและความชื้นในห้องอุปกรณ์</t>
    </r>
  </si>
  <si>
    <t>ESBIT-PE-15</t>
  </si>
  <si>
    <t>PE-15</t>
  </si>
  <si>
    <t>Water Damage Protection</t>
  </si>
  <si>
    <t>Provide water leak detection and master shutoff valves</t>
  </si>
  <si>
    <t>จัดให้มีเซนเซอร์ตรวจน้ำรั่วและวาล์วปิดหลัก</t>
  </si>
  <si>
    <t>ESBIT-PE-15(01)</t>
  </si>
  <si>
    <t>PE-15(01)</t>
  </si>
  <si>
    <t>Water Damage Protection | Automation Support</t>
  </si>
  <si>
    <t>Enhances PE-15 (Water Damage Protection): configure and enforce 'Automation Support' in addition to the base setting, keep it consistent across applicable systems and document approved exceptions. Base scope: Provide water leak detection and master shutoff valves</t>
  </si>
  <si>
    <r>
      <rPr>
        <rFont val="FreeSans"/>
        <color theme="1"/>
        <sz val="14.0"/>
      </rPr>
      <t xml:space="preserve">ส่วนขยายของ </t>
    </r>
    <r>
      <rPr>
        <rFont val="Calibri"/>
        <color theme="1"/>
        <sz val="14.0"/>
      </rPr>
      <t xml:space="preserve">PE-15: </t>
    </r>
    <r>
      <rPr>
        <rFont val="FreeSans"/>
        <color theme="1"/>
        <sz val="14.0"/>
      </rPr>
      <t xml:space="preserve">กำหนดค่าและบังคับใช้ </t>
    </r>
    <r>
      <rPr>
        <rFont val="Calibri"/>
        <color theme="1"/>
        <sz val="14.0"/>
      </rPr>
      <t xml:space="preserve">'Automation Support'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จัดให้มีเซนเซอร์ตรวจน้ำรั่วและวาล์วปิดหลัก</t>
    </r>
  </si>
  <si>
    <t>ESBIT-PE-16</t>
  </si>
  <si>
    <t>PE-16</t>
  </si>
  <si>
    <t>Delivery and Removal</t>
  </si>
  <si>
    <t>Not a direct configuration item - control of equipment delivery and removal from facilities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</si>
  <si>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การควบคุมการนำอุปกรณ์เข้า</t>
    </r>
    <r>
      <rPr>
        <rFont val="Calibri"/>
        <color theme="1"/>
        <sz val="14.0"/>
      </rPr>
      <t>-</t>
    </r>
    <r>
      <rPr>
        <rFont val="FreeSans"/>
        <color theme="1"/>
        <sz val="14.0"/>
      </rPr>
      <t>ออกสถานที่</t>
    </r>
  </si>
  <si>
    <t>ESBIT-PE-17</t>
  </si>
  <si>
    <t>PE-17</t>
  </si>
  <si>
    <t>Alternate Work Site</t>
  </si>
  <si>
    <t>Not a direct configuration item - security controls at alternate work sites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</si>
  <si>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มาตรการความปลอดภัยที่สถานที่ทำงานสำรอง</t>
    </r>
  </si>
  <si>
    <t>ESBIT-PE-18</t>
  </si>
  <si>
    <t>PE-18</t>
  </si>
  <si>
    <t>Location of System Components</t>
  </si>
  <si>
    <t>Not a direct configuration item - positioning system components to reduce physical and environmental risk</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</si>
  <si>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การจัดวางอุปกรณ์เพื่อลดความเสี่ยงทางกายภาพและสิ่งแวดล้อม</t>
    </r>
  </si>
  <si>
    <t>ESBIT-PE-18(01)</t>
  </si>
  <si>
    <t>PE-18(01)</t>
  </si>
  <si>
    <t>Location of System Components | Facility Site</t>
  </si>
  <si>
    <t>Not a direct configuration item - enhancement of PE-18 (Location of System Components): 'Facility Site'; positioning system components to reduce physical and environmental risk.</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</si>
  <si>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PE-18: 'Facility Site' - </t>
    </r>
    <r>
      <rPr>
        <rFont val="FreeSans"/>
        <color theme="1"/>
        <sz val="14.0"/>
      </rPr>
      <t>การจัดวางอุปกรณ์เพื่อลดความเสี่ยงทางกายภาพและสิ่งแวดล้อม</t>
    </r>
  </si>
  <si>
    <t>ESBIT-PE-19</t>
  </si>
  <si>
    <t>PE-19</t>
  </si>
  <si>
    <t>Information Leakage</t>
  </si>
  <si>
    <t>Protect systems from information leakage due to electromagnetic signals</t>
  </si>
  <si>
    <t>ป้องกันข้อมูลรั่วไหลจากสัญญาณแม่เหล็กไฟฟ้า</t>
  </si>
  <si>
    <t>ESBIT-PE-19(01)</t>
  </si>
  <si>
    <t>PE-19(01)</t>
  </si>
  <si>
    <t>Information Leakage | National Emissions Policies and Procedures</t>
  </si>
  <si>
    <t>Enhances PE-19 (Information Leakage): configure and enforce 'National Emissions Policies and Procedures' in addition to the base setting, keep it consistent across applicable systems and document approved exceptions. Base scope: Protect systems from information leakage due to electromagnetic signals</t>
  </si>
  <si>
    <r>
      <rPr>
        <rFont val="FreeSans"/>
        <color theme="1"/>
        <sz val="14.0"/>
      </rPr>
      <t xml:space="preserve">ส่วนขยายของ </t>
    </r>
    <r>
      <rPr>
        <rFont val="Calibri"/>
        <color theme="1"/>
        <sz val="14.0"/>
      </rPr>
      <t xml:space="preserve">PE-19: </t>
    </r>
    <r>
      <rPr>
        <rFont val="FreeSans"/>
        <color theme="1"/>
        <sz val="14.0"/>
      </rPr>
      <t xml:space="preserve">กำหนดค่าและบังคับใช้ </t>
    </r>
    <r>
      <rPr>
        <rFont val="Calibri"/>
        <color theme="1"/>
        <sz val="14.0"/>
      </rPr>
      <t xml:space="preserve">'National Emissions Policies and Procedures'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ป้องกันข้อมูลรั่วไหลจากสัญญาณแม่เหล็กไฟฟ้า</t>
    </r>
  </si>
  <si>
    <t>ESBIT-PE-20</t>
  </si>
  <si>
    <t>PE-20</t>
  </si>
  <si>
    <t>Asset Monitoring and Tracking</t>
  </si>
  <si>
    <t>ID.AM-08</t>
  </si>
  <si>
    <t>Systems, hardware, software, services, and data are managed throughout their life cycles</t>
  </si>
  <si>
    <t>Configure asset tracking tags and location monitoring for critical assets</t>
  </si>
  <si>
    <r>
      <rPr>
        <rFont val="FreeSans"/>
        <color theme="1"/>
        <sz val="14.0"/>
      </rPr>
      <t xml:space="preserve">ตั้งค่า </t>
    </r>
    <r>
      <rPr>
        <rFont val="Calibri"/>
        <color theme="1"/>
        <sz val="14.0"/>
      </rPr>
      <t xml:space="preserve">Asset Tag </t>
    </r>
    <r>
      <rPr>
        <rFont val="FreeSans"/>
        <color theme="1"/>
        <sz val="14.0"/>
      </rPr>
      <t>และการติดตามตำแหน่งสินทรัพย์สำคัญ</t>
    </r>
  </si>
  <si>
    <t>Physical/Facility (Data Center), Endpoint/Mobile</t>
  </si>
  <si>
    <t>ESBIT-PE-21</t>
  </si>
  <si>
    <t>PE-21</t>
  </si>
  <si>
    <t>Electromagnetic Pulse Protection</t>
  </si>
  <si>
    <t>Not a direct configuration item - EMP protection for critical systems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</si>
  <si>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การป้องกัน </t>
    </r>
    <r>
      <rPr>
        <rFont val="Calibri"/>
        <color theme="1"/>
        <sz val="14.0"/>
      </rPr>
      <t xml:space="preserve">EMP </t>
    </r>
    <r>
      <rPr>
        <rFont val="FreeSans"/>
        <color theme="1"/>
        <sz val="14.0"/>
      </rPr>
      <t>สำหรับระบบสำคัญ</t>
    </r>
  </si>
  <si>
    <t>ESBIT-PE-22</t>
  </si>
  <si>
    <t>PE-22</t>
  </si>
  <si>
    <t>Component Marking</t>
  </si>
  <si>
    <t>Not a direct configuration item - marking hardware components with handling and distribution information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</si>
  <si>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การติดป้ายฮาร์ดแวร์ตามการจัดการและการเผยแพร่</t>
    </r>
  </si>
  <si>
    <t>ESBIT-PE-23</t>
  </si>
  <si>
    <t>PE-23</t>
  </si>
  <si>
    <t>Facility Location</t>
  </si>
  <si>
    <t>Not a direct configuration item - assessing facility location for physical and environmental hazards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</si>
  <si>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การประเมินที่ตั้งสถานที่ต่อภัยทางกายภาพและสิ่งแวดล้อม</t>
    </r>
  </si>
  <si>
    <t>ESBIT-PL-01</t>
  </si>
  <si>
    <t>PL-01</t>
  </si>
  <si>
    <t>Not a direct configuration item - define, document, review and communicate the Planning policy and procedures that drive the technical configuration standards.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</si>
  <si>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กำหนด จัดทำเอกสาร และทบทวนนโยบาย</t>
    </r>
    <r>
      <rPr>
        <rFont val="Calibri"/>
        <color theme="1"/>
        <sz val="14.0"/>
      </rPr>
      <t>/</t>
    </r>
    <r>
      <rPr>
        <rFont val="FreeSans"/>
        <color theme="1"/>
        <sz val="14.0"/>
      </rPr>
      <t xml:space="preserve">ขั้นตอนของหมวดการวางแผนความปลอดภัย เพื่อเป็นฐานในการกำหนดมาตรฐาน </t>
    </r>
    <r>
      <rPr>
        <rFont val="Calibri"/>
        <color theme="1"/>
        <sz val="14.0"/>
      </rPr>
      <t>Config</t>
    </r>
  </si>
  <si>
    <t>ESBIT-PL-02</t>
  </si>
  <si>
    <t>PL-02</t>
  </si>
  <si>
    <t>System Security and Privacy Plans</t>
  </si>
  <si>
    <t>Not a direct configuration item - documented system security and privacy plans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</si>
  <si>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แผนความมั่นคงปลอดภัยและความเป็นส่วนตัวของระบบ</t>
    </r>
  </si>
  <si>
    <t>ESBIT-PL-04</t>
  </si>
  <si>
    <t>PL-04</t>
  </si>
  <si>
    <t>Rules of Behavior</t>
  </si>
  <si>
    <t>Not a direct configuration item - rules of behavior acknowledged by users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</si>
  <si>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กฎการใช้งานที่ผู้ใช้ต้องรับทราบ</t>
    </r>
  </si>
  <si>
    <t>ESBIT-PL-04(01)</t>
  </si>
  <si>
    <t>PL-04(01)</t>
  </si>
  <si>
    <t>Rules of Behavior | Social Media and External Site/Application Usage Restrictions</t>
  </si>
  <si>
    <t>Not a direct configuration item - enhancement of PL-04 (Rules of Behavior): 'Social Media and External Site/Application Usage Restrictions'; rules of behavior acknowledged by users.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</si>
  <si>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PL-04: 'Social Media and External Site/Application Usage Restrictions' - </t>
    </r>
    <r>
      <rPr>
        <rFont val="FreeSans"/>
        <color theme="1"/>
        <sz val="14.0"/>
      </rPr>
      <t>กฎการใช้งานที่ผู้ใช้ต้องรับทราบ</t>
    </r>
  </si>
  <si>
    <t>ESBIT-PL-07</t>
  </si>
  <si>
    <t>PL-07</t>
  </si>
  <si>
    <t>Concept of Operations</t>
  </si>
  <si>
    <t>Not a direct configuration item - concept of operations for security of the system</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</si>
  <si>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แนวคิดการปฏิบัติการด้านความมั่นคงปลอดภัยของระบบ</t>
    </r>
  </si>
  <si>
    <t>ESBIT-PL-08</t>
  </si>
  <si>
    <t>PL-08</t>
  </si>
  <si>
    <t>Security and Privacy Architectures</t>
  </si>
  <si>
    <t>Design and document security architecture including zoning, defense in depth and segmentation that drives baseline configuration</t>
  </si>
  <si>
    <r>
      <rPr>
        <rFont val="FreeSans"/>
        <color theme="1"/>
        <sz val="14.0"/>
      </rPr>
      <t xml:space="preserve">ออกแบบสถาปัตยกรรมความปลอดภัย </t>
    </r>
    <r>
      <rPr>
        <rFont val="Calibri"/>
        <color theme="1"/>
        <sz val="14.0"/>
      </rPr>
      <t xml:space="preserve">(Zoning, Defense in Depth, Segmentation) </t>
    </r>
    <r>
      <rPr>
        <rFont val="FreeSans"/>
        <color theme="1"/>
        <sz val="14.0"/>
      </rPr>
      <t xml:space="preserve">เป็นฐานของ </t>
    </r>
    <r>
      <rPr>
        <rFont val="Calibri"/>
        <color theme="1"/>
        <sz val="14.0"/>
      </rPr>
      <t>Baseline Config</t>
    </r>
  </si>
  <si>
    <t>Network, Infrastructure (Server/OS), Cloud</t>
  </si>
  <si>
    <t>ESBIT-PL-08(01)</t>
  </si>
  <si>
    <t>PL-08(01)</t>
  </si>
  <si>
    <t>Security and Privacy Architectures | Defense in Depth</t>
  </si>
  <si>
    <t>Enhances PL-08 (Security and Privacy Architectures): configure and enforce 'Defense in Depth' in addition to the base setting, keep it consistent across applicable systems and document approved exceptions. Base scope: Design and document security architecture including zoning, defense in depth and segmentation that drives baseline configuration</t>
  </si>
  <si>
    <r>
      <rPr>
        <rFont val="FreeSans"/>
        <color theme="1"/>
        <sz val="14.0"/>
      </rPr>
      <t xml:space="preserve">ส่วนขยายของ </t>
    </r>
    <r>
      <rPr>
        <rFont val="Calibri"/>
        <color theme="1"/>
        <sz val="14.0"/>
      </rPr>
      <t xml:space="preserve">PL-08: </t>
    </r>
    <r>
      <rPr>
        <rFont val="FreeSans"/>
        <color theme="1"/>
        <sz val="14.0"/>
      </rPr>
      <t xml:space="preserve">กำหนดค่าและบังคับใช้ </t>
    </r>
    <r>
      <rPr>
        <rFont val="Calibri"/>
        <color theme="1"/>
        <sz val="14.0"/>
      </rPr>
      <t xml:space="preserve">'Defense in Depth'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ออกแบบสถาปัตยกรรมความปลอดภัย </t>
    </r>
    <r>
      <rPr>
        <rFont val="Calibri"/>
        <color theme="1"/>
        <sz val="14.0"/>
      </rPr>
      <t xml:space="preserve">(Zoning, Defense in Depth, Segmentation) </t>
    </r>
    <r>
      <rPr>
        <rFont val="FreeSans"/>
        <color theme="1"/>
        <sz val="14.0"/>
      </rPr>
      <t xml:space="preserve">เป็นฐานของ </t>
    </r>
    <r>
      <rPr>
        <rFont val="Calibri"/>
        <color theme="1"/>
        <sz val="14.0"/>
      </rPr>
      <t>Baseline Config</t>
    </r>
  </si>
  <si>
    <t>ESBIT-PL-08(02)</t>
  </si>
  <si>
    <t>PL-08(02)</t>
  </si>
  <si>
    <t>Security and Privacy Architectures | Supplier Diversity</t>
  </si>
  <si>
    <t>Enhances PL-08 (Security and Privacy Architectures): configure and enforce 'Supplier Diversity' in addition to the base setting, keep it consistent across applicable systems and document approved exceptions. Base scope: Design and document security architecture including zoning, defense in depth and segmentation that drives baseline configuration</t>
  </si>
  <si>
    <r>
      <rPr>
        <rFont val="FreeSans"/>
        <color theme="1"/>
        <sz val="14.0"/>
      </rPr>
      <t xml:space="preserve">ส่วนขยายของ </t>
    </r>
    <r>
      <rPr>
        <rFont val="Calibri"/>
        <color theme="1"/>
        <sz val="14.0"/>
      </rPr>
      <t xml:space="preserve">PL-08: </t>
    </r>
    <r>
      <rPr>
        <rFont val="FreeSans"/>
        <color theme="1"/>
        <sz val="14.0"/>
      </rPr>
      <t xml:space="preserve">กำหนดค่าและบังคับใช้ </t>
    </r>
    <r>
      <rPr>
        <rFont val="Calibri"/>
        <color theme="1"/>
        <sz val="14.0"/>
      </rPr>
      <t xml:space="preserve">'Supplier Diversity'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ออกแบบสถาปัตยกรรมความปลอดภัย </t>
    </r>
    <r>
      <rPr>
        <rFont val="Calibri"/>
        <color theme="1"/>
        <sz val="14.0"/>
      </rPr>
      <t xml:space="preserve">(Zoning, Defense in Depth, Segmentation) </t>
    </r>
    <r>
      <rPr>
        <rFont val="FreeSans"/>
        <color theme="1"/>
        <sz val="14.0"/>
      </rPr>
      <t xml:space="preserve">เป็นฐานของ </t>
    </r>
    <r>
      <rPr>
        <rFont val="Calibri"/>
        <color theme="1"/>
        <sz val="14.0"/>
      </rPr>
      <t>Baseline Config</t>
    </r>
  </si>
  <si>
    <t>ESBIT-PL-09</t>
  </si>
  <si>
    <t>PL-09</t>
  </si>
  <si>
    <t>Central Management</t>
  </si>
  <si>
    <t>Centrally manage security controls, configuration and logging</t>
  </si>
  <si>
    <r>
      <rPr>
        <rFont val="FreeSans"/>
        <color theme="1"/>
        <sz val="14.0"/>
      </rPr>
      <t xml:space="preserve">บริหารจัดการมาตรการ </t>
    </r>
    <r>
      <rPr>
        <rFont val="Calibri"/>
        <color theme="1"/>
        <sz val="14.0"/>
      </rPr>
      <t xml:space="preserve">Config </t>
    </r>
    <r>
      <rPr>
        <rFont val="FreeSans"/>
        <color theme="1"/>
        <sz val="14.0"/>
      </rPr>
      <t xml:space="preserve">และ </t>
    </r>
    <r>
      <rPr>
        <rFont val="Calibri"/>
        <color theme="1"/>
        <sz val="14.0"/>
      </rPr>
      <t xml:space="preserve">Log </t>
    </r>
    <r>
      <rPr>
        <rFont val="FreeSans"/>
        <color theme="1"/>
        <sz val="14.0"/>
      </rPr>
      <t>แบบศูนย์กลาง</t>
    </r>
  </si>
  <si>
    <t>ESBIT-PL-10</t>
  </si>
  <si>
    <t>PL-10</t>
  </si>
  <si>
    <t>Baseline Selection</t>
  </si>
  <si>
    <t>Not a direct configuration item - selecting the control baseline for the system</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</si>
  <si>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การเลือก </t>
    </r>
    <r>
      <rPr>
        <rFont val="Calibri"/>
        <color theme="1"/>
        <sz val="14.0"/>
      </rPr>
      <t xml:space="preserve">Control Baseline </t>
    </r>
    <r>
      <rPr>
        <rFont val="FreeSans"/>
        <color theme="1"/>
        <sz val="14.0"/>
      </rPr>
      <t>ของระบบ</t>
    </r>
  </si>
  <si>
    <t>ESBIT-PL-11</t>
  </si>
  <si>
    <t>PL-11</t>
  </si>
  <si>
    <t>Baseline Tailoring</t>
  </si>
  <si>
    <t>Not a direct configuration item - tailoring the selected control baseline to organizational needs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</si>
  <si>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การปรับแต่ง </t>
    </r>
    <r>
      <rPr>
        <rFont val="Calibri"/>
        <color theme="1"/>
        <sz val="14.0"/>
      </rPr>
      <t xml:space="preserve">Baseline </t>
    </r>
    <r>
      <rPr>
        <rFont val="FreeSans"/>
        <color theme="1"/>
        <sz val="14.0"/>
      </rPr>
      <t>ให้เหมาะสมกับองค์กร</t>
    </r>
  </si>
  <si>
    <t>ESBIT-PM-01</t>
  </si>
  <si>
    <t>PM-01</t>
  </si>
  <si>
    <t>Information Security Program Plan</t>
  </si>
  <si>
    <t>Not a direct configuration item - enterprise information security program plan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</si>
  <si>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แผนโปรแกรมความมั่นคงปลอดภัยระดับองค์กร</t>
    </r>
  </si>
  <si>
    <t>ESBIT-PM-02</t>
  </si>
  <si>
    <t>PM-02</t>
  </si>
  <si>
    <t>Information Security Program Leadership Role</t>
  </si>
  <si>
    <t>GV.RR - Roles, Responsibilities, and Authorities</t>
  </si>
  <si>
    <t>GV.RR-01</t>
  </si>
  <si>
    <t>Organizational leadership is responsible and accountable for cybersecurity risk and fosters a culture that is risk-aware, ethical, and continually improving</t>
  </si>
  <si>
    <t>Not a direct configuration item - senior leadership role for the security program</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</si>
  <si>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บทบาทผู้นำอาวุโสด้านความมั่นคงปลอดภัย</t>
    </r>
  </si>
  <si>
    <t>ESBIT-PM-03</t>
  </si>
  <si>
    <t>PM-03</t>
  </si>
  <si>
    <t>Information Security and Privacy Resources</t>
  </si>
  <si>
    <t>GV.RR-03</t>
  </si>
  <si>
    <t>Adequate resources are allocated commensurate with the cybersecurity risk strategy, roles, responsibilities, and policies</t>
  </si>
  <si>
    <t>Not a direct configuration item - resources allocated to security and privacy</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</si>
  <si>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การจัดสรรทรัพยากรด้านความมั่นคงปลอดภัยและความเป็นส่วนตัว</t>
    </r>
  </si>
  <si>
    <t>ESBIT-PM-04</t>
  </si>
  <si>
    <t>PM-04</t>
  </si>
  <si>
    <t>Plan of Action and Milestones Process</t>
  </si>
  <si>
    <t>Not a direct configuration item - process for POA&amp;M across the organization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</si>
  <si>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กระบวนการ </t>
    </r>
    <r>
      <rPr>
        <rFont val="Calibri"/>
        <color theme="1"/>
        <sz val="14.0"/>
      </rPr>
      <t xml:space="preserve">POA&amp;M </t>
    </r>
    <r>
      <rPr>
        <rFont val="FreeSans"/>
        <color theme="1"/>
        <sz val="14.0"/>
      </rPr>
      <t>ระดับองค์กร</t>
    </r>
  </si>
  <si>
    <t>ESBIT-PM-05</t>
  </si>
  <si>
    <t>PM-05</t>
  </si>
  <si>
    <t>System Inventory</t>
  </si>
  <si>
    <t>ID.AM-02</t>
  </si>
  <si>
    <t>Inventories of software, services, and systems managed by the organization are maintained</t>
  </si>
  <si>
    <t>Not a direct configuration item - organization-wide system inventory</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</si>
  <si>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บัญชีระบบระดับองค์กร</t>
    </r>
  </si>
  <si>
    <t>ESBIT-PM-05(01)</t>
  </si>
  <si>
    <t>PM-05(01)</t>
  </si>
  <si>
    <t>System Inventory | Inventory of Personally Identifiable Information</t>
  </si>
  <si>
    <t>Not a direct configuration item - enhancement of PM-05 (System Inventory): 'Inventory of Personally Identifiable Information'; organization-wide system inventory.</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</si>
  <si>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PM-05: 'Inventory of Personally Identifiable Information' - </t>
    </r>
    <r>
      <rPr>
        <rFont val="FreeSans"/>
        <color theme="1"/>
        <sz val="14.0"/>
      </rPr>
      <t>บัญชีระบบระดับองค์กร</t>
    </r>
  </si>
  <si>
    <t>ESBIT-PM-06</t>
  </si>
  <si>
    <t>PM-06</t>
  </si>
  <si>
    <t>Measures of Performance</t>
  </si>
  <si>
    <t>GV.OV-03</t>
  </si>
  <si>
    <t>Organizational cybersecurity risk management performance is evaluated and reviewed for adjustments needed</t>
  </si>
  <si>
    <t>Not a direct configuration item - security and privacy performance measures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</si>
  <si>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ตัวชี้วัดประสิทธิภาพด้านความมั่นคงปลอดภัย</t>
    </r>
  </si>
  <si>
    <t>ESBIT-PM-07</t>
  </si>
  <si>
    <t>PM-07</t>
  </si>
  <si>
    <t>Enterprise Architecture</t>
  </si>
  <si>
    <t>GV.RM - Risk Management Strategy</t>
  </si>
  <si>
    <t>GV.RM-04</t>
  </si>
  <si>
    <t>Strategic direction that describes appropriate risk response options is established and communicated</t>
  </si>
  <si>
    <t>Not a direct configuration item - security integrated into enterprise architecture</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</si>
  <si>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การผนวกความมั่นคงปลอดภัยในสถาปัตยกรรมองค์กร</t>
    </r>
  </si>
  <si>
    <t>ESBIT-PM-07(01)</t>
  </si>
  <si>
    <t>PM-07(01)</t>
  </si>
  <si>
    <t>Enterprise Architecture | Offloading</t>
  </si>
  <si>
    <t>Not a direct configuration item - enhancement of PM-07 (Enterprise Architecture): 'Offloading'; security integrated into enterprise architecture.</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</si>
  <si>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PM-07: 'Offloading' - </t>
    </r>
    <r>
      <rPr>
        <rFont val="FreeSans"/>
        <color theme="1"/>
        <sz val="14.0"/>
      </rPr>
      <t>การผนวกความมั่นคงปลอดภัยในสถาปัตยกรรมองค์กร</t>
    </r>
  </si>
  <si>
    <t>ESBIT-PM-08</t>
  </si>
  <si>
    <t>PM-08</t>
  </si>
  <si>
    <t>Critical Infrastructure Plan</t>
  </si>
  <si>
    <t>GV.OC - Organizational Context</t>
  </si>
  <si>
    <t>GV.OC-04</t>
  </si>
  <si>
    <t>Critical objectives, capabilities, and services that external stakeholders depend on or expect from the organization are understood and communicated</t>
  </si>
  <si>
    <t>Not a direct configuration item - critical infrastructure and key resources protection plan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</si>
  <si>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แผนป้องกันโครงสร้างพื้นฐานสำคัญ</t>
    </r>
  </si>
  <si>
    <t>ESBIT-PM-09</t>
  </si>
  <si>
    <t>PM-09</t>
  </si>
  <si>
    <t>Risk Management Strategy</t>
  </si>
  <si>
    <t>GV.RM-03</t>
  </si>
  <si>
    <t>Cybersecurity risk management activities and outcomes are included in enterprise risk management processes</t>
  </si>
  <si>
    <t>Not a direct configuration item - organization-wide risk management strategy</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</si>
  <si>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กลยุทธ์บริหารความเสี่ยงระดับองค์กร</t>
    </r>
  </si>
  <si>
    <t>ESBIT-PM-10</t>
  </si>
  <si>
    <t>PM-10</t>
  </si>
  <si>
    <t>Authorization Process</t>
  </si>
  <si>
    <t>GV.RR-02</t>
  </si>
  <si>
    <t>Roles, responsibilities, and authorities related to cybersecurity risk management are established, communicated, understood, and enforced</t>
  </si>
  <si>
    <t>Not a direct configuration item - authorization process for systems and common controls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</si>
  <si>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กระบวนการอนุมัติระบบและมาตรการร่วม</t>
    </r>
  </si>
  <si>
    <t>ESBIT-PM-11</t>
  </si>
  <si>
    <t>PM-11</t>
  </si>
  <si>
    <t>Mission and Business Process Definition</t>
  </si>
  <si>
    <t>GV.OC-01</t>
  </si>
  <si>
    <t>The organizational mission is understood and informs cybersecurity risk management</t>
  </si>
  <si>
    <t>Not a direct configuration item - defining mission processes and protection needs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</si>
  <si>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การกำหนดกระบวนการหลักและความต้องการป้องกัน</t>
    </r>
  </si>
  <si>
    <t>ESBIT-PM-12</t>
  </si>
  <si>
    <t>PM-12</t>
  </si>
  <si>
    <t>Insider Threat Program</t>
  </si>
  <si>
    <t>GV.RR-04</t>
  </si>
  <si>
    <t>Cybersecurity is included in human resources practices</t>
  </si>
  <si>
    <t>Not a direct configuration item - insider threat program</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</si>
  <si>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โปรแกรมป้องกันภัยคุกคามจากบุคลากรภายใน</t>
    </r>
  </si>
  <si>
    <t>ESBIT-PM-13</t>
  </si>
  <si>
    <t>PM-13</t>
  </si>
  <si>
    <t>Security and Privacy Workforce</t>
  </si>
  <si>
    <t>Not a direct configuration item - security and privacy workforce development</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</si>
  <si>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การพัฒนากำลังคนด้านความมั่นคงปลอดภัย</t>
    </r>
  </si>
  <si>
    <t>ESBIT-PM-14</t>
  </si>
  <si>
    <t>PM-14</t>
  </si>
  <si>
    <t>Testing, Training, and Monitoring</t>
  </si>
  <si>
    <t>Not a direct configuration item - organization-wide testing, training and monitoring program</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</si>
  <si>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โปรแกรมทดสอบ อบรม และเฝ้าระวังระดับองค์กร</t>
    </r>
  </si>
  <si>
    <t>ESBIT-PM-15</t>
  </si>
  <si>
    <t>PM-15</t>
  </si>
  <si>
    <t>Security and Privacy Groups and Associations</t>
  </si>
  <si>
    <t>ID.RA-02</t>
  </si>
  <si>
    <t>Cyber threat intelligence is received from information sharing forums and sources</t>
  </si>
  <si>
    <t>Not a direct configuration item - contact with security groups and associations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</si>
  <si>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การติดต่อกลุ่ม</t>
    </r>
    <r>
      <rPr>
        <rFont val="Calibri"/>
        <color theme="1"/>
        <sz val="14.0"/>
      </rPr>
      <t>/</t>
    </r>
    <r>
      <rPr>
        <rFont val="FreeSans"/>
        <color theme="1"/>
        <sz val="14.0"/>
      </rPr>
      <t>สมาคมด้านความมั่นคงปลอดภัย</t>
    </r>
  </si>
  <si>
    <t>ESBIT-PM-16</t>
  </si>
  <si>
    <t>PM-16</t>
  </si>
  <si>
    <t>Threat Awareness Program</t>
  </si>
  <si>
    <t>Not a direct configuration item - threat awareness and intelligence sharing program</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</si>
  <si>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โปรแกรมตระหนักรู้ภัยคุกคามและแลกเปลี่ยนข่าวกรอง</t>
    </r>
  </si>
  <si>
    <t>ESBIT-PM-16(01)</t>
  </si>
  <si>
    <t>PM-16(01)</t>
  </si>
  <si>
    <t>Threat Awareness Program | Automated Means for Sharing Threat Intelligence</t>
  </si>
  <si>
    <t>Not a direct configuration item - enhancement of PM-16 (Threat Awareness Program): 'Automated Means for Sharing Threat Intelligence'; threat awareness and intelligence sharing program.</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</si>
  <si>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PM-16: 'Automated Means for Sharing Threat Intelligence' - </t>
    </r>
    <r>
      <rPr>
        <rFont val="FreeSans"/>
        <color theme="1"/>
        <sz val="14.0"/>
      </rPr>
      <t>โปรแกรมตระหนักรู้ภัยคุกคามและแลกเปลี่ยนข่าวกรอง</t>
    </r>
  </si>
  <si>
    <t>ESBIT-PM-17</t>
  </si>
  <si>
    <t>PM-17</t>
  </si>
  <si>
    <t>Protecting Controlled Unclassified Information on External Systems</t>
  </si>
  <si>
    <t>GV.SC - Cybersecurity Supply Chain Risk Management</t>
  </si>
  <si>
    <t>GV.SC-05</t>
  </si>
  <si>
    <t>Requirements to address cybersecurity risks in supply chains are established, prioritized, and integrated into contracts and other types of agreements with suppliers and other relevant third parties</t>
  </si>
  <si>
    <t>Not a direct configuration item - protecting controlled information on external systems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</si>
  <si>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การป้องกันข้อมูลควบคุมบนระบบภายนอก</t>
    </r>
  </si>
  <si>
    <t>ESBIT-PM-18</t>
  </si>
  <si>
    <t>PM-18</t>
  </si>
  <si>
    <t>Privacy Program Plan</t>
  </si>
  <si>
    <t>Not a direct configuration item - privacy program plan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</si>
  <si>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แผนโปรแกรมความเป็นส่วนตัว</t>
    </r>
  </si>
  <si>
    <t>ESBIT-PM-19</t>
  </si>
  <si>
    <t>PM-19</t>
  </si>
  <si>
    <t>Privacy Program Leadership Role</t>
  </si>
  <si>
    <t>Not a direct configuration item - privacy program leadership role</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</si>
  <si>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บทบาทผู้นำโปรแกรมความเป็นส่วนตัว</t>
    </r>
  </si>
  <si>
    <t>ESBIT-PM-20</t>
  </si>
  <si>
    <t>PM-20</t>
  </si>
  <si>
    <t>Dissemination of Privacy Program Information</t>
  </si>
  <si>
    <t>Not a direct configuration item - public dissemination of privacy program information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</si>
  <si>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การเผยแพร่ข้อมูลโปรแกรมความเป็นส่วนตัว</t>
    </r>
  </si>
  <si>
    <t>ESBIT-PM-20(01)</t>
  </si>
  <si>
    <t>PM-20(01)</t>
  </si>
  <si>
    <t>Dissemination of Privacy Program Information | Privacy Policies on Websites, Applications, and Digital Services</t>
  </si>
  <si>
    <t>Not a direct configuration item - enhancement of PM-20 (Dissemination of Privacy Program Information): 'Privacy Policies on Websites, Applications, and Digital Services'; public dissemination of privacy program information.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</si>
  <si>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PM-20: 'Privacy Policies on Websites, Applications, and Digital Services' - </t>
    </r>
    <r>
      <rPr>
        <rFont val="FreeSans"/>
        <color theme="1"/>
        <sz val="14.0"/>
      </rPr>
      <t>การเผยแพร่ข้อมูลโปรแกรมความเป็นส่วนตัว</t>
    </r>
  </si>
  <si>
    <t>ESBIT-PM-21</t>
  </si>
  <si>
    <t>PM-21</t>
  </si>
  <si>
    <t>Accounting of Disclosures</t>
  </si>
  <si>
    <t>GV.OC-03</t>
  </si>
  <si>
    <t>Legal, regulatory, and contractual requirements regarding cybersecurity, including privacy and civil liberties obligations, are understood and managed</t>
  </si>
  <si>
    <t>Not a direct configuration item - accounting of PII disclosures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</si>
  <si>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การบันทึกการเปิดเผย </t>
    </r>
    <r>
      <rPr>
        <rFont val="Calibri"/>
        <color theme="1"/>
        <sz val="14.0"/>
      </rPr>
      <t>PII</t>
    </r>
  </si>
  <si>
    <t>ESBIT-PM-22</t>
  </si>
  <si>
    <t>PM-22</t>
  </si>
  <si>
    <t>Personally Identifiable Information Quality Management</t>
  </si>
  <si>
    <t>Not a direct configuration item - PII quality and integrity management</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</si>
  <si>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การบริหารคุณภาพ </t>
    </r>
    <r>
      <rPr>
        <rFont val="Calibri"/>
        <color theme="1"/>
        <sz val="14.0"/>
      </rPr>
      <t>PII</t>
    </r>
  </si>
  <si>
    <t>ESBIT-PM-23</t>
  </si>
  <si>
    <t>PM-23</t>
  </si>
  <si>
    <t>Data Governance Body</t>
  </si>
  <si>
    <t>GV.OV-01</t>
  </si>
  <si>
    <t>Cybersecurity risk management strategy outcomes are reviewed to inform and adjust strategy and direction</t>
  </si>
  <si>
    <t>Not a direct configuration item - data governance body</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</si>
  <si>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คณะกรรมการกำกับดูแลข้อมูล</t>
    </r>
  </si>
  <si>
    <t>ESBIT-PM-24</t>
  </si>
  <si>
    <t>PM-24</t>
  </si>
  <si>
    <t>Data Integrity Board</t>
  </si>
  <si>
    <t>Not a direct configuration item - data integrity board oversight</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</si>
  <si>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คณะกรรมการดูแลความถูกต้องข้อมูล</t>
    </r>
  </si>
  <si>
    <t>ESBIT-PM-25</t>
  </si>
  <si>
    <t>PM-25</t>
  </si>
  <si>
    <t>Minimization of Personally Identifiable Information Used in Testing, Training, and Research</t>
  </si>
  <si>
    <t>Not a direct configuration item - minimizing PII in test, training and research</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</si>
  <si>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การลด </t>
    </r>
    <r>
      <rPr>
        <rFont val="Calibri"/>
        <color theme="1"/>
        <sz val="14.0"/>
      </rPr>
      <t xml:space="preserve">PII </t>
    </r>
    <r>
      <rPr>
        <rFont val="FreeSans"/>
        <color theme="1"/>
        <sz val="14.0"/>
      </rPr>
      <t>ที่ใช้ในการทดสอบ อบรม และวิจัย</t>
    </r>
  </si>
  <si>
    <t>ESBIT-PM-26</t>
  </si>
  <si>
    <t>PM-26</t>
  </si>
  <si>
    <t>Complaint Management</t>
  </si>
  <si>
    <t>Not a direct configuration item - privacy complaint management</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</si>
  <si>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การจัดการข้อร้องเรียนด้านความเป็นส่วนตัว</t>
    </r>
  </si>
  <si>
    <t>ESBIT-PM-27</t>
  </si>
  <si>
    <t>PM-27</t>
  </si>
  <si>
    <t>Privacy Reporting</t>
  </si>
  <si>
    <t>Not a direct configuration item - privacy reporting to oversight bodies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</si>
  <si>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การรายงานความเป็นส่วนตัวต่อผู้กำกับดูแล</t>
    </r>
  </si>
  <si>
    <t>ESBIT-PM-28</t>
  </si>
  <si>
    <t>PM-28</t>
  </si>
  <si>
    <t>Risk Framing</t>
  </si>
  <si>
    <t>GV.RM-02</t>
  </si>
  <si>
    <t>Risk appetite and risk tolerance statements are established, communicated, and maintained</t>
  </si>
  <si>
    <t>Not a direct configuration item - risk framing, assumptions and tolerance</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</si>
  <si>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การกำหนดกรอบความเสี่ยง สมมติฐาน และระดับที่ยอมรับได้</t>
    </r>
  </si>
  <si>
    <t>ESBIT-PM-29</t>
  </si>
  <si>
    <t>PM-29</t>
  </si>
  <si>
    <t>Risk Management Program Leadership Roles</t>
  </si>
  <si>
    <t>Not a direct configuration item - risk management program leadership roles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</si>
  <si>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บทบาทผู้นำโปรแกรมบริหารความเสี่ยง</t>
    </r>
  </si>
  <si>
    <t>ESBIT-PM-30</t>
  </si>
  <si>
    <t>PM-30</t>
  </si>
  <si>
    <t>Supply Chain Risk Management Strategy</t>
  </si>
  <si>
    <t>GV.SC-01</t>
  </si>
  <si>
    <t>A cybersecurity supply chain risk management program, strategy, objectives, policies, and processes are established and agreed to by organizational stakeholders</t>
  </si>
  <si>
    <t>Not a direct configuration item - supply chain risk management strategy</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</si>
  <si>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กลยุทธ์บริหารความเสี่ยงห่วงโซ่อุปทาน</t>
    </r>
  </si>
  <si>
    <t>ESBIT-PM-30(01)</t>
  </si>
  <si>
    <t>PM-30(01)</t>
  </si>
  <si>
    <t>Supply Chain Risk Management Strategy | Suppliers of Critical or Mission-essential Items</t>
  </si>
  <si>
    <t>Not a direct configuration item - enhancement of PM-30 (Supply Chain Risk Management Strategy): 'Suppliers of Critical or Mission-essential Items'; supply chain risk management strategy.</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</si>
  <si>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PM-30: 'Suppliers of Critical or Mission-essential Items' - </t>
    </r>
    <r>
      <rPr>
        <rFont val="FreeSans"/>
        <color theme="1"/>
        <sz val="14.0"/>
      </rPr>
      <t>กลยุทธ์บริหารความเสี่ยงห่วงโซ่อุปทาน</t>
    </r>
  </si>
  <si>
    <t>ESBIT-PM-31</t>
  </si>
  <si>
    <t>PM-31</t>
  </si>
  <si>
    <t>Continuous Monitoring Strategy</t>
  </si>
  <si>
    <t>Not a direct configuration item - organization-wide continuous monitoring strategy</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</si>
  <si>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กลยุทธ์การเฝ้าระวังต่อเนื่องระดับองค์กร</t>
    </r>
  </si>
  <si>
    <t>ESBIT-PM-32</t>
  </si>
  <si>
    <t>PM-32</t>
  </si>
  <si>
    <t>Purposing</t>
  </si>
  <si>
    <t>Not a direct configuration item - ensuring systems are used only for intended purposes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</si>
  <si>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การใช้ระบบตามวัตถุประสงค์ที่กำหนด</t>
    </r>
  </si>
  <si>
    <t>ESBIT-PS-01</t>
  </si>
  <si>
    <t>PS-01</t>
  </si>
  <si>
    <t>Not a direct configuration item - define, document, review and communicate the Personnel Security policy and procedures that drive the technical configuration standards.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</si>
  <si>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กำหนด จัดทำเอกสาร และทบทวนนโยบาย</t>
    </r>
    <r>
      <rPr>
        <rFont val="Calibri"/>
        <color theme="1"/>
        <sz val="14.0"/>
      </rPr>
      <t>/</t>
    </r>
    <r>
      <rPr>
        <rFont val="FreeSans"/>
        <color theme="1"/>
        <sz val="14.0"/>
      </rPr>
      <t xml:space="preserve">ขั้นตอนของหมวดความมั่นคงปลอดภัยด้านบุคลากร เพื่อเป็นฐานในการกำหนดมาตรฐาน </t>
    </r>
    <r>
      <rPr>
        <rFont val="Calibri"/>
        <color theme="1"/>
        <sz val="14.0"/>
      </rPr>
      <t>Config</t>
    </r>
  </si>
  <si>
    <t>ESBIT-PS-02</t>
  </si>
  <si>
    <t>PS-02</t>
  </si>
  <si>
    <t>Position Risk Designation</t>
  </si>
  <si>
    <t>Not a direct configuration item - risk designation of positions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</si>
  <si>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การกำหนดระดับความเสี่ยงของตำแหน่งงาน</t>
    </r>
  </si>
  <si>
    <t>ESBIT-PS-03</t>
  </si>
  <si>
    <t>PS-03</t>
  </si>
  <si>
    <t>Personnel Screening</t>
  </si>
  <si>
    <t>Not a direct configuration item - background screening before granting access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</si>
  <si>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การตรวจสอบประวัติก่อนให้สิทธิ์</t>
    </r>
  </si>
  <si>
    <t>ESBIT-PS-03(01)</t>
  </si>
  <si>
    <t>PS-03(01)</t>
  </si>
  <si>
    <t>Personnel Screening | Classified Information</t>
  </si>
  <si>
    <t>Not a direct configuration item - enhancement of PS-03 (Personnel Screening): 'Classified Information'; background screening before granting access.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</si>
  <si>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PS-03: 'Classified Information' - </t>
    </r>
    <r>
      <rPr>
        <rFont val="FreeSans"/>
        <color theme="1"/>
        <sz val="14.0"/>
      </rPr>
      <t>การตรวจสอบประวัติก่อนให้สิทธิ์</t>
    </r>
  </si>
  <si>
    <t>ESBIT-PS-03(02)</t>
  </si>
  <si>
    <t>PS-03(02)</t>
  </si>
  <si>
    <t>Personnel Screening | Formal Indoctrination</t>
  </si>
  <si>
    <t>Not a direct configuration item - enhancement of PS-03 (Personnel Screening): 'Formal Indoctrination'; background screening before granting access.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</si>
  <si>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PS-03: 'Formal Indoctrination' - </t>
    </r>
    <r>
      <rPr>
        <rFont val="FreeSans"/>
        <color theme="1"/>
        <sz val="14.0"/>
      </rPr>
      <t>การตรวจสอบประวัติก่อนให้สิทธิ์</t>
    </r>
  </si>
  <si>
    <t>ESBIT-PS-03(03)</t>
  </si>
  <si>
    <t>PS-03(03)</t>
  </si>
  <si>
    <t>Personnel Screening | Information Requiring Special Protective Measures</t>
  </si>
  <si>
    <t>Not a direct configuration item - enhancement of PS-03 (Personnel Screening): 'Information Requiring Special Protective Measures'; background screening before granting access.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</si>
  <si>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PS-03: 'Information Requiring Special Protective Measures' - </t>
    </r>
    <r>
      <rPr>
        <rFont val="FreeSans"/>
        <color theme="1"/>
        <sz val="14.0"/>
      </rPr>
      <t>การตรวจสอบประวัติก่อนให้สิทธิ์</t>
    </r>
  </si>
  <si>
    <t>ESBIT-PS-03(04)</t>
  </si>
  <si>
    <t>PS-03(04)</t>
  </si>
  <si>
    <t>Personnel Screening | Citizenship Requirements</t>
  </si>
  <si>
    <t>Not a direct configuration item - enhancement of PS-03 (Personnel Screening): 'Citizenship Requirements'; background screening before granting access.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</si>
  <si>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PS-03: 'Citizenship Requirements' - </t>
    </r>
    <r>
      <rPr>
        <rFont val="FreeSans"/>
        <color theme="1"/>
        <sz val="14.0"/>
      </rPr>
      <t>การตรวจสอบประวัติก่อนให้สิทธิ์</t>
    </r>
  </si>
  <si>
    <t>ESBIT-PS-04</t>
  </si>
  <si>
    <t>PS-04</t>
  </si>
  <si>
    <t>Personnel Termination</t>
  </si>
  <si>
    <t>Configure prompt disabling of accounts and revocation of access and tokens on termination</t>
  </si>
  <si>
    <r>
      <rPr>
        <rFont val="FreeSans"/>
        <color theme="1"/>
        <sz val="14.0"/>
      </rPr>
      <t>ตั้งค่าปิดบัญชีและเพิกถอนสิทธิ์</t>
    </r>
    <r>
      <rPr>
        <rFont val="Calibri"/>
        <color theme="1"/>
        <sz val="14.0"/>
      </rPr>
      <t xml:space="preserve">/Token </t>
    </r>
    <r>
      <rPr>
        <rFont val="FreeSans"/>
        <color theme="1"/>
        <sz val="14.0"/>
      </rPr>
      <t>ทันทีเมื่อสิ้นสุดการจ้าง</t>
    </r>
  </si>
  <si>
    <t>ESBIT-PS-04(01)</t>
  </si>
  <si>
    <t>PS-04(01)</t>
  </si>
  <si>
    <t>Personnel Termination | Post-employment Requirements</t>
  </si>
  <si>
    <t>Enhances PS-04 (Personnel Termination): configure and enforce 'Post-employment Requirements' in addition to the base setting, keep it consistent across applicable systems and document approved exceptions. Base scope: Configure prompt disabling of accounts and revocation of access and tokens on termination</t>
  </si>
  <si>
    <r>
      <rPr>
        <rFont val="FreeSans"/>
        <color theme="1"/>
        <sz val="14.0"/>
      </rPr>
      <t xml:space="preserve">ส่วนขยายของ </t>
    </r>
    <r>
      <rPr>
        <rFont val="Calibri"/>
        <color theme="1"/>
        <sz val="14.0"/>
      </rPr>
      <t xml:space="preserve">PS-04: </t>
    </r>
    <r>
      <rPr>
        <rFont val="FreeSans"/>
        <color theme="1"/>
        <sz val="14.0"/>
      </rPr>
      <t xml:space="preserve">กำหนดค่าและบังคับใช้ </t>
    </r>
    <r>
      <rPr>
        <rFont val="Calibri"/>
        <color theme="1"/>
        <sz val="14.0"/>
      </rPr>
      <t xml:space="preserve">'Post-employment Requirements'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ตั้งค่าปิดบัญชีและเพิกถอนสิทธิ์</t>
    </r>
    <r>
      <rPr>
        <rFont val="Calibri"/>
        <color theme="1"/>
        <sz val="14.0"/>
      </rPr>
      <t xml:space="preserve">/Token </t>
    </r>
    <r>
      <rPr>
        <rFont val="FreeSans"/>
        <color theme="1"/>
        <sz val="14.0"/>
      </rPr>
      <t>ทันทีเมื่อสิ้นสุดการจ้าง</t>
    </r>
  </si>
  <si>
    <t>ESBIT-PS-04(02)</t>
  </si>
  <si>
    <t>PS-04(02)</t>
  </si>
  <si>
    <t>Personnel Termination | Automated Actions</t>
  </si>
  <si>
    <t>Enhances PS-04 (Personnel Termination): configure and enforce 'Automated Actions' in addition to the base setting, keep it consistent across applicable systems and document approved exceptions. Base scope: Configure prompt disabling of accounts and revocation of access and tokens on termination</t>
  </si>
  <si>
    <r>
      <rPr>
        <rFont val="FreeSans"/>
        <color theme="1"/>
        <sz val="14.0"/>
      </rPr>
      <t xml:space="preserve">ส่วนขยายของ </t>
    </r>
    <r>
      <rPr>
        <rFont val="Calibri"/>
        <color theme="1"/>
        <sz val="14.0"/>
      </rPr>
      <t xml:space="preserve">PS-04: </t>
    </r>
    <r>
      <rPr>
        <rFont val="FreeSans"/>
        <color theme="1"/>
        <sz val="14.0"/>
      </rPr>
      <t xml:space="preserve">กำหนดค่าและบังคับใช้ </t>
    </r>
    <r>
      <rPr>
        <rFont val="Calibri"/>
        <color theme="1"/>
        <sz val="14.0"/>
      </rPr>
      <t xml:space="preserve">'Automated Actions'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ตั้งค่าปิดบัญชีและเพิกถอนสิทธิ์</t>
    </r>
    <r>
      <rPr>
        <rFont val="Calibri"/>
        <color theme="1"/>
        <sz val="14.0"/>
      </rPr>
      <t xml:space="preserve">/Token </t>
    </r>
    <r>
      <rPr>
        <rFont val="FreeSans"/>
        <color theme="1"/>
        <sz val="14.0"/>
      </rPr>
      <t>ทันทีเมื่อสิ้นสุดการจ้าง</t>
    </r>
  </si>
  <si>
    <t>ESBIT-PS-05</t>
  </si>
  <si>
    <t>PS-05</t>
  </si>
  <si>
    <t>Personnel Transfer</t>
  </si>
  <si>
    <t>Configure review and adjustment of access on personnel transfer</t>
  </si>
  <si>
    <t>ตั้งค่าการทบทวนและปรับสิทธิ์เมื่อโยกย้ายบุคลากร</t>
  </si>
  <si>
    <t>ESBIT-PS-06</t>
  </si>
  <si>
    <t>PS-06</t>
  </si>
  <si>
    <t>Access Agreements</t>
  </si>
  <si>
    <t>Not a direct configuration item - signed access agreements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</si>
  <si>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ข้อตกลงการเข้าถึงที่ลงนามแล้ว</t>
    </r>
  </si>
  <si>
    <t>ESBIT-PS-06(02)</t>
  </si>
  <si>
    <t>PS-06(02)</t>
  </si>
  <si>
    <t>Access Agreements | Classified Information</t>
  </si>
  <si>
    <t>Not a direct configuration item - enhancement of PS-06 (Access Agreements): 'Classified Information'; signed access agreements.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</si>
  <si>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PS-06: 'Classified Information' - </t>
    </r>
    <r>
      <rPr>
        <rFont val="FreeSans"/>
        <color theme="1"/>
        <sz val="14.0"/>
      </rPr>
      <t>ข้อตกลงการเข้าถึงที่ลงนามแล้ว</t>
    </r>
  </si>
  <si>
    <t>ESBIT-PS-06(03)</t>
  </si>
  <si>
    <t>PS-06(03)</t>
  </si>
  <si>
    <t>Access Agreements | Post-employment Requirements</t>
  </si>
  <si>
    <t>Not a direct configuration item - enhancement of PS-06 (Access Agreements): 'Post-employment Requirements'; signed access agreements.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</si>
  <si>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PS-06: 'Post-employment Requirements' - </t>
    </r>
    <r>
      <rPr>
        <rFont val="FreeSans"/>
        <color theme="1"/>
        <sz val="14.0"/>
      </rPr>
      <t>ข้อตกลงการเข้าถึงที่ลงนามแล้ว</t>
    </r>
  </si>
  <si>
    <t>ESBIT-PS-07</t>
  </si>
  <si>
    <t>PS-07</t>
  </si>
  <si>
    <t>External Personnel Security</t>
  </si>
  <si>
    <t>Not a direct configuration item - security requirements for external personnel</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</si>
  <si>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ข้อกำหนดด้านความปลอดภัยสำหรับบุคลากรภายนอก</t>
    </r>
  </si>
  <si>
    <t>ESBIT-PS-08</t>
  </si>
  <si>
    <t>PS-08</t>
  </si>
  <si>
    <t>Personnel Sanctions</t>
  </si>
  <si>
    <t>Not a direct configuration item - formal sanctions for policy violations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</si>
  <si>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มาตรการลงโทษเมื่อฝ่าฝืนนโยบาย</t>
    </r>
  </si>
  <si>
    <t>ESBIT-PS-09</t>
  </si>
  <si>
    <t>PS-09</t>
  </si>
  <si>
    <t>Position Descriptions</t>
  </si>
  <si>
    <t>Not a direct configuration item - security roles in position descriptions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</si>
  <si>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การระบุบทบาทด้านความมั่นคงปลอดภัยในคำบรรยายตำแหน่ง</t>
    </r>
  </si>
  <si>
    <t>ESBIT-PT-01</t>
  </si>
  <si>
    <t>PT-01</t>
  </si>
  <si>
    <t>Not a direct configuration item - define, document, review and communicate the PII Processing and Transparency policy and procedures that drive the technical configuration standards.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</si>
  <si>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กำหนด จัดทำเอกสาร และทบทวนนโยบาย</t>
    </r>
    <r>
      <rPr>
        <rFont val="Calibri"/>
        <color theme="1"/>
        <sz val="14.0"/>
      </rPr>
      <t>/</t>
    </r>
    <r>
      <rPr>
        <rFont val="FreeSans"/>
        <color theme="1"/>
        <sz val="14.0"/>
      </rPr>
      <t xml:space="preserve">ขั้นตอนของหมวดการประมวลผล </t>
    </r>
    <r>
      <rPr>
        <rFont val="Calibri"/>
        <color theme="1"/>
        <sz val="14.0"/>
      </rPr>
      <t xml:space="preserve">PII </t>
    </r>
    <r>
      <rPr>
        <rFont val="FreeSans"/>
        <color theme="1"/>
        <sz val="14.0"/>
      </rPr>
      <t xml:space="preserve">และความโปร่งใส เพื่อเป็นฐานในการกำหนดมาตรฐาน </t>
    </r>
    <r>
      <rPr>
        <rFont val="Calibri"/>
        <color theme="1"/>
        <sz val="14.0"/>
      </rPr>
      <t>Config</t>
    </r>
  </si>
  <si>
    <t>ESBIT-PT-02</t>
  </si>
  <si>
    <t>PT-02</t>
  </si>
  <si>
    <t>Authority to Process Personally Identifiable Information</t>
  </si>
  <si>
    <t>Not a direct configuration item - legal authority to process PII</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</si>
  <si>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อำนาจตามกฎหมายในการประมวลผล </t>
    </r>
    <r>
      <rPr>
        <rFont val="Calibri"/>
        <color theme="1"/>
        <sz val="14.0"/>
      </rPr>
      <t>PII</t>
    </r>
  </si>
  <si>
    <t>ESBIT-PT-02(01)</t>
  </si>
  <si>
    <t>PT-02(01)</t>
  </si>
  <si>
    <t>Authority to Process Personally Identifiable Information | Data Tagging</t>
  </si>
  <si>
    <t>Not a direct configuration item - enhancement of PT-02 (Authority to Process Personally Identifiable Information): 'Data Tagging'; legal authority to process PII.</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</si>
  <si>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PT-02: 'Data Tagging' - </t>
    </r>
    <r>
      <rPr>
        <rFont val="FreeSans"/>
        <color theme="1"/>
        <sz val="14.0"/>
      </rPr>
      <t xml:space="preserve">อำนาจตามกฎหมายในการประมวลผล </t>
    </r>
    <r>
      <rPr>
        <rFont val="Calibri"/>
        <color theme="1"/>
        <sz val="14.0"/>
      </rPr>
      <t>PII</t>
    </r>
  </si>
  <si>
    <t>ESBIT-PT-02(02)</t>
  </si>
  <si>
    <t>PT-02(02)</t>
  </si>
  <si>
    <t>Authority to Process Personally Identifiable Information | Automation</t>
  </si>
  <si>
    <t>Not a direct configuration item - enhancement of PT-02 (Authority to Process Personally Identifiable Information): 'Automation'; legal authority to process PII.</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</si>
  <si>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PT-02: 'Automation' - </t>
    </r>
    <r>
      <rPr>
        <rFont val="FreeSans"/>
        <color theme="1"/>
        <sz val="14.0"/>
      </rPr>
      <t xml:space="preserve">อำนาจตามกฎหมายในการประมวลผล </t>
    </r>
    <r>
      <rPr>
        <rFont val="Calibri"/>
        <color theme="1"/>
        <sz val="14.0"/>
      </rPr>
      <t>PII</t>
    </r>
  </si>
  <si>
    <t>ESBIT-PT-03</t>
  </si>
  <si>
    <t>PT-03</t>
  </si>
  <si>
    <t>Personally Identifiable Information Processing Purposes</t>
  </si>
  <si>
    <t>Not a direct configuration item - documenting purposes of PII processing</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</si>
  <si>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การบันทึกวัตถุประสงค์การประมวลผล </t>
    </r>
    <r>
      <rPr>
        <rFont val="Calibri"/>
        <color theme="1"/>
        <sz val="14.0"/>
      </rPr>
      <t>PII</t>
    </r>
  </si>
  <si>
    <t>ESBIT-PT-03(01)</t>
  </si>
  <si>
    <t>PT-03(01)</t>
  </si>
  <si>
    <t>Personally Identifiable Information Processing Purposes | Data Tagging</t>
  </si>
  <si>
    <t>Not a direct configuration item - enhancement of PT-03 (Personally Identifiable Information Processing Purposes): 'Data Tagging'; documenting purposes of PII processing.</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</si>
  <si>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PT-03: 'Data Tagging' - </t>
    </r>
    <r>
      <rPr>
        <rFont val="FreeSans"/>
        <color theme="1"/>
        <sz val="14.0"/>
      </rPr>
      <t xml:space="preserve">การบันทึกวัตถุประสงค์การประมวลผล </t>
    </r>
    <r>
      <rPr>
        <rFont val="Calibri"/>
        <color theme="1"/>
        <sz val="14.0"/>
      </rPr>
      <t>PII</t>
    </r>
  </si>
  <si>
    <t>ESBIT-PT-03(02)</t>
  </si>
  <si>
    <t>PT-03(02)</t>
  </si>
  <si>
    <t>Personally Identifiable Information Processing Purposes | Automation</t>
  </si>
  <si>
    <t>Not a direct configuration item - enhancement of PT-03 (Personally Identifiable Information Processing Purposes): 'Automation'; documenting purposes of PII processing.</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</si>
  <si>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PT-03: 'Automation' - </t>
    </r>
    <r>
      <rPr>
        <rFont val="FreeSans"/>
        <color theme="1"/>
        <sz val="14.0"/>
      </rPr>
      <t xml:space="preserve">การบันทึกวัตถุประสงค์การประมวลผล </t>
    </r>
    <r>
      <rPr>
        <rFont val="Calibri"/>
        <color theme="1"/>
        <sz val="14.0"/>
      </rPr>
      <t>PII</t>
    </r>
  </si>
  <si>
    <t>ESBIT-PT-04</t>
  </si>
  <si>
    <t>PT-04</t>
  </si>
  <si>
    <t>Consent</t>
  </si>
  <si>
    <t>Not a direct configuration item - consent mechanisms for PII processing</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</si>
  <si>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กลไกขอความยินยอมในการประมวลผล </t>
    </r>
    <r>
      <rPr>
        <rFont val="Calibri"/>
        <color theme="1"/>
        <sz val="14.0"/>
      </rPr>
      <t>PII</t>
    </r>
  </si>
  <si>
    <t>ESBIT-PT-04(01)</t>
  </si>
  <si>
    <t>PT-04(01)</t>
  </si>
  <si>
    <t>Consent | Tailored Consent</t>
  </si>
  <si>
    <t>Not a direct configuration item - enhancement of PT-04 (Consent): 'Tailored Consent'; consent mechanisms for PII processing.</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</si>
  <si>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PT-04: 'Tailored Consent' - </t>
    </r>
    <r>
      <rPr>
        <rFont val="FreeSans"/>
        <color theme="1"/>
        <sz val="14.0"/>
      </rPr>
      <t xml:space="preserve">กลไกขอความยินยอมในการประมวลผล </t>
    </r>
    <r>
      <rPr>
        <rFont val="Calibri"/>
        <color theme="1"/>
        <sz val="14.0"/>
      </rPr>
      <t>PII</t>
    </r>
  </si>
  <si>
    <t>ESBIT-PT-04(02)</t>
  </si>
  <si>
    <t>PT-04(02)</t>
  </si>
  <si>
    <t>Consent | Just-in-time Consent</t>
  </si>
  <si>
    <t>Not a direct configuration item - enhancement of PT-04 (Consent): 'Just-in-time Consent'; consent mechanisms for PII processing.</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</si>
  <si>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PT-04: 'Just-in-time Consent' - </t>
    </r>
    <r>
      <rPr>
        <rFont val="FreeSans"/>
        <color theme="1"/>
        <sz val="14.0"/>
      </rPr>
      <t xml:space="preserve">กลไกขอความยินยอมในการประมวลผล </t>
    </r>
    <r>
      <rPr>
        <rFont val="Calibri"/>
        <color theme="1"/>
        <sz val="14.0"/>
      </rPr>
      <t>PII</t>
    </r>
  </si>
  <si>
    <t>ESBIT-PT-04(03)</t>
  </si>
  <si>
    <t>PT-04(03)</t>
  </si>
  <si>
    <t>Consent | Revocation</t>
  </si>
  <si>
    <t>Not a direct configuration item - enhancement of PT-04 (Consent): 'Revocation'; consent mechanisms for PII processing.</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</si>
  <si>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PT-04: 'Revocation' - </t>
    </r>
    <r>
      <rPr>
        <rFont val="FreeSans"/>
        <color theme="1"/>
        <sz val="14.0"/>
      </rPr>
      <t xml:space="preserve">กลไกขอความยินยอมในการประมวลผล </t>
    </r>
    <r>
      <rPr>
        <rFont val="Calibri"/>
        <color theme="1"/>
        <sz val="14.0"/>
      </rPr>
      <t>PII</t>
    </r>
  </si>
  <si>
    <t>ESBIT-PT-05</t>
  </si>
  <si>
    <t>PT-05</t>
  </si>
  <si>
    <t>Privacy Notice</t>
  </si>
  <si>
    <t>Not a direct configuration item - privacy notices to individuals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</si>
  <si>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ประกาศความเป็นส่วนตัวถึงเจ้าของข้อมูล</t>
    </r>
  </si>
  <si>
    <t>ESBIT-PT-05(01)</t>
  </si>
  <si>
    <t>PT-05(01)</t>
  </si>
  <si>
    <t>Privacy Notice | Just-in-time Notice</t>
  </si>
  <si>
    <t>Not a direct configuration item - enhancement of PT-05 (Privacy Notice): 'Just-in-time Notice'; privacy notices to individuals.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</si>
  <si>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PT-05: 'Just-in-time Notice' - </t>
    </r>
    <r>
      <rPr>
        <rFont val="FreeSans"/>
        <color theme="1"/>
        <sz val="14.0"/>
      </rPr>
      <t>ประกาศความเป็นส่วนตัวถึงเจ้าของข้อมูล</t>
    </r>
  </si>
  <si>
    <t>ESBIT-PT-05(02)</t>
  </si>
  <si>
    <t>PT-05(02)</t>
  </si>
  <si>
    <t>Privacy Notice | Privacy Act Statements</t>
  </si>
  <si>
    <t>Not a direct configuration item - enhancement of PT-05 (Privacy Notice): 'Privacy Act Statements'; privacy notices to individuals.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</si>
  <si>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PT-05: 'Privacy Act Statements' - </t>
    </r>
    <r>
      <rPr>
        <rFont val="FreeSans"/>
        <color theme="1"/>
        <sz val="14.0"/>
      </rPr>
      <t>ประกาศความเป็นส่วนตัวถึงเจ้าของข้อมูล</t>
    </r>
  </si>
  <si>
    <t>ESBIT-PT-06</t>
  </si>
  <si>
    <t>PT-06</t>
  </si>
  <si>
    <t>System of Records Notice</t>
  </si>
  <si>
    <t>Not a direct configuration item - system of records notice publication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</si>
  <si>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การประกาศระบบทะเบียนข้อมูลส่วนบุคคล</t>
    </r>
  </si>
  <si>
    <t>ESBIT-PT-06(01)</t>
  </si>
  <si>
    <t>PT-06(01)</t>
  </si>
  <si>
    <t>System of Records Notice | Publication</t>
  </si>
  <si>
    <t>Not a direct configuration item - enhancement of PT-06 (System of Records Notice): 'Publication'; system of records notice publication.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</si>
  <si>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PT-06: 'Publication' - </t>
    </r>
    <r>
      <rPr>
        <rFont val="FreeSans"/>
        <color theme="1"/>
        <sz val="14.0"/>
      </rPr>
      <t>การประกาศระบบทะเบียนข้อมูลส่วนบุคคล</t>
    </r>
  </si>
  <si>
    <t>ESBIT-PT-06(02)</t>
  </si>
  <si>
    <t>PT-06(02)</t>
  </si>
  <si>
    <t>System of Records Notice | Review</t>
  </si>
  <si>
    <t>Not a direct configuration item - enhancement of PT-06 (System of Records Notice): 'Review'; system of records notice publication.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</si>
  <si>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PT-06: 'Review' - </t>
    </r>
    <r>
      <rPr>
        <rFont val="FreeSans"/>
        <color theme="1"/>
        <sz val="14.0"/>
      </rPr>
      <t>การประกาศระบบทะเบียนข้อมูลส่วนบุคคล</t>
    </r>
  </si>
  <si>
    <t>ESBIT-PT-07</t>
  </si>
  <si>
    <t>PT-07</t>
  </si>
  <si>
    <t>Specific Categories of Personally Identifiable Information</t>
  </si>
  <si>
    <t>Not a direct configuration item - handling special categories of PII</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</si>
  <si>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การจัดการข้อมูลส่วนบุคคลประเภทพิเศษ</t>
    </r>
  </si>
  <si>
    <t>ESBIT-PT-07(01)</t>
  </si>
  <si>
    <t>PT-07(01)</t>
  </si>
  <si>
    <t>Specific Categories of Personally Identifiable Information | Social Security Numbers</t>
  </si>
  <si>
    <t>Not a direct configuration item - enhancement of PT-07 (Specific Categories of Personally Identifiable Information): 'Social Security Numbers'; handling special categories of PII.</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</si>
  <si>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PT-07: 'Social Security Numbers' - </t>
    </r>
    <r>
      <rPr>
        <rFont val="FreeSans"/>
        <color theme="1"/>
        <sz val="14.0"/>
      </rPr>
      <t>การจัดการข้อมูลส่วนบุคคลประเภทพิเศษ</t>
    </r>
  </si>
  <si>
    <t>ESBIT-PT-07(02)</t>
  </si>
  <si>
    <t>PT-07(02)</t>
  </si>
  <si>
    <t>Specific Categories of Personally Identifiable Information | First Amendment Information</t>
  </si>
  <si>
    <t>Not a direct configuration item - enhancement of PT-07 (Specific Categories of Personally Identifiable Information): 'First Amendment Information'; handling special categories of PII.</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</si>
  <si>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PT-07: 'First Amendment Information' - </t>
    </r>
    <r>
      <rPr>
        <rFont val="FreeSans"/>
        <color theme="1"/>
        <sz val="14.0"/>
      </rPr>
      <t>การจัดการข้อมูลส่วนบุคคลประเภทพิเศษ</t>
    </r>
  </si>
  <si>
    <t>ESBIT-PT-08</t>
  </si>
  <si>
    <t>PT-08</t>
  </si>
  <si>
    <t>Computer Matching Requirements</t>
  </si>
  <si>
    <t>Not a direct configuration item - computer matching agreements and reviews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</si>
  <si>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ข้อตกลงและการทบทวนการจับคู่ข้อมูลด้วยคอมพิวเตอร์</t>
    </r>
  </si>
  <si>
    <t>ESBIT-RA-01</t>
  </si>
  <si>
    <t>RA-01</t>
  </si>
  <si>
    <t>Not a direct configuration item - define, document, review and communicate the Risk Assessment policy and procedures that drive the technical configuration standards.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</si>
  <si>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กำหนด จัดทำเอกสาร และทบทวนนโยบาย</t>
    </r>
    <r>
      <rPr>
        <rFont val="Calibri"/>
        <color theme="1"/>
        <sz val="14.0"/>
      </rPr>
      <t>/</t>
    </r>
    <r>
      <rPr>
        <rFont val="FreeSans"/>
        <color theme="1"/>
        <sz val="14.0"/>
      </rPr>
      <t xml:space="preserve">ขั้นตอนของหมวดการประเมินความเสี่ยง เพื่อเป็นฐานในการกำหนดมาตรฐาน </t>
    </r>
    <r>
      <rPr>
        <rFont val="Calibri"/>
        <color theme="1"/>
        <sz val="14.0"/>
      </rPr>
      <t>Config</t>
    </r>
  </si>
  <si>
    <t>ESBIT-RA-02</t>
  </si>
  <si>
    <t>RA-02</t>
  </si>
  <si>
    <t>Security Categorization</t>
  </si>
  <si>
    <t>ID.AM-05</t>
  </si>
  <si>
    <t>Assets are prioritized based on classification, criticality, resources, and impact on the mission</t>
  </si>
  <si>
    <t>Not a direct configuration item - categorizing systems and data by impact level</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</si>
  <si>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การจัดชั้นระบบและข้อมูลตามระดับผลกระทบ</t>
    </r>
  </si>
  <si>
    <t>ESBIT-RA-02(01)</t>
  </si>
  <si>
    <t>RA-02(01)</t>
  </si>
  <si>
    <t>Security Categorization | Impact-level Prioritization</t>
  </si>
  <si>
    <t>Not a direct configuration item - enhancement of RA-02 (Security Categorization): 'Impact-level Prioritization'; categorizing systems and data by impact level.</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</si>
  <si>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RA-02: 'Impact-level Prioritization' - </t>
    </r>
    <r>
      <rPr>
        <rFont val="FreeSans"/>
        <color theme="1"/>
        <sz val="14.0"/>
      </rPr>
      <t>การจัดชั้นระบบและข้อมูลตามระดับผลกระทบ</t>
    </r>
  </si>
  <si>
    <t>ESBIT-RA-03</t>
  </si>
  <si>
    <t>RA-03</t>
  </si>
  <si>
    <t>Risk Assessment</t>
  </si>
  <si>
    <t>ID.RA-05</t>
  </si>
  <si>
    <t>Threats, vulnerabilities, likelihoods, and impacts are used to understand inherent risk and inform risk response prioritization</t>
  </si>
  <si>
    <t>Not a direct configuration item - periodic risk assessment of threats and vulnerabilities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</si>
  <si>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การประเมินความเสี่ยงเป็นระยะ</t>
    </r>
  </si>
  <si>
    <t>ESBIT-RA-03(01)</t>
  </si>
  <si>
    <t>RA-03(01)</t>
  </si>
  <si>
    <t>Risk Assessment | Supply Chain Risk Assessment</t>
  </si>
  <si>
    <t>Not a direct configuration item - enhancement of RA-03 (Risk Assessment): 'Supply Chain Risk Assessment'; periodic risk assessment of threats and vulnerabilities.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</si>
  <si>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RA-03: 'Supply Chain Risk Assessment' - </t>
    </r>
    <r>
      <rPr>
        <rFont val="FreeSans"/>
        <color theme="1"/>
        <sz val="14.0"/>
      </rPr>
      <t>การประเมินความเสี่ยงเป็นระยะ</t>
    </r>
  </si>
  <si>
    <t>ESBIT-RA-03(02)</t>
  </si>
  <si>
    <t>RA-03(02)</t>
  </si>
  <si>
    <t>Risk Assessment | Use of All-source Intelligence</t>
  </si>
  <si>
    <t>Not a direct configuration item - enhancement of RA-03 (Risk Assessment): 'Use of All-source Intelligence'; periodic risk assessment of threats and vulnerabilities.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</si>
  <si>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RA-03: 'Use of All-source Intelligence' - </t>
    </r>
    <r>
      <rPr>
        <rFont val="FreeSans"/>
        <color theme="1"/>
        <sz val="14.0"/>
      </rPr>
      <t>การประเมินความเสี่ยงเป็นระยะ</t>
    </r>
  </si>
  <si>
    <t>ESBIT-RA-03(03)</t>
  </si>
  <si>
    <t>RA-03(03)</t>
  </si>
  <si>
    <t>Risk Assessment | Dynamic Threat Awareness</t>
  </si>
  <si>
    <t>Not a direct configuration item - enhancement of RA-03 (Risk Assessment): 'Dynamic Threat Awareness'; periodic risk assessment of threats and vulnerabilities.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</si>
  <si>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RA-03: 'Dynamic Threat Awareness' - </t>
    </r>
    <r>
      <rPr>
        <rFont val="FreeSans"/>
        <color theme="1"/>
        <sz val="14.0"/>
      </rPr>
      <t>การประเมินความเสี่ยงเป็นระยะ</t>
    </r>
  </si>
  <si>
    <t>ESBIT-RA-03(04)</t>
  </si>
  <si>
    <t>RA-03(04)</t>
  </si>
  <si>
    <t>Risk Assessment | Predictive Cyber Analytics</t>
  </si>
  <si>
    <t>Not a direct configuration item - enhancement of RA-03 (Risk Assessment): 'Predictive Cyber Analytics'; periodic risk assessment of threats and vulnerabilities.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</si>
  <si>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RA-03: 'Predictive Cyber Analytics' - </t>
    </r>
    <r>
      <rPr>
        <rFont val="FreeSans"/>
        <color theme="1"/>
        <sz val="14.0"/>
      </rPr>
      <t>การประเมินความเสี่ยงเป็นระยะ</t>
    </r>
  </si>
  <si>
    <t>ESBIT-RA-05</t>
  </si>
  <si>
    <t>RA-05</t>
  </si>
  <si>
    <t>Vulnerability Monitoring and Scanning</t>
  </si>
  <si>
    <t>Configure authenticated vulnerability scanners, scan scope and frequency, and remediation SLA tracking for servers, network, apps and cloud</t>
  </si>
  <si>
    <r>
      <rPr>
        <rFont val="FreeSans"/>
        <color theme="1"/>
        <sz val="14.0"/>
      </rPr>
      <t xml:space="preserve">ตั้งค่า </t>
    </r>
    <r>
      <rPr>
        <rFont val="Calibri"/>
        <color theme="1"/>
        <sz val="14.0"/>
      </rPr>
      <t xml:space="preserve">Vulnerability Scanner </t>
    </r>
    <r>
      <rPr>
        <rFont val="FreeSans"/>
        <color theme="1"/>
        <sz val="14.0"/>
      </rPr>
      <t xml:space="preserve">แบบ </t>
    </r>
    <r>
      <rPr>
        <rFont val="Calibri"/>
        <color theme="1"/>
        <sz val="14.0"/>
      </rPr>
      <t xml:space="preserve">Authenticated </t>
    </r>
    <r>
      <rPr>
        <rFont val="FreeSans"/>
        <color theme="1"/>
        <sz val="14.0"/>
      </rPr>
      <t xml:space="preserve">ขอบเขต ความถี่ และ </t>
    </r>
    <r>
      <rPr>
        <rFont val="Calibri"/>
        <color theme="1"/>
        <sz val="14.0"/>
      </rPr>
      <t xml:space="preserve">SLA </t>
    </r>
    <r>
      <rPr>
        <rFont val="FreeSans"/>
        <color theme="1"/>
        <sz val="14.0"/>
      </rPr>
      <t xml:space="preserve">การแก้ไขสำหรับเซิร์ฟเวอร์ เครือข่าย แอป และ </t>
    </r>
    <r>
      <rPr>
        <rFont val="Calibri"/>
        <color theme="1"/>
        <sz val="14.0"/>
      </rPr>
      <t>Cloud</t>
    </r>
  </si>
  <si>
    <t>Infrastructure (Server/OS), Network, Application/Software, Cloud, Database</t>
  </si>
  <si>
    <t>ESBIT-RA-05(02)</t>
  </si>
  <si>
    <t>RA-05(02)</t>
  </si>
  <si>
    <t>Vulnerability Monitoring and Scanning | Update Vulnerabilities to Be Scanned</t>
  </si>
  <si>
    <t>Enhances RA-05 (Vulnerability Monitoring and Scanning): configure and enforce 'Update Vulnerabilities to Be Scanned' in addition to the base setting, keep it consistent across applicable systems and document approved exceptions. Base scope: Configure authenticated vulnerability scanners, scan scope and frequency, and remediation SLA tracking for servers, network, apps and cloud</t>
  </si>
  <si>
    <r>
      <rPr>
        <rFont val="FreeSans"/>
        <color theme="1"/>
        <sz val="14.0"/>
      </rPr>
      <t xml:space="preserve">ส่วนขยายของ </t>
    </r>
    <r>
      <rPr>
        <rFont val="Calibri"/>
        <color theme="1"/>
        <sz val="14.0"/>
      </rPr>
      <t xml:space="preserve">RA-05: </t>
    </r>
    <r>
      <rPr>
        <rFont val="FreeSans"/>
        <color theme="1"/>
        <sz val="14.0"/>
      </rPr>
      <t xml:space="preserve">กำหนดค่าและบังคับใช้ </t>
    </r>
    <r>
      <rPr>
        <rFont val="Calibri"/>
        <color theme="1"/>
        <sz val="14.0"/>
      </rPr>
      <t xml:space="preserve">'Update Vulnerabilities to Be Scanned'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Vulnerability Scanner </t>
    </r>
    <r>
      <rPr>
        <rFont val="FreeSans"/>
        <color theme="1"/>
        <sz val="14.0"/>
      </rPr>
      <t xml:space="preserve">แบบ </t>
    </r>
    <r>
      <rPr>
        <rFont val="Calibri"/>
        <color theme="1"/>
        <sz val="14.0"/>
      </rPr>
      <t xml:space="preserve">Authenticated </t>
    </r>
    <r>
      <rPr>
        <rFont val="FreeSans"/>
        <color theme="1"/>
        <sz val="14.0"/>
      </rPr>
      <t xml:space="preserve">ขอบเขต ความถี่ และ </t>
    </r>
    <r>
      <rPr>
        <rFont val="Calibri"/>
        <color theme="1"/>
        <sz val="14.0"/>
      </rPr>
      <t xml:space="preserve">SLA </t>
    </r>
    <r>
      <rPr>
        <rFont val="FreeSans"/>
        <color theme="1"/>
        <sz val="14.0"/>
      </rPr>
      <t xml:space="preserve">การแก้ไขสำหรับเซิร์ฟเวอร์ เครือข่าย แอป และ </t>
    </r>
    <r>
      <rPr>
        <rFont val="Calibri"/>
        <color theme="1"/>
        <sz val="14.0"/>
      </rPr>
      <t>Cloud</t>
    </r>
  </si>
  <si>
    <t>ESBIT-RA-05(03)</t>
  </si>
  <si>
    <t>RA-05(03)</t>
  </si>
  <si>
    <t>Vulnerability Monitoring and Scanning | Breadth and Depth of Coverage</t>
  </si>
  <si>
    <t>Enhances RA-05 (Vulnerability Monitoring and Scanning): configure and enforce 'Breadth and Depth of Coverage' in addition to the base setting, keep it consistent across applicable systems and document approved exceptions. Base scope: Configure authenticated vulnerability scanners, scan scope and frequency, and remediation SLA tracking for servers, network, apps and cloud</t>
  </si>
  <si>
    <r>
      <rPr>
        <rFont val="FreeSans"/>
        <color theme="1"/>
        <sz val="14.0"/>
      </rPr>
      <t xml:space="preserve">ส่วนขยายของ </t>
    </r>
    <r>
      <rPr>
        <rFont val="Calibri"/>
        <color theme="1"/>
        <sz val="14.0"/>
      </rPr>
      <t xml:space="preserve">RA-05: </t>
    </r>
    <r>
      <rPr>
        <rFont val="FreeSans"/>
        <color theme="1"/>
        <sz val="14.0"/>
      </rPr>
      <t xml:space="preserve">กำหนดค่าและบังคับใช้ </t>
    </r>
    <r>
      <rPr>
        <rFont val="Calibri"/>
        <color theme="1"/>
        <sz val="14.0"/>
      </rPr>
      <t xml:space="preserve">'Breadth and Depth of Coverage'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Vulnerability Scanner </t>
    </r>
    <r>
      <rPr>
        <rFont val="FreeSans"/>
        <color theme="1"/>
        <sz val="14.0"/>
      </rPr>
      <t xml:space="preserve">แบบ </t>
    </r>
    <r>
      <rPr>
        <rFont val="Calibri"/>
        <color theme="1"/>
        <sz val="14.0"/>
      </rPr>
      <t xml:space="preserve">Authenticated </t>
    </r>
    <r>
      <rPr>
        <rFont val="FreeSans"/>
        <color theme="1"/>
        <sz val="14.0"/>
      </rPr>
      <t xml:space="preserve">ขอบเขต ความถี่ และ </t>
    </r>
    <r>
      <rPr>
        <rFont val="Calibri"/>
        <color theme="1"/>
        <sz val="14.0"/>
      </rPr>
      <t xml:space="preserve">SLA </t>
    </r>
    <r>
      <rPr>
        <rFont val="FreeSans"/>
        <color theme="1"/>
        <sz val="14.0"/>
      </rPr>
      <t xml:space="preserve">การแก้ไขสำหรับเซิร์ฟเวอร์ เครือข่าย แอป และ </t>
    </r>
    <r>
      <rPr>
        <rFont val="Calibri"/>
        <color theme="1"/>
        <sz val="14.0"/>
      </rPr>
      <t>Cloud</t>
    </r>
  </si>
  <si>
    <t>ESBIT-RA-05(04)</t>
  </si>
  <si>
    <t>RA-05(04)</t>
  </si>
  <si>
    <t>Vulnerability Monitoring and Scanning | Discoverable Information</t>
  </si>
  <si>
    <t>Enhances RA-05 (Vulnerability Monitoring and Scanning): configure and enforce 'Discoverable Information' in addition to the base setting, keep it consistent across applicable systems and document approved exceptions. Base scope: Configure authenticated vulnerability scanners, scan scope and frequency, and remediation SLA tracking for servers, network, apps and cloud</t>
  </si>
  <si>
    <r>
      <rPr>
        <rFont val="FreeSans"/>
        <color theme="1"/>
        <sz val="14.0"/>
      </rPr>
      <t xml:space="preserve">ส่วนขยายของ </t>
    </r>
    <r>
      <rPr>
        <rFont val="Calibri"/>
        <color theme="1"/>
        <sz val="14.0"/>
      </rPr>
      <t xml:space="preserve">RA-05: </t>
    </r>
    <r>
      <rPr>
        <rFont val="FreeSans"/>
        <color theme="1"/>
        <sz val="14.0"/>
      </rPr>
      <t xml:space="preserve">กำหนดค่าและบังคับใช้ </t>
    </r>
    <r>
      <rPr>
        <rFont val="Calibri"/>
        <color theme="1"/>
        <sz val="14.0"/>
      </rPr>
      <t xml:space="preserve">'Discoverable Information'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Vulnerability Scanner </t>
    </r>
    <r>
      <rPr>
        <rFont val="FreeSans"/>
        <color theme="1"/>
        <sz val="14.0"/>
      </rPr>
      <t xml:space="preserve">แบบ </t>
    </r>
    <r>
      <rPr>
        <rFont val="Calibri"/>
        <color theme="1"/>
        <sz val="14.0"/>
      </rPr>
      <t xml:space="preserve">Authenticated </t>
    </r>
    <r>
      <rPr>
        <rFont val="FreeSans"/>
        <color theme="1"/>
        <sz val="14.0"/>
      </rPr>
      <t xml:space="preserve">ขอบเขต ความถี่ และ </t>
    </r>
    <r>
      <rPr>
        <rFont val="Calibri"/>
        <color theme="1"/>
        <sz val="14.0"/>
      </rPr>
      <t xml:space="preserve">SLA </t>
    </r>
    <r>
      <rPr>
        <rFont val="FreeSans"/>
        <color theme="1"/>
        <sz val="14.0"/>
      </rPr>
      <t xml:space="preserve">การแก้ไขสำหรับเซิร์ฟเวอร์ เครือข่าย แอป และ </t>
    </r>
    <r>
      <rPr>
        <rFont val="Calibri"/>
        <color theme="1"/>
        <sz val="14.0"/>
      </rPr>
      <t>Cloud</t>
    </r>
  </si>
  <si>
    <t>ESBIT-RA-05(05)</t>
  </si>
  <si>
    <t>RA-05(05)</t>
  </si>
  <si>
    <t>Vulnerability Monitoring and Scanning | Privileged Access</t>
  </si>
  <si>
    <t>Enhances RA-05 (Vulnerability Monitoring and Scanning): configure and enforce 'Privileged Access' in addition to the base setting, keep it consistent across applicable systems and document approved exceptions. Base scope: Configure authenticated vulnerability scanners, scan scope and frequency, and remediation SLA tracking for servers, network, apps and cloud</t>
  </si>
  <si>
    <r>
      <rPr>
        <rFont val="FreeSans"/>
        <color theme="1"/>
        <sz val="14.0"/>
      </rPr>
      <t xml:space="preserve">ส่วนขยายของ </t>
    </r>
    <r>
      <rPr>
        <rFont val="Calibri"/>
        <color theme="1"/>
        <sz val="14.0"/>
      </rPr>
      <t xml:space="preserve">RA-05: </t>
    </r>
    <r>
      <rPr>
        <rFont val="FreeSans"/>
        <color theme="1"/>
        <sz val="14.0"/>
      </rPr>
      <t xml:space="preserve">กำหนดค่าและบังคับใช้ </t>
    </r>
    <r>
      <rPr>
        <rFont val="Calibri"/>
        <color theme="1"/>
        <sz val="14.0"/>
      </rPr>
      <t xml:space="preserve">'Privileged Access'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Vulnerability Scanner </t>
    </r>
    <r>
      <rPr>
        <rFont val="FreeSans"/>
        <color theme="1"/>
        <sz val="14.0"/>
      </rPr>
      <t xml:space="preserve">แบบ </t>
    </r>
    <r>
      <rPr>
        <rFont val="Calibri"/>
        <color theme="1"/>
        <sz val="14.0"/>
      </rPr>
      <t xml:space="preserve">Authenticated </t>
    </r>
    <r>
      <rPr>
        <rFont val="FreeSans"/>
        <color theme="1"/>
        <sz val="14.0"/>
      </rPr>
      <t xml:space="preserve">ขอบเขต ความถี่ และ </t>
    </r>
    <r>
      <rPr>
        <rFont val="Calibri"/>
        <color theme="1"/>
        <sz val="14.0"/>
      </rPr>
      <t xml:space="preserve">SLA </t>
    </r>
    <r>
      <rPr>
        <rFont val="FreeSans"/>
        <color theme="1"/>
        <sz val="14.0"/>
      </rPr>
      <t xml:space="preserve">การแก้ไขสำหรับเซิร์ฟเวอร์ เครือข่าย แอป และ </t>
    </r>
    <r>
      <rPr>
        <rFont val="Calibri"/>
        <color theme="1"/>
        <sz val="14.0"/>
      </rPr>
      <t>Cloud</t>
    </r>
  </si>
  <si>
    <t>ESBIT-RA-05(06)</t>
  </si>
  <si>
    <t>RA-05(06)</t>
  </si>
  <si>
    <t>Vulnerability Monitoring and Scanning | Automated Trend Analyses</t>
  </si>
  <si>
    <t>Enhances RA-05 (Vulnerability Monitoring and Scanning): configure and enforce 'Automated Trend Analyses' in addition to the base setting, keep it consistent across applicable systems and document approved exceptions. Base scope: Configure authenticated vulnerability scanners, scan scope and frequency, and remediation SLA tracking for servers, network, apps and cloud</t>
  </si>
  <si>
    <r>
      <rPr>
        <rFont val="FreeSans"/>
        <color theme="1"/>
        <sz val="14.0"/>
      </rPr>
      <t xml:space="preserve">ส่วนขยายของ </t>
    </r>
    <r>
      <rPr>
        <rFont val="Calibri"/>
        <color theme="1"/>
        <sz val="14.0"/>
      </rPr>
      <t xml:space="preserve">RA-05: </t>
    </r>
    <r>
      <rPr>
        <rFont val="FreeSans"/>
        <color theme="1"/>
        <sz val="14.0"/>
      </rPr>
      <t xml:space="preserve">กำหนดค่าและบังคับใช้ </t>
    </r>
    <r>
      <rPr>
        <rFont val="Calibri"/>
        <color theme="1"/>
        <sz val="14.0"/>
      </rPr>
      <t xml:space="preserve">'Automated Trend Analyses'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Vulnerability Scanner </t>
    </r>
    <r>
      <rPr>
        <rFont val="FreeSans"/>
        <color theme="1"/>
        <sz val="14.0"/>
      </rPr>
      <t xml:space="preserve">แบบ </t>
    </r>
    <r>
      <rPr>
        <rFont val="Calibri"/>
        <color theme="1"/>
        <sz val="14.0"/>
      </rPr>
      <t xml:space="preserve">Authenticated </t>
    </r>
    <r>
      <rPr>
        <rFont val="FreeSans"/>
        <color theme="1"/>
        <sz val="14.0"/>
      </rPr>
      <t xml:space="preserve">ขอบเขต ความถี่ และ </t>
    </r>
    <r>
      <rPr>
        <rFont val="Calibri"/>
        <color theme="1"/>
        <sz val="14.0"/>
      </rPr>
      <t xml:space="preserve">SLA </t>
    </r>
    <r>
      <rPr>
        <rFont val="FreeSans"/>
        <color theme="1"/>
        <sz val="14.0"/>
      </rPr>
      <t xml:space="preserve">การแก้ไขสำหรับเซิร์ฟเวอร์ เครือข่าย แอป และ </t>
    </r>
    <r>
      <rPr>
        <rFont val="Calibri"/>
        <color theme="1"/>
        <sz val="14.0"/>
      </rPr>
      <t>Cloud</t>
    </r>
  </si>
  <si>
    <t>ESBIT-RA-05(08)</t>
  </si>
  <si>
    <t>RA-05(08)</t>
  </si>
  <si>
    <t>Vulnerability Monitoring and Scanning | Review Historic Audit Logs</t>
  </si>
  <si>
    <t>Enhances RA-05 (Vulnerability Monitoring and Scanning): configure and enforce 'Review Historic Audit Logs' in addition to the base setting, keep it consistent across applicable systems and document approved exceptions. Base scope: Configure authenticated vulnerability scanners, scan scope and frequency, and remediation SLA tracking for servers, network, apps and cloud</t>
  </si>
  <si>
    <r>
      <rPr>
        <rFont val="FreeSans"/>
        <color theme="1"/>
        <sz val="14.0"/>
      </rPr>
      <t xml:space="preserve">ส่วนขยายของ </t>
    </r>
    <r>
      <rPr>
        <rFont val="Calibri"/>
        <color theme="1"/>
        <sz val="14.0"/>
      </rPr>
      <t xml:space="preserve">RA-05: </t>
    </r>
    <r>
      <rPr>
        <rFont val="FreeSans"/>
        <color theme="1"/>
        <sz val="14.0"/>
      </rPr>
      <t xml:space="preserve">กำหนดค่าและบังคับใช้ </t>
    </r>
    <r>
      <rPr>
        <rFont val="Calibri"/>
        <color theme="1"/>
        <sz val="14.0"/>
      </rPr>
      <t xml:space="preserve">'Review Historic Audit Logs'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Vulnerability Scanner </t>
    </r>
    <r>
      <rPr>
        <rFont val="FreeSans"/>
        <color theme="1"/>
        <sz val="14.0"/>
      </rPr>
      <t xml:space="preserve">แบบ </t>
    </r>
    <r>
      <rPr>
        <rFont val="Calibri"/>
        <color theme="1"/>
        <sz val="14.0"/>
      </rPr>
      <t xml:space="preserve">Authenticated </t>
    </r>
    <r>
      <rPr>
        <rFont val="FreeSans"/>
        <color theme="1"/>
        <sz val="14.0"/>
      </rPr>
      <t xml:space="preserve">ขอบเขต ความถี่ และ </t>
    </r>
    <r>
      <rPr>
        <rFont val="Calibri"/>
        <color theme="1"/>
        <sz val="14.0"/>
      </rPr>
      <t xml:space="preserve">SLA </t>
    </r>
    <r>
      <rPr>
        <rFont val="FreeSans"/>
        <color theme="1"/>
        <sz val="14.0"/>
      </rPr>
      <t xml:space="preserve">การแก้ไขสำหรับเซิร์ฟเวอร์ เครือข่าย แอป และ </t>
    </r>
    <r>
      <rPr>
        <rFont val="Calibri"/>
        <color theme="1"/>
        <sz val="14.0"/>
      </rPr>
      <t>Cloud</t>
    </r>
  </si>
  <si>
    <t>ESBIT-RA-05(10)</t>
  </si>
  <si>
    <t>RA-05(10)</t>
  </si>
  <si>
    <t>Vulnerability Monitoring and Scanning | Correlate Scanning Information</t>
  </si>
  <si>
    <t>Enhances RA-05 (Vulnerability Monitoring and Scanning): configure and enforce 'Correlate Scanning Information' in addition to the base setting, keep it consistent across applicable systems and document approved exceptions. Base scope: Configure authenticated vulnerability scanners, scan scope and frequency, and remediation SLA tracking for servers, network, apps and cloud</t>
  </si>
  <si>
    <r>
      <rPr>
        <rFont val="FreeSans"/>
        <color theme="1"/>
        <sz val="14.0"/>
      </rPr>
      <t xml:space="preserve">ส่วนขยายของ </t>
    </r>
    <r>
      <rPr>
        <rFont val="Calibri"/>
        <color theme="1"/>
        <sz val="14.0"/>
      </rPr>
      <t xml:space="preserve">RA-05: </t>
    </r>
    <r>
      <rPr>
        <rFont val="FreeSans"/>
        <color theme="1"/>
        <sz val="14.0"/>
      </rPr>
      <t xml:space="preserve">กำหนดค่าและบังคับใช้ </t>
    </r>
    <r>
      <rPr>
        <rFont val="Calibri"/>
        <color theme="1"/>
        <sz val="14.0"/>
      </rPr>
      <t xml:space="preserve">'Correlate Scanning Information'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Vulnerability Scanner </t>
    </r>
    <r>
      <rPr>
        <rFont val="FreeSans"/>
        <color theme="1"/>
        <sz val="14.0"/>
      </rPr>
      <t xml:space="preserve">แบบ </t>
    </r>
    <r>
      <rPr>
        <rFont val="Calibri"/>
        <color theme="1"/>
        <sz val="14.0"/>
      </rPr>
      <t xml:space="preserve">Authenticated </t>
    </r>
    <r>
      <rPr>
        <rFont val="FreeSans"/>
        <color theme="1"/>
        <sz val="14.0"/>
      </rPr>
      <t xml:space="preserve">ขอบเขต ความถี่ และ </t>
    </r>
    <r>
      <rPr>
        <rFont val="Calibri"/>
        <color theme="1"/>
        <sz val="14.0"/>
      </rPr>
      <t xml:space="preserve">SLA </t>
    </r>
    <r>
      <rPr>
        <rFont val="FreeSans"/>
        <color theme="1"/>
        <sz val="14.0"/>
      </rPr>
      <t xml:space="preserve">การแก้ไขสำหรับเซิร์ฟเวอร์ เครือข่าย แอป และ </t>
    </r>
    <r>
      <rPr>
        <rFont val="Calibri"/>
        <color theme="1"/>
        <sz val="14.0"/>
      </rPr>
      <t>Cloud</t>
    </r>
  </si>
  <si>
    <t>ESBIT-RA-05(11)</t>
  </si>
  <si>
    <t>RA-05(11)</t>
  </si>
  <si>
    <t>Vulnerability Monitoring and Scanning | Public Disclosure Program</t>
  </si>
  <si>
    <t>Enhances RA-05 (Vulnerability Monitoring and Scanning): configure and enforce 'Public Disclosure Program' in addition to the base setting, keep it consistent across applicable systems and document approved exceptions. Base scope: Configure authenticated vulnerability scanners, scan scope and frequency, and remediation SLA tracking for servers, network, apps and cloud</t>
  </si>
  <si>
    <r>
      <rPr>
        <rFont val="FreeSans"/>
        <color theme="1"/>
        <sz val="14.0"/>
      </rPr>
      <t xml:space="preserve">ส่วนขยายของ </t>
    </r>
    <r>
      <rPr>
        <rFont val="Calibri"/>
        <color theme="1"/>
        <sz val="14.0"/>
      </rPr>
      <t xml:space="preserve">RA-05: </t>
    </r>
    <r>
      <rPr>
        <rFont val="FreeSans"/>
        <color theme="1"/>
        <sz val="14.0"/>
      </rPr>
      <t xml:space="preserve">กำหนดค่าและบังคับใช้ </t>
    </r>
    <r>
      <rPr>
        <rFont val="Calibri"/>
        <color theme="1"/>
        <sz val="14.0"/>
      </rPr>
      <t xml:space="preserve">'Public Disclosure Program'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Vulnerability Scanner </t>
    </r>
    <r>
      <rPr>
        <rFont val="FreeSans"/>
        <color theme="1"/>
        <sz val="14.0"/>
      </rPr>
      <t xml:space="preserve">แบบ </t>
    </r>
    <r>
      <rPr>
        <rFont val="Calibri"/>
        <color theme="1"/>
        <sz val="14.0"/>
      </rPr>
      <t xml:space="preserve">Authenticated </t>
    </r>
    <r>
      <rPr>
        <rFont val="FreeSans"/>
        <color theme="1"/>
        <sz val="14.0"/>
      </rPr>
      <t xml:space="preserve">ขอบเขต ความถี่ และ </t>
    </r>
    <r>
      <rPr>
        <rFont val="Calibri"/>
        <color theme="1"/>
        <sz val="14.0"/>
      </rPr>
      <t xml:space="preserve">SLA </t>
    </r>
    <r>
      <rPr>
        <rFont val="FreeSans"/>
        <color theme="1"/>
        <sz val="14.0"/>
      </rPr>
      <t xml:space="preserve">การแก้ไขสำหรับเซิร์ฟเวอร์ เครือข่าย แอป และ </t>
    </r>
    <r>
      <rPr>
        <rFont val="Calibri"/>
        <color theme="1"/>
        <sz val="14.0"/>
      </rPr>
      <t>Cloud</t>
    </r>
  </si>
  <si>
    <t>ESBIT-RA-06</t>
  </si>
  <si>
    <t>RA-06</t>
  </si>
  <si>
    <t>Technical Surveillance Countermeasures Survey</t>
  </si>
  <si>
    <t>Not a direct configuration item - surveys to detect technical surveillance devices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</si>
  <si>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การสำรวจเพื่อตรวจจับอุปกรณ์แอบดักข้อมูล</t>
    </r>
  </si>
  <si>
    <t>ESBIT-RA-07</t>
  </si>
  <si>
    <t>RA-07</t>
  </si>
  <si>
    <t>Risk Response</t>
  </si>
  <si>
    <t>Not a direct configuration item - responding to assessed risk findings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</si>
  <si>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การตอบสนองต่อความเสี่ยงที่ประเมินได้</t>
    </r>
  </si>
  <si>
    <t>ESBIT-RA-08</t>
  </si>
  <si>
    <t>RA-08</t>
  </si>
  <si>
    <t>Privacy Impact Assessments</t>
  </si>
  <si>
    <t>ID.RA-04</t>
  </si>
  <si>
    <t>Potential impacts and likelihoods of threats exploiting vulnerabilities are identified and recorded</t>
  </si>
  <si>
    <t>Not a direct configuration item - privacy impact assessments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</si>
  <si>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การประเมินผลกระทบด้านความเป็นส่วนตัว</t>
    </r>
  </si>
  <si>
    <t>ESBIT-RA-09</t>
  </si>
  <si>
    <t>RA-09</t>
  </si>
  <si>
    <t>Criticality Analysis</t>
  </si>
  <si>
    <t>Not a direct configuration item - criticality analysis of systems and components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</si>
  <si>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การวิเคราะห์ความสำคัญของระบบและคอมโพเนนต์</t>
    </r>
  </si>
  <si>
    <t>ESBIT-RA-10</t>
  </si>
  <si>
    <t>RA-10</t>
  </si>
  <si>
    <t>Threat Hunting</t>
  </si>
  <si>
    <t>Configure telemetry, EDR and search tooling to support proactive threat hunting</t>
  </si>
  <si>
    <r>
      <rPr>
        <rFont val="FreeSans"/>
        <color theme="1"/>
        <sz val="14.0"/>
      </rPr>
      <t xml:space="preserve">ตั้งค่า </t>
    </r>
    <r>
      <rPr>
        <rFont val="Calibri"/>
        <color theme="1"/>
        <sz val="14.0"/>
      </rPr>
      <t xml:space="preserve">Telemetry EDR </t>
    </r>
    <r>
      <rPr>
        <rFont val="FreeSans"/>
        <color theme="1"/>
        <sz val="14.0"/>
      </rPr>
      <t xml:space="preserve">และเครื่องมือค้นหาเพื่อรองรับ </t>
    </r>
    <r>
      <rPr>
        <rFont val="Calibri"/>
        <color theme="1"/>
        <sz val="14.0"/>
      </rPr>
      <t>Threat Hunting</t>
    </r>
  </si>
  <si>
    <t>ESBIT-SA-01</t>
  </si>
  <si>
    <t>SA-01</t>
  </si>
  <si>
    <t>Not a direct configuration item - define, document, review and communicate the System and Services Acquisition policy and procedures that drive the technical configuration standards.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</si>
  <si>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กำหนด จัดทำเอกสาร และทบทวนนโยบาย</t>
    </r>
    <r>
      <rPr>
        <rFont val="Calibri"/>
        <color theme="1"/>
        <sz val="14.0"/>
      </rPr>
      <t>/</t>
    </r>
    <r>
      <rPr>
        <rFont val="FreeSans"/>
        <color theme="1"/>
        <sz val="14.0"/>
      </rPr>
      <t xml:space="preserve">ขั้นตอนของหมวดการจัดหาระบบและบริการ เพื่อเป็นฐานในการกำหนดมาตรฐาน </t>
    </r>
    <r>
      <rPr>
        <rFont val="Calibri"/>
        <color theme="1"/>
        <sz val="14.0"/>
      </rPr>
      <t>Config</t>
    </r>
  </si>
  <si>
    <t>ESBIT-SA-02</t>
  </si>
  <si>
    <t>SA-02</t>
  </si>
  <si>
    <t>Allocation of Resources</t>
  </si>
  <si>
    <t>Not a direct configuration item - allocating resources for security in acquisition and development</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</si>
  <si>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การจัดสรรทรัพยากรด้านความมั่นคงปลอดภัยในการจัดหาและพัฒนา</t>
    </r>
  </si>
  <si>
    <t>ESBIT-SA-03</t>
  </si>
  <si>
    <t>SA-03</t>
  </si>
  <si>
    <t>System Development Life Cycle</t>
  </si>
  <si>
    <t>PR.PS-06</t>
  </si>
  <si>
    <t>Secure software development practices are integrated, and their performance is monitored throughout the software development life cycle</t>
  </si>
  <si>
    <t>Not a direct configuration item - security integrated into the system development life cycle</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</si>
  <si>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การผนวกความปลอดภัยในวงจรพัฒนาระบบ</t>
    </r>
  </si>
  <si>
    <t>ESBIT-SA-03(01)</t>
  </si>
  <si>
    <t>SA-03(01)</t>
  </si>
  <si>
    <t>System Development Life Cycle | Manage Preproduction Environment</t>
  </si>
  <si>
    <t>Not a direct configuration item - enhancement of SA-03 (System Development Life Cycle): 'Manage Preproduction Environment'; security integrated into the system development life cycle.</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</si>
  <si>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SA-03: 'Manage Preproduction Environment' - </t>
    </r>
    <r>
      <rPr>
        <rFont val="FreeSans"/>
        <color theme="1"/>
        <sz val="14.0"/>
      </rPr>
      <t>การผนวกความปลอดภัยในวงจรพัฒนาระบบ</t>
    </r>
  </si>
  <si>
    <t>ESBIT-SA-03(02)</t>
  </si>
  <si>
    <t>SA-03(02)</t>
  </si>
  <si>
    <t>System Development Life Cycle | Use of Live or Operational Data</t>
  </si>
  <si>
    <t>Not a direct configuration item - enhancement of SA-03 (System Development Life Cycle): 'Use of Live or Operational Data'; security integrated into the system development life cycle.</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</si>
  <si>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SA-03: 'Use of Live or Operational Data' - </t>
    </r>
    <r>
      <rPr>
        <rFont val="FreeSans"/>
        <color theme="1"/>
        <sz val="14.0"/>
      </rPr>
      <t>การผนวกความปลอดภัยในวงจรพัฒนาระบบ</t>
    </r>
  </si>
  <si>
    <t>ESBIT-SA-03(03)</t>
  </si>
  <si>
    <t>SA-03(03)</t>
  </si>
  <si>
    <t>System Development Life Cycle | Technology Refresh</t>
  </si>
  <si>
    <t>Not a direct configuration item - enhancement of SA-03 (System Development Life Cycle): 'Technology Refresh'; security integrated into the system development life cycle.</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</si>
  <si>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SA-03: 'Technology Refresh' - </t>
    </r>
    <r>
      <rPr>
        <rFont val="FreeSans"/>
        <color theme="1"/>
        <sz val="14.0"/>
      </rPr>
      <t>การผนวกความปลอดภัยในวงจรพัฒนาระบบ</t>
    </r>
  </si>
  <si>
    <t>ESBIT-SA-04</t>
  </si>
  <si>
    <t>SA-04</t>
  </si>
  <si>
    <t>Acquisition Process</t>
  </si>
  <si>
    <t>Not a direct configuration item - security and configuration requirements in acquisition contracts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</si>
  <si>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ข้อกำหนดความปลอดภัยและ </t>
    </r>
    <r>
      <rPr>
        <rFont val="Calibri"/>
        <color theme="1"/>
        <sz val="14.0"/>
      </rPr>
      <t xml:space="preserve">Config </t>
    </r>
    <r>
      <rPr>
        <rFont val="FreeSans"/>
        <color theme="1"/>
        <sz val="14.0"/>
      </rPr>
      <t>ในสัญญาจัดหา</t>
    </r>
  </si>
  <si>
    <t>ESBIT-SA-04(01)</t>
  </si>
  <si>
    <t>SA-04(01)</t>
  </si>
  <si>
    <t>Acquisition Process | Functional Properties of Controls</t>
  </si>
  <si>
    <t>Not a direct configuration item - enhancement of SA-04 (Acquisition Process): 'Functional Properties of Controls'; security and configuration requirements in acquisition contracts.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</si>
  <si>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SA-04: 'Functional Properties of Controls' - </t>
    </r>
    <r>
      <rPr>
        <rFont val="FreeSans"/>
        <color theme="1"/>
        <sz val="14.0"/>
      </rPr>
      <t xml:space="preserve">ข้อกำหนดความปลอดภัยและ </t>
    </r>
    <r>
      <rPr>
        <rFont val="Calibri"/>
        <color theme="1"/>
        <sz val="14.0"/>
      </rPr>
      <t xml:space="preserve">Config </t>
    </r>
    <r>
      <rPr>
        <rFont val="FreeSans"/>
        <color theme="1"/>
        <sz val="14.0"/>
      </rPr>
      <t>ในสัญญาจัดหา</t>
    </r>
  </si>
  <si>
    <t>ESBIT-SA-04(02)</t>
  </si>
  <si>
    <t>SA-04(02)</t>
  </si>
  <si>
    <t>Acquisition Process | Design and Implementation Information for Controls</t>
  </si>
  <si>
    <t>Not a direct configuration item - enhancement of SA-04 (Acquisition Process): 'Design and Implementation Information for Controls'; security and configuration requirements in acquisition contracts.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</si>
  <si>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SA-04: 'Design and Implementation Information for Controls' - </t>
    </r>
    <r>
      <rPr>
        <rFont val="FreeSans"/>
        <color theme="1"/>
        <sz val="14.0"/>
      </rPr>
      <t xml:space="preserve">ข้อกำหนดความปลอดภัยและ </t>
    </r>
    <r>
      <rPr>
        <rFont val="Calibri"/>
        <color theme="1"/>
        <sz val="14.0"/>
      </rPr>
      <t xml:space="preserve">Config </t>
    </r>
    <r>
      <rPr>
        <rFont val="FreeSans"/>
        <color theme="1"/>
        <sz val="14.0"/>
      </rPr>
      <t>ในสัญญาจัดหา</t>
    </r>
  </si>
  <si>
    <t>ESBIT-SA-04(03)</t>
  </si>
  <si>
    <t>SA-04(03)</t>
  </si>
  <si>
    <t>Acquisition Process | Development Methods, Techniques, and Practices</t>
  </si>
  <si>
    <t>Not a direct configuration item - enhancement of SA-04 (Acquisition Process): 'Development Methods, Techniques, and Practices'; security and configuration requirements in acquisition contracts.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</si>
  <si>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SA-04: 'Development Methods, Techniques, and Practices' - </t>
    </r>
    <r>
      <rPr>
        <rFont val="FreeSans"/>
        <color theme="1"/>
        <sz val="14.0"/>
      </rPr>
      <t xml:space="preserve">ข้อกำหนดความปลอดภัยและ </t>
    </r>
    <r>
      <rPr>
        <rFont val="Calibri"/>
        <color theme="1"/>
        <sz val="14.0"/>
      </rPr>
      <t xml:space="preserve">Config </t>
    </r>
    <r>
      <rPr>
        <rFont val="FreeSans"/>
        <color theme="1"/>
        <sz val="14.0"/>
      </rPr>
      <t>ในสัญญาจัดหา</t>
    </r>
  </si>
  <si>
    <t>ESBIT-SA-04(05)</t>
  </si>
  <si>
    <t>SA-04(05)</t>
  </si>
  <si>
    <t>Acquisition Process | System, Component, and Service Configurations</t>
  </si>
  <si>
    <t>Not a direct configuration item - enhancement of SA-04 (Acquisition Process): 'System, Component, and Service Configurations'; security and configuration requirements in acquisition contracts.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</si>
  <si>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SA-04: 'System, Component, and Service Configurations' - </t>
    </r>
    <r>
      <rPr>
        <rFont val="FreeSans"/>
        <color theme="1"/>
        <sz val="14.0"/>
      </rPr>
      <t xml:space="preserve">ข้อกำหนดความปลอดภัยและ </t>
    </r>
    <r>
      <rPr>
        <rFont val="Calibri"/>
        <color theme="1"/>
        <sz val="14.0"/>
      </rPr>
      <t xml:space="preserve">Config </t>
    </r>
    <r>
      <rPr>
        <rFont val="FreeSans"/>
        <color theme="1"/>
        <sz val="14.0"/>
      </rPr>
      <t>ในสัญญาจัดหา</t>
    </r>
  </si>
  <si>
    <t>ESBIT-SA-04(06)</t>
  </si>
  <si>
    <t>SA-04(06)</t>
  </si>
  <si>
    <t>Acquisition Process | Use of Information Assurance Products</t>
  </si>
  <si>
    <t>Not a direct configuration item - enhancement of SA-04 (Acquisition Process): 'Use of Information Assurance Products'; security and configuration requirements in acquisition contracts.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</si>
  <si>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SA-04: 'Use of Information Assurance Products' - </t>
    </r>
    <r>
      <rPr>
        <rFont val="FreeSans"/>
        <color theme="1"/>
        <sz val="14.0"/>
      </rPr>
      <t xml:space="preserve">ข้อกำหนดความปลอดภัยและ </t>
    </r>
    <r>
      <rPr>
        <rFont val="Calibri"/>
        <color theme="1"/>
        <sz val="14.0"/>
      </rPr>
      <t xml:space="preserve">Config </t>
    </r>
    <r>
      <rPr>
        <rFont val="FreeSans"/>
        <color theme="1"/>
        <sz val="14.0"/>
      </rPr>
      <t>ในสัญญาจัดหา</t>
    </r>
  </si>
  <si>
    <t>ESBIT-SA-04(07)</t>
  </si>
  <si>
    <t>SA-04(07)</t>
  </si>
  <si>
    <t>Acquisition Process | NIAP-approved Protection Profiles</t>
  </si>
  <si>
    <t>Not a direct configuration item - enhancement of SA-04 (Acquisition Process): 'NIAP-approved Protection Profiles'; security and configuration requirements in acquisition contracts.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</si>
  <si>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SA-04: 'NIAP-approved Protection Profiles' - </t>
    </r>
    <r>
      <rPr>
        <rFont val="FreeSans"/>
        <color theme="1"/>
        <sz val="14.0"/>
      </rPr>
      <t xml:space="preserve">ข้อกำหนดความปลอดภัยและ </t>
    </r>
    <r>
      <rPr>
        <rFont val="Calibri"/>
        <color theme="1"/>
        <sz val="14.0"/>
      </rPr>
      <t xml:space="preserve">Config </t>
    </r>
    <r>
      <rPr>
        <rFont val="FreeSans"/>
        <color theme="1"/>
        <sz val="14.0"/>
      </rPr>
      <t>ในสัญญาจัดหา</t>
    </r>
  </si>
  <si>
    <t>ESBIT-SA-04(08)</t>
  </si>
  <si>
    <t>SA-04(08)</t>
  </si>
  <si>
    <t>Acquisition Process | Continuous Monitoring Plan for Controls</t>
  </si>
  <si>
    <t>Not a direct configuration item - enhancement of SA-04 (Acquisition Process): 'Continuous Monitoring Plan for Controls'; security and configuration requirements in acquisition contracts.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</si>
  <si>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SA-04: 'Continuous Monitoring Plan for Controls' - </t>
    </r>
    <r>
      <rPr>
        <rFont val="FreeSans"/>
        <color theme="1"/>
        <sz val="14.0"/>
      </rPr>
      <t xml:space="preserve">ข้อกำหนดความปลอดภัยและ </t>
    </r>
    <r>
      <rPr>
        <rFont val="Calibri"/>
        <color theme="1"/>
        <sz val="14.0"/>
      </rPr>
      <t xml:space="preserve">Config </t>
    </r>
    <r>
      <rPr>
        <rFont val="FreeSans"/>
        <color theme="1"/>
        <sz val="14.0"/>
      </rPr>
      <t>ในสัญญาจัดหา</t>
    </r>
  </si>
  <si>
    <t>ESBIT-SA-04(09)</t>
  </si>
  <si>
    <t>SA-04(09)</t>
  </si>
  <si>
    <t>Acquisition Process | Functions, Ports, Protocols, and Services in Use</t>
  </si>
  <si>
    <t>Not a direct configuration item - enhancement of SA-04 (Acquisition Process): 'Functions, Ports, Protocols, and Services in Use'; security and configuration requirements in acquisition contracts.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</si>
  <si>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SA-04: 'Functions, Ports, Protocols, and Services in Use' - </t>
    </r>
    <r>
      <rPr>
        <rFont val="FreeSans"/>
        <color theme="1"/>
        <sz val="14.0"/>
      </rPr>
      <t xml:space="preserve">ข้อกำหนดความปลอดภัยและ </t>
    </r>
    <r>
      <rPr>
        <rFont val="Calibri"/>
        <color theme="1"/>
        <sz val="14.0"/>
      </rPr>
      <t xml:space="preserve">Config </t>
    </r>
    <r>
      <rPr>
        <rFont val="FreeSans"/>
        <color theme="1"/>
        <sz val="14.0"/>
      </rPr>
      <t>ในสัญญาจัดหา</t>
    </r>
  </si>
  <si>
    <t>ESBIT-SA-04(10)</t>
  </si>
  <si>
    <t>SA-04(10)</t>
  </si>
  <si>
    <t>Acquisition Process | Use of Approved PIV Products</t>
  </si>
  <si>
    <t>Not a direct configuration item - enhancement of SA-04 (Acquisition Process): 'Use of Approved PIV Products'; security and configuration requirements in acquisition contracts.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</si>
  <si>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SA-04: 'Use of Approved PIV Products' - </t>
    </r>
    <r>
      <rPr>
        <rFont val="FreeSans"/>
        <color theme="1"/>
        <sz val="14.0"/>
      </rPr>
      <t xml:space="preserve">ข้อกำหนดความปลอดภัยและ </t>
    </r>
    <r>
      <rPr>
        <rFont val="Calibri"/>
        <color theme="1"/>
        <sz val="14.0"/>
      </rPr>
      <t xml:space="preserve">Config </t>
    </r>
    <r>
      <rPr>
        <rFont val="FreeSans"/>
        <color theme="1"/>
        <sz val="14.0"/>
      </rPr>
      <t>ในสัญญาจัดหา</t>
    </r>
  </si>
  <si>
    <t>ESBIT-SA-04(11)</t>
  </si>
  <si>
    <t>SA-04(11)</t>
  </si>
  <si>
    <t>Acquisition Process | System of Records</t>
  </si>
  <si>
    <t>Not a direct configuration item - enhancement of SA-04 (Acquisition Process): 'System of Records'; security and configuration requirements in acquisition contracts.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</si>
  <si>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SA-04: 'System of Records' - </t>
    </r>
    <r>
      <rPr>
        <rFont val="FreeSans"/>
        <color theme="1"/>
        <sz val="14.0"/>
      </rPr>
      <t xml:space="preserve">ข้อกำหนดความปลอดภัยและ </t>
    </r>
    <r>
      <rPr>
        <rFont val="Calibri"/>
        <color theme="1"/>
        <sz val="14.0"/>
      </rPr>
      <t xml:space="preserve">Config </t>
    </r>
    <r>
      <rPr>
        <rFont val="FreeSans"/>
        <color theme="1"/>
        <sz val="14.0"/>
      </rPr>
      <t>ในสัญญาจัดหา</t>
    </r>
  </si>
  <si>
    <t>ESBIT-SA-04(12)</t>
  </si>
  <si>
    <t>SA-04(12)</t>
  </si>
  <si>
    <t>Acquisition Process | Data Ownership</t>
  </si>
  <si>
    <t>Not a direct configuration item - enhancement of SA-04 (Acquisition Process): 'Data Ownership'; security and configuration requirements in acquisition contracts.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</si>
  <si>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SA-04: 'Data Ownership' - </t>
    </r>
    <r>
      <rPr>
        <rFont val="FreeSans"/>
        <color theme="1"/>
        <sz val="14.0"/>
      </rPr>
      <t xml:space="preserve">ข้อกำหนดความปลอดภัยและ </t>
    </r>
    <r>
      <rPr>
        <rFont val="Calibri"/>
        <color theme="1"/>
        <sz val="14.0"/>
      </rPr>
      <t xml:space="preserve">Config </t>
    </r>
    <r>
      <rPr>
        <rFont val="FreeSans"/>
        <color theme="1"/>
        <sz val="14.0"/>
      </rPr>
      <t>ในสัญญาจัดหา</t>
    </r>
  </si>
  <si>
    <t>ESBIT-SA-05</t>
  </si>
  <si>
    <t>SA-05</t>
  </si>
  <si>
    <t>System Documentation</t>
  </si>
  <si>
    <t>Not a direct configuration item - administrator and user documentation for secure configuration and operation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</si>
  <si>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เอกสารผู้ดูแลและผู้ใช้สำหรับการตั้งค่าและใช้งานอย่างปลอดภัย</t>
    </r>
  </si>
  <si>
    <t>ESBIT-SA-08</t>
  </si>
  <si>
    <t>SA-08</t>
  </si>
  <si>
    <t>Security and Privacy Engineering Principles</t>
  </si>
  <si>
    <t>Not a direct configuration item -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</si>
  <si>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การประยุกต์หลักวิศวกรรมความปลอดภัยในการออกแบบระบบ</t>
    </r>
  </si>
  <si>
    <t>ESBIT-SA-08(01)</t>
  </si>
  <si>
    <t>SA-08(01)</t>
  </si>
  <si>
    <t>Security and Privacy Engineering Principles | Clear Abstractions</t>
  </si>
  <si>
    <t>Not a direct configuration item - enhancement of SA-08 (Security and Privacy Engineering Principles): 'Clear Abstractions';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</si>
  <si>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'Clear Abstractions' - </t>
    </r>
    <r>
      <rPr>
        <rFont val="FreeSans"/>
        <color theme="1"/>
        <sz val="14.0"/>
      </rPr>
      <t>การประยุกต์หลักวิศวกรรมความปลอดภัยในการออกแบบระบบ</t>
    </r>
  </si>
  <si>
    <t>ESBIT-SA-08(02)</t>
  </si>
  <si>
    <t>SA-08(02)</t>
  </si>
  <si>
    <t>Security and Privacy Engineering Principles | Least Common Mechanism</t>
  </si>
  <si>
    <t>Not a direct configuration item - enhancement of SA-08 (Security and Privacy Engineering Principles): 'Least Common Mechanism';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</si>
  <si>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'Least Common Mechanism' - </t>
    </r>
    <r>
      <rPr>
        <rFont val="FreeSans"/>
        <color theme="1"/>
        <sz val="14.0"/>
      </rPr>
      <t>การประยุกต์หลักวิศวกรรมความปลอดภัยในการออกแบบระบบ</t>
    </r>
  </si>
  <si>
    <t>ESBIT-SA-08(03)</t>
  </si>
  <si>
    <t>SA-08(03)</t>
  </si>
  <si>
    <t>Security and Privacy Engineering Principles | Modularity and Layering</t>
  </si>
  <si>
    <t>Not a direct configuration item - enhancement of SA-08 (Security and Privacy Engineering Principles): 'Modularity and Layering';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</si>
  <si>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'Modularity and Layering' - </t>
    </r>
    <r>
      <rPr>
        <rFont val="FreeSans"/>
        <color theme="1"/>
        <sz val="14.0"/>
      </rPr>
      <t>การประยุกต์หลักวิศวกรรมความปลอดภัยในการออกแบบระบบ</t>
    </r>
  </si>
  <si>
    <t>ESBIT-SA-08(04)</t>
  </si>
  <si>
    <t>SA-08(04)</t>
  </si>
  <si>
    <t>Security and Privacy Engineering Principles | Partially Ordered Dependencies</t>
  </si>
  <si>
    <t>Not a direct configuration item - enhancement of SA-08 (Security and Privacy Engineering Principles): 'Partially Ordered Dependencies';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</si>
  <si>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'Partially Ordered Dependencies' - </t>
    </r>
    <r>
      <rPr>
        <rFont val="FreeSans"/>
        <color theme="1"/>
        <sz val="14.0"/>
      </rPr>
      <t>การประยุกต์หลักวิศวกรรมความปลอดภัยในการออกแบบระบบ</t>
    </r>
  </si>
  <si>
    <t>ESBIT-SA-08(05)</t>
  </si>
  <si>
    <t>SA-08(05)</t>
  </si>
  <si>
    <t>Security and Privacy Engineering Principles | Efficiently Mediated Access</t>
  </si>
  <si>
    <t>Not a direct configuration item - enhancement of SA-08 (Security and Privacy Engineering Principles): 'Efficiently Mediated Access';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</si>
  <si>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'Efficiently Mediated Access' - </t>
    </r>
    <r>
      <rPr>
        <rFont val="FreeSans"/>
        <color theme="1"/>
        <sz val="14.0"/>
      </rPr>
      <t>การประยุกต์หลักวิศวกรรมความปลอดภัยในการออกแบบระบบ</t>
    </r>
  </si>
  <si>
    <t>ESBIT-SA-08(06)</t>
  </si>
  <si>
    <t>SA-08(06)</t>
  </si>
  <si>
    <t>Security and Privacy Engineering Principles | Minimized Sharing</t>
  </si>
  <si>
    <t>Not a direct configuration item - enhancement of SA-08 (Security and Privacy Engineering Principles): 'Minimized Sharing';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</si>
  <si>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'Minimized Sharing' - </t>
    </r>
    <r>
      <rPr>
        <rFont val="FreeSans"/>
        <color theme="1"/>
        <sz val="14.0"/>
      </rPr>
      <t>การประยุกต์หลักวิศวกรรมความปลอดภัยในการออกแบบระบบ</t>
    </r>
  </si>
  <si>
    <t>ESBIT-SA-08(07)</t>
  </si>
  <si>
    <t>SA-08(07)</t>
  </si>
  <si>
    <t>Security and Privacy Engineering Principles | Reduced Complexity</t>
  </si>
  <si>
    <t>Not a direct configuration item - enhancement of SA-08 (Security and Privacy Engineering Principles): 'Reduced Complexity';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</si>
  <si>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'Reduced Complexity' - </t>
    </r>
    <r>
      <rPr>
        <rFont val="FreeSans"/>
        <color theme="1"/>
        <sz val="14.0"/>
      </rPr>
      <t>การประยุกต์หลักวิศวกรรมความปลอดภัยในการออกแบบระบบ</t>
    </r>
  </si>
  <si>
    <t>ESBIT-SA-08(08)</t>
  </si>
  <si>
    <t>SA-08(08)</t>
  </si>
  <si>
    <t>Security and Privacy Engineering Principles | Secure Evolvability</t>
  </si>
  <si>
    <t>Not a direct configuration item - enhancement of SA-08 (Security and Privacy Engineering Principles): 'Secure Evolvability';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</si>
  <si>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'Secure Evolvability' - </t>
    </r>
    <r>
      <rPr>
        <rFont val="FreeSans"/>
        <color theme="1"/>
        <sz val="14.0"/>
      </rPr>
      <t>การประยุกต์หลักวิศวกรรมความปลอดภัยในการออกแบบระบบ</t>
    </r>
  </si>
  <si>
    <t>ESBIT-SA-08(09)</t>
  </si>
  <si>
    <t>SA-08(09)</t>
  </si>
  <si>
    <t>Security and Privacy Engineering Principles | Trusted Components</t>
  </si>
  <si>
    <t>Not a direct configuration item - enhancement of SA-08 (Security and Privacy Engineering Principles): 'Trusted Components';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</si>
  <si>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'Trusted Components' - </t>
    </r>
    <r>
      <rPr>
        <rFont val="FreeSans"/>
        <color theme="1"/>
        <sz val="14.0"/>
      </rPr>
      <t>การประยุกต์หลักวิศวกรรมความปลอดภัยในการออกแบบระบบ</t>
    </r>
  </si>
  <si>
    <t>ESBIT-SA-08(10)</t>
  </si>
  <si>
    <t>SA-08(10)</t>
  </si>
  <si>
    <t>Security and Privacy Engineering Principles | Hierarchical Trust</t>
  </si>
  <si>
    <t>Not a direct configuration item - enhancement of SA-08 (Security and Privacy Engineering Principles): 'Hierarchical Trust';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</si>
  <si>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'Hierarchical Trust' - </t>
    </r>
    <r>
      <rPr>
        <rFont val="FreeSans"/>
        <color theme="1"/>
        <sz val="14.0"/>
      </rPr>
      <t>การประยุกต์หลักวิศวกรรมความปลอดภัยในการออกแบบระบบ</t>
    </r>
  </si>
  <si>
    <t>ESBIT-SA-08(11)</t>
  </si>
  <si>
    <t>SA-08(11)</t>
  </si>
  <si>
    <t>Security and Privacy Engineering Principles | Inverse Modification Threshold</t>
  </si>
  <si>
    <t>Not a direct configuration item - enhancement of SA-08 (Security and Privacy Engineering Principles): 'Inverse Modification Threshold';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</si>
  <si>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'Inverse Modification Threshold' - </t>
    </r>
    <r>
      <rPr>
        <rFont val="FreeSans"/>
        <color theme="1"/>
        <sz val="14.0"/>
      </rPr>
      <t>การประยุกต์หลักวิศวกรรมความปลอดภัยในการออกแบบระบบ</t>
    </r>
  </si>
  <si>
    <t>ESBIT-SA-08(12)</t>
  </si>
  <si>
    <t>SA-08(12)</t>
  </si>
  <si>
    <t>Security and Privacy Engineering Principles | Hierarchical Protection</t>
  </si>
  <si>
    <t>Not a direct configuration item - enhancement of SA-08 (Security and Privacy Engineering Principles): 'Hierarchical Protection';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</si>
  <si>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'Hierarchical Protection' - </t>
    </r>
    <r>
      <rPr>
        <rFont val="FreeSans"/>
        <color theme="1"/>
        <sz val="14.0"/>
      </rPr>
      <t>การประยุกต์หลักวิศวกรรมความปลอดภัยในการออกแบบระบบ</t>
    </r>
  </si>
  <si>
    <t>ESBIT-SA-08(13)</t>
  </si>
  <si>
    <t>SA-08(13)</t>
  </si>
  <si>
    <t>Security and Privacy Engineering Principles | Minimized Security Elements</t>
  </si>
  <si>
    <t>Not a direct configuration item - enhancement of SA-08 (Security and Privacy Engineering Principles): 'Minimized Security Elements';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</si>
  <si>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'Minimized Security Elements' - </t>
    </r>
    <r>
      <rPr>
        <rFont val="FreeSans"/>
        <color theme="1"/>
        <sz val="14.0"/>
      </rPr>
      <t>การประยุกต์หลักวิศวกรรมความปลอดภัยในการออกแบบระบบ</t>
    </r>
  </si>
  <si>
    <t>ESBIT-SA-08(14)</t>
  </si>
  <si>
    <t>SA-08(14)</t>
  </si>
  <si>
    <t>Security and Privacy Engineering Principles | Least Privilege</t>
  </si>
  <si>
    <t>Not a direct configuration item - enhancement of SA-08 (Security and Privacy Engineering Principles): 'Least Privilege';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</si>
  <si>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'Least Privilege' - </t>
    </r>
    <r>
      <rPr>
        <rFont val="FreeSans"/>
        <color theme="1"/>
        <sz val="14.0"/>
      </rPr>
      <t>การประยุกต์หลักวิศวกรรมความปลอดภัยในการออกแบบระบบ</t>
    </r>
  </si>
  <si>
    <t>ESBIT-SA-08(15)</t>
  </si>
  <si>
    <t>SA-08(15)</t>
  </si>
  <si>
    <t>Security and Privacy Engineering Principles | Predicate Permission</t>
  </si>
  <si>
    <t>Not a direct configuration item - enhancement of SA-08 (Security and Privacy Engineering Principles): 'Predicate Permission';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</si>
  <si>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'Predicate Permission' - </t>
    </r>
    <r>
      <rPr>
        <rFont val="FreeSans"/>
        <color theme="1"/>
        <sz val="14.0"/>
      </rPr>
      <t>การประยุกต์หลักวิศวกรรมความปลอดภัยในการออกแบบระบบ</t>
    </r>
  </si>
  <si>
    <t>ESBIT-SA-08(16)</t>
  </si>
  <si>
    <t>SA-08(16)</t>
  </si>
  <si>
    <t>Security and Privacy Engineering Principles | Self-reliant Trustworthiness</t>
  </si>
  <si>
    <t>Not a direct configuration item - enhancement of SA-08 (Security and Privacy Engineering Principles): 'Self-reliant Trustworthiness';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</si>
  <si>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'Self-reliant Trustworthiness' - </t>
    </r>
    <r>
      <rPr>
        <rFont val="FreeSans"/>
        <color theme="1"/>
        <sz val="14.0"/>
      </rPr>
      <t>การประยุกต์หลักวิศวกรรมความปลอดภัยในการออกแบบระบบ</t>
    </r>
  </si>
  <si>
    <t>ESBIT-SA-08(17)</t>
  </si>
  <si>
    <t>SA-08(17)</t>
  </si>
  <si>
    <t>Security and Privacy Engineering Principles | Secure Distributed Composition</t>
  </si>
  <si>
    <t>Not a direct configuration item - enhancement of SA-08 (Security and Privacy Engineering Principles): 'Secure Distributed Composition';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</si>
  <si>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'Secure Distributed Composition' - </t>
    </r>
    <r>
      <rPr>
        <rFont val="FreeSans"/>
        <color theme="1"/>
        <sz val="14.0"/>
      </rPr>
      <t>การประยุกต์หลักวิศวกรรมความปลอดภัยในการออกแบบระบบ</t>
    </r>
  </si>
  <si>
    <t>ESBIT-SA-08(18)</t>
  </si>
  <si>
    <t>SA-08(18)</t>
  </si>
  <si>
    <t>Security and Privacy Engineering Principles | Trusted Communications Channels</t>
  </si>
  <si>
    <t>Not a direct configuration item - enhancement of SA-08 (Security and Privacy Engineering Principles): 'Trusted Communications Channels';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</si>
  <si>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'Trusted Communications Channels' - </t>
    </r>
    <r>
      <rPr>
        <rFont val="FreeSans"/>
        <color theme="1"/>
        <sz val="14.0"/>
      </rPr>
      <t>การประยุกต์หลักวิศวกรรมความปลอดภัยในการออกแบบระบบ</t>
    </r>
  </si>
  <si>
    <t>ESBIT-SA-08(19)</t>
  </si>
  <si>
    <t>SA-08(19)</t>
  </si>
  <si>
    <t>Security and Privacy Engineering Principles | Continuous Protection</t>
  </si>
  <si>
    <t>Not a direct configuration item - enhancement of SA-08 (Security and Privacy Engineering Principles): 'Continuous Protection';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</si>
  <si>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'Continuous Protection' - </t>
    </r>
    <r>
      <rPr>
        <rFont val="FreeSans"/>
        <color theme="1"/>
        <sz val="14.0"/>
      </rPr>
      <t>การประยุกต์หลักวิศวกรรมความปลอดภัยในการออกแบบระบบ</t>
    </r>
  </si>
  <si>
    <t>ESBIT-SA-08(20)</t>
  </si>
  <si>
    <t>SA-08(20)</t>
  </si>
  <si>
    <t>Security and Privacy Engineering Principles | Secure Metadata Management</t>
  </si>
  <si>
    <t>Not a direct configuration item - enhancement of SA-08 (Security and Privacy Engineering Principles): 'Secure Metadata Management';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</si>
  <si>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'Secure Metadata Management' - </t>
    </r>
    <r>
      <rPr>
        <rFont val="FreeSans"/>
        <color theme="1"/>
        <sz val="14.0"/>
      </rPr>
      <t>การประยุกต์หลักวิศวกรรมความปลอดภัยในการออกแบบระบบ</t>
    </r>
  </si>
  <si>
    <t>ESBIT-SA-08(21)</t>
  </si>
  <si>
    <t>SA-08(21)</t>
  </si>
  <si>
    <t>Security and Privacy Engineering Principles | Self-analysis</t>
  </si>
  <si>
    <t>Not a direct configuration item - enhancement of SA-08 (Security and Privacy Engineering Principles): 'Self-analysis';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</si>
  <si>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'Self-analysis' - </t>
    </r>
    <r>
      <rPr>
        <rFont val="FreeSans"/>
        <color theme="1"/>
        <sz val="14.0"/>
      </rPr>
      <t>การประยุกต์หลักวิศวกรรมความปลอดภัยในการออกแบบระบบ</t>
    </r>
  </si>
  <si>
    <t>ESBIT-SA-08(22)</t>
  </si>
  <si>
    <t>SA-08(22)</t>
  </si>
  <si>
    <t>Security and Privacy Engineering Principles | Accountability and Traceability</t>
  </si>
  <si>
    <t>Not a direct configuration item - enhancement of SA-08 (Security and Privacy Engineering Principles): 'Accountability and Traceability';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</si>
  <si>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'Accountability and Traceability' - </t>
    </r>
    <r>
      <rPr>
        <rFont val="FreeSans"/>
        <color theme="1"/>
        <sz val="14.0"/>
      </rPr>
      <t>การประยุกต์หลักวิศวกรรมความปลอดภัยในการออกแบบระบบ</t>
    </r>
  </si>
  <si>
    <t>ESBIT-SA-08(23)</t>
  </si>
  <si>
    <t>SA-08(23)</t>
  </si>
  <si>
    <t>Security and Privacy Engineering Principles | Secure Defaults</t>
  </si>
  <si>
    <t>Not a direct configuration item - enhancement of SA-08 (Security and Privacy Engineering Principles): 'Secure Defaults';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</si>
  <si>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'Secure Defaults' - </t>
    </r>
    <r>
      <rPr>
        <rFont val="FreeSans"/>
        <color theme="1"/>
        <sz val="14.0"/>
      </rPr>
      <t>การประยุกต์หลักวิศวกรรมความปลอดภัยในการออกแบบระบบ</t>
    </r>
  </si>
  <si>
    <t>ESBIT-SA-08(24)</t>
  </si>
  <si>
    <t>SA-08(24)</t>
  </si>
  <si>
    <t>Security and Privacy Engineering Principles | Secure Failure and Recovery</t>
  </si>
  <si>
    <t>Not a direct configuration item - enhancement of SA-08 (Security and Privacy Engineering Principles): 'Secure Failure and Recovery';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</si>
  <si>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'Secure Failure and Recovery' - </t>
    </r>
    <r>
      <rPr>
        <rFont val="FreeSans"/>
        <color theme="1"/>
        <sz val="14.0"/>
      </rPr>
      <t>การประยุกต์หลักวิศวกรรมความปลอดภัยในการออกแบบระบบ</t>
    </r>
  </si>
  <si>
    <t>ESBIT-SA-08(25)</t>
  </si>
  <si>
    <t>SA-08(25)</t>
  </si>
  <si>
    <t>Security and Privacy Engineering Principles | Economic Security</t>
  </si>
  <si>
    <t>Not a direct configuration item - enhancement of SA-08 (Security and Privacy Engineering Principles): 'Economic Security';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</si>
  <si>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'Economic Security' - </t>
    </r>
    <r>
      <rPr>
        <rFont val="FreeSans"/>
        <color theme="1"/>
        <sz val="14.0"/>
      </rPr>
      <t>การประยุกต์หลักวิศวกรรมความปลอดภัยในการออกแบบระบบ</t>
    </r>
  </si>
  <si>
    <t>ESBIT-SA-08(26)</t>
  </si>
  <si>
    <t>SA-08(26)</t>
  </si>
  <si>
    <t>Security and Privacy Engineering Principles | Performance Security</t>
  </si>
  <si>
    <t>Not a direct configuration item - enhancement of SA-08 (Security and Privacy Engineering Principles): 'Performance Security';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</si>
  <si>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'Performance Security' - </t>
    </r>
    <r>
      <rPr>
        <rFont val="FreeSans"/>
        <color theme="1"/>
        <sz val="14.0"/>
      </rPr>
      <t>การประยุกต์หลักวิศวกรรมความปลอดภัยในการออกแบบระบบ</t>
    </r>
  </si>
  <si>
    <t>ESBIT-SA-08(27)</t>
  </si>
  <si>
    <t>SA-08(27)</t>
  </si>
  <si>
    <t>Security and Privacy Engineering Principles | Human Factored Security</t>
  </si>
  <si>
    <t>Not a direct configuration item - enhancement of SA-08 (Security and Privacy Engineering Principles): 'Human Factored Security';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</si>
  <si>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'Human Factored Security' - </t>
    </r>
    <r>
      <rPr>
        <rFont val="FreeSans"/>
        <color theme="1"/>
        <sz val="14.0"/>
      </rPr>
      <t>การประยุกต์หลักวิศวกรรมความปลอดภัยในการออกแบบระบบ</t>
    </r>
  </si>
  <si>
    <t>ESBIT-SA-08(28)</t>
  </si>
  <si>
    <t>SA-08(28)</t>
  </si>
  <si>
    <t>Security and Privacy Engineering Principles | Acceptable Security</t>
  </si>
  <si>
    <t>Not a direct configuration item - enhancement of SA-08 (Security and Privacy Engineering Principles): 'Acceptable Security';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</si>
  <si>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'Acceptable Security' - </t>
    </r>
    <r>
      <rPr>
        <rFont val="FreeSans"/>
        <color theme="1"/>
        <sz val="14.0"/>
      </rPr>
      <t>การประยุกต์หลักวิศวกรรมความปลอดภัยในการออกแบบระบบ</t>
    </r>
  </si>
  <si>
    <t>ESBIT-SA-08(29)</t>
  </si>
  <si>
    <t>SA-08(29)</t>
  </si>
  <si>
    <t>Security and Privacy Engineering Principles | Repeatable and Documented Procedures</t>
  </si>
  <si>
    <t>Not a direct configuration item - enhancement of SA-08 (Security and Privacy Engineering Principles): 'Repeatable and Documented Procedures';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</si>
  <si>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'Repeatable and Documented Procedures' - </t>
    </r>
    <r>
      <rPr>
        <rFont val="FreeSans"/>
        <color theme="1"/>
        <sz val="14.0"/>
      </rPr>
      <t>การประยุกต์หลักวิศวกรรมความปลอดภัยในการออกแบบระบบ</t>
    </r>
  </si>
  <si>
    <t>ESBIT-SA-08(30)</t>
  </si>
  <si>
    <t>SA-08(30)</t>
  </si>
  <si>
    <t>Security and Privacy Engineering Principles | Procedural Rigor</t>
  </si>
  <si>
    <t>Not a direct configuration item - enhancement of SA-08 (Security and Privacy Engineering Principles): 'Procedural Rigor';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</si>
  <si>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'Procedural Rigor' - </t>
    </r>
    <r>
      <rPr>
        <rFont val="FreeSans"/>
        <color theme="1"/>
        <sz val="14.0"/>
      </rPr>
      <t>การประยุกต์หลักวิศวกรรมความปลอดภัยในการออกแบบระบบ</t>
    </r>
  </si>
  <si>
    <t>ESBIT-SA-08(31)</t>
  </si>
  <si>
    <t>SA-08(31)</t>
  </si>
  <si>
    <t>Security and Privacy Engineering Principles | Secure System Modification</t>
  </si>
  <si>
    <t>Not a direct configuration item - enhancement of SA-08 (Security and Privacy Engineering Principles): 'Secure System Modification';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</si>
  <si>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'Secure System Modification' - </t>
    </r>
    <r>
      <rPr>
        <rFont val="FreeSans"/>
        <color theme="1"/>
        <sz val="14.0"/>
      </rPr>
      <t>การประยุกต์หลักวิศวกรรมความปลอดภัยในการออกแบบระบบ</t>
    </r>
  </si>
  <si>
    <t>ESBIT-SA-08(32)</t>
  </si>
  <si>
    <t>SA-08(32)</t>
  </si>
  <si>
    <t>Security and Privacy Engineering Principles | Sufficient Documentation</t>
  </si>
  <si>
    <t>Not a direct configuration item - enhancement of SA-08 (Security and Privacy Engineering Principles): 'Sufficient Documentation';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</si>
  <si>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'Sufficient Documentation' - </t>
    </r>
    <r>
      <rPr>
        <rFont val="FreeSans"/>
        <color theme="1"/>
        <sz val="14.0"/>
      </rPr>
      <t>การประยุกต์หลักวิศวกรรมความปลอดภัยในการออกแบบระบบ</t>
    </r>
  </si>
  <si>
    <t>ESBIT-SA-08(33)</t>
  </si>
  <si>
    <t>SA-08(33)</t>
  </si>
  <si>
    <t>Security and Privacy Engineering Principles | Minimization</t>
  </si>
  <si>
    <t>Not a direct configuration item - enhancement of SA-08 (Security and Privacy Engineering Principles): 'Minimization'; applying security engineering principles to system design.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</si>
  <si>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SA-08: 'Minimization' - </t>
    </r>
    <r>
      <rPr>
        <rFont val="FreeSans"/>
        <color theme="1"/>
        <sz val="14.0"/>
      </rPr>
      <t>การประยุกต์หลักวิศวกรรมความปลอดภัยในการออกแบบระบบ</t>
    </r>
  </si>
  <si>
    <t>ESBIT-SA-09</t>
  </si>
  <si>
    <t>SA-09</t>
  </si>
  <si>
    <t>External System Services</t>
  </si>
  <si>
    <t>GV.SC-07</t>
  </si>
  <si>
    <t>The risks posed by a supplier, their products and services, and other third parties are understood, recorded, prioritized, assessed, responded to, and monitored over the course of the relationship</t>
  </si>
  <si>
    <t>Configure and verify security settings of external and cloud services, including shared responsibility, keys and data location</t>
  </si>
  <si>
    <r>
      <rPr>
        <rFont val="FreeSans"/>
        <color theme="1"/>
        <sz val="14.0"/>
      </rPr>
      <t>ตั้งค่าและตรวจสอบความปลอดภัยของบริการภายนอก</t>
    </r>
    <r>
      <rPr>
        <rFont val="Calibri"/>
        <color theme="1"/>
        <sz val="14.0"/>
      </rPr>
      <t xml:space="preserve">/Cloud </t>
    </r>
    <r>
      <rPr>
        <rFont val="FreeSans"/>
        <color theme="1"/>
        <sz val="14.0"/>
      </rPr>
      <t xml:space="preserve">รวมถึง </t>
    </r>
    <r>
      <rPr>
        <rFont val="Calibri"/>
        <color theme="1"/>
        <sz val="14.0"/>
      </rPr>
      <t xml:space="preserve">Shared Responsibility </t>
    </r>
    <r>
      <rPr>
        <rFont val="FreeSans"/>
        <color theme="1"/>
        <sz val="14.0"/>
      </rPr>
      <t>คีย์ และที่ตั้งข้อมูล</t>
    </r>
  </si>
  <si>
    <t>Cloud, Supply Chain/Third Party</t>
  </si>
  <si>
    <t>ESBIT-SA-09(01)</t>
  </si>
  <si>
    <t>SA-09(01)</t>
  </si>
  <si>
    <t>External System Services | Risk Assessments and Organizational Approvals</t>
  </si>
  <si>
    <t>Enhances SA-09 (External System Services): configure and enforce 'Risk Assessments and Organizational Approvals' in addition to the base setting, keep it consistent across applicable systems and document approved exceptions. Base scope: Configure and verify security settings of external and cloud services, including shared responsibility, keys and data location</t>
  </si>
  <si>
    <r>
      <rPr>
        <rFont val="FreeSans"/>
        <color theme="1"/>
        <sz val="14.0"/>
      </rPr>
      <t xml:space="preserve">ส่วนขยายของ </t>
    </r>
    <r>
      <rPr>
        <rFont val="Calibri"/>
        <color theme="1"/>
        <sz val="14.0"/>
      </rPr>
      <t xml:space="preserve">SA-09: </t>
    </r>
    <r>
      <rPr>
        <rFont val="FreeSans"/>
        <color theme="1"/>
        <sz val="14.0"/>
      </rPr>
      <t xml:space="preserve">กำหนดค่าและบังคับใช้ </t>
    </r>
    <r>
      <rPr>
        <rFont val="Calibri"/>
        <color theme="1"/>
        <sz val="14.0"/>
      </rPr>
      <t xml:space="preserve">'Risk Assessments and Organizational Approvals'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ตั้งค่าและตรวจสอบความปลอดภัยของบริการภายนอก</t>
    </r>
    <r>
      <rPr>
        <rFont val="Calibri"/>
        <color theme="1"/>
        <sz val="14.0"/>
      </rPr>
      <t xml:space="preserve">/Cloud </t>
    </r>
    <r>
      <rPr>
        <rFont val="FreeSans"/>
        <color theme="1"/>
        <sz val="14.0"/>
      </rPr>
      <t xml:space="preserve">รวมถึง </t>
    </r>
    <r>
      <rPr>
        <rFont val="Calibri"/>
        <color theme="1"/>
        <sz val="14.0"/>
      </rPr>
      <t xml:space="preserve">Shared Responsibility </t>
    </r>
    <r>
      <rPr>
        <rFont val="FreeSans"/>
        <color theme="1"/>
        <sz val="14.0"/>
      </rPr>
      <t>คีย์ และที่ตั้งข้อมูล</t>
    </r>
  </si>
  <si>
    <t>ESBIT-SA-09(02)</t>
  </si>
  <si>
    <t>SA-09(02)</t>
  </si>
  <si>
    <t>External System Services | Identification of Functions, Ports, Protocols, and Services</t>
  </si>
  <si>
    <t>Enhances SA-09 (External System Services): configure and enforce 'Identification of Functions, Ports, Protocols, and Services' in addition to the base setting, keep it consistent across applicable systems and document approved exceptions. Base scope: Configure and verify security settings of external and cloud services, including shared responsibility, keys and data location</t>
  </si>
  <si>
    <r>
      <rPr>
        <rFont val="FreeSans"/>
        <color theme="1"/>
        <sz val="14.0"/>
      </rPr>
      <t xml:space="preserve">ส่วนขยายของ </t>
    </r>
    <r>
      <rPr>
        <rFont val="Calibri"/>
        <color theme="1"/>
        <sz val="14.0"/>
      </rPr>
      <t xml:space="preserve">SA-09: </t>
    </r>
    <r>
      <rPr>
        <rFont val="FreeSans"/>
        <color theme="1"/>
        <sz val="14.0"/>
      </rPr>
      <t xml:space="preserve">กำหนดค่าและบังคับใช้ </t>
    </r>
    <r>
      <rPr>
        <rFont val="Calibri"/>
        <color theme="1"/>
        <sz val="14.0"/>
      </rPr>
      <t xml:space="preserve">'Identification of Functions, Ports, Protocols, and Services'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ตั้งค่าและตรวจสอบความปลอดภัยของบริการภายนอก</t>
    </r>
    <r>
      <rPr>
        <rFont val="Calibri"/>
        <color theme="1"/>
        <sz val="14.0"/>
      </rPr>
      <t xml:space="preserve">/Cloud </t>
    </r>
    <r>
      <rPr>
        <rFont val="FreeSans"/>
        <color theme="1"/>
        <sz val="14.0"/>
      </rPr>
      <t xml:space="preserve">รวมถึง </t>
    </r>
    <r>
      <rPr>
        <rFont val="Calibri"/>
        <color theme="1"/>
        <sz val="14.0"/>
      </rPr>
      <t xml:space="preserve">Shared Responsibility </t>
    </r>
    <r>
      <rPr>
        <rFont val="FreeSans"/>
        <color theme="1"/>
        <sz val="14.0"/>
      </rPr>
      <t>คีย์ และที่ตั้งข้อมูล</t>
    </r>
  </si>
  <si>
    <t>ESBIT-SA-09(03)</t>
  </si>
  <si>
    <t>SA-09(03)</t>
  </si>
  <si>
    <t>External System Services | Establish and Maintain Trust Relationship with Providers</t>
  </si>
  <si>
    <t>Enhances SA-09 (External System Services): configure and enforce 'Establish and Maintain Trust Relationship with Providers' in addition to the base setting, keep it consistent across applicable systems and document approved exceptions. Base scope: Configure and verify security settings of external and cloud services, including shared responsibility, keys and data location</t>
  </si>
  <si>
    <r>
      <rPr>
        <rFont val="FreeSans"/>
        <color theme="1"/>
        <sz val="14.0"/>
      </rPr>
      <t xml:space="preserve">ส่วนขยายของ </t>
    </r>
    <r>
      <rPr>
        <rFont val="Calibri"/>
        <color theme="1"/>
        <sz val="14.0"/>
      </rPr>
      <t xml:space="preserve">SA-09: </t>
    </r>
    <r>
      <rPr>
        <rFont val="FreeSans"/>
        <color theme="1"/>
        <sz val="14.0"/>
      </rPr>
      <t xml:space="preserve">กำหนดค่าและบังคับใช้ </t>
    </r>
    <r>
      <rPr>
        <rFont val="Calibri"/>
        <color theme="1"/>
        <sz val="14.0"/>
      </rPr>
      <t xml:space="preserve">'Establish and Maintain Trust Relationship with Providers'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ตั้งค่าและตรวจสอบความปลอดภัยของบริการภายนอก</t>
    </r>
    <r>
      <rPr>
        <rFont val="Calibri"/>
        <color theme="1"/>
        <sz val="14.0"/>
      </rPr>
      <t xml:space="preserve">/Cloud </t>
    </r>
    <r>
      <rPr>
        <rFont val="FreeSans"/>
        <color theme="1"/>
        <sz val="14.0"/>
      </rPr>
      <t xml:space="preserve">รวมถึง </t>
    </r>
    <r>
      <rPr>
        <rFont val="Calibri"/>
        <color theme="1"/>
        <sz val="14.0"/>
      </rPr>
      <t xml:space="preserve">Shared Responsibility </t>
    </r>
    <r>
      <rPr>
        <rFont val="FreeSans"/>
        <color theme="1"/>
        <sz val="14.0"/>
      </rPr>
      <t>คีย์ และที่ตั้งข้อมูล</t>
    </r>
  </si>
  <si>
    <t>ESBIT-SA-09(04)</t>
  </si>
  <si>
    <t>SA-09(04)</t>
  </si>
  <si>
    <t>External System Services | Consistent Interests of Consumers and Providers</t>
  </si>
  <si>
    <t>Enhances SA-09 (External System Services): configure and enforce 'Consistent Interests of Consumers and Providers' in addition to the base setting, keep it consistent across applicable systems and document approved exceptions. Base scope: Configure and verify security settings of external and cloud services, including shared responsibility, keys and data location</t>
  </si>
  <si>
    <r>
      <rPr>
        <rFont val="FreeSans"/>
        <color theme="1"/>
        <sz val="14.0"/>
      </rPr>
      <t xml:space="preserve">ส่วนขยายของ </t>
    </r>
    <r>
      <rPr>
        <rFont val="Calibri"/>
        <color theme="1"/>
        <sz val="14.0"/>
      </rPr>
      <t xml:space="preserve">SA-09: </t>
    </r>
    <r>
      <rPr>
        <rFont val="FreeSans"/>
        <color theme="1"/>
        <sz val="14.0"/>
      </rPr>
      <t xml:space="preserve">กำหนดค่าและบังคับใช้ </t>
    </r>
    <r>
      <rPr>
        <rFont val="Calibri"/>
        <color theme="1"/>
        <sz val="14.0"/>
      </rPr>
      <t xml:space="preserve">'Consistent Interests of Consumers and Providers'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ตั้งค่าและตรวจสอบความปลอดภัยของบริการภายนอก</t>
    </r>
    <r>
      <rPr>
        <rFont val="Calibri"/>
        <color theme="1"/>
        <sz val="14.0"/>
      </rPr>
      <t xml:space="preserve">/Cloud </t>
    </r>
    <r>
      <rPr>
        <rFont val="FreeSans"/>
        <color theme="1"/>
        <sz val="14.0"/>
      </rPr>
      <t xml:space="preserve">รวมถึง </t>
    </r>
    <r>
      <rPr>
        <rFont val="Calibri"/>
        <color theme="1"/>
        <sz val="14.0"/>
      </rPr>
      <t xml:space="preserve">Shared Responsibility </t>
    </r>
    <r>
      <rPr>
        <rFont val="FreeSans"/>
        <color theme="1"/>
        <sz val="14.0"/>
      </rPr>
      <t>คีย์ และที่ตั้งข้อมูล</t>
    </r>
  </si>
  <si>
    <t>ESBIT-SA-09(05)</t>
  </si>
  <si>
    <t>SA-09(05)</t>
  </si>
  <si>
    <t>External System Services | Processing, Storage, and Service Location</t>
  </si>
  <si>
    <t>Enhances SA-09 (External System Services): configure and enforce 'Processing, Storage, and Service Location' in addition to the base setting, keep it consistent across applicable systems and document approved exceptions. Base scope: Configure and verify security settings of external and cloud services, including shared responsibility, keys and data location</t>
  </si>
  <si>
    <r>
      <rPr>
        <rFont val="FreeSans"/>
        <color theme="1"/>
        <sz val="14.0"/>
      </rPr>
      <t xml:space="preserve">ส่วนขยายของ </t>
    </r>
    <r>
      <rPr>
        <rFont val="Calibri"/>
        <color theme="1"/>
        <sz val="14.0"/>
      </rPr>
      <t xml:space="preserve">SA-09: </t>
    </r>
    <r>
      <rPr>
        <rFont val="FreeSans"/>
        <color theme="1"/>
        <sz val="14.0"/>
      </rPr>
      <t xml:space="preserve">กำหนดค่าและบังคับใช้ </t>
    </r>
    <r>
      <rPr>
        <rFont val="Calibri"/>
        <color theme="1"/>
        <sz val="14.0"/>
      </rPr>
      <t xml:space="preserve">'Processing, Storage, and Service Location'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ตั้งค่าและตรวจสอบความปลอดภัยของบริการภายนอก</t>
    </r>
    <r>
      <rPr>
        <rFont val="Calibri"/>
        <color theme="1"/>
        <sz val="14.0"/>
      </rPr>
      <t xml:space="preserve">/Cloud </t>
    </r>
    <r>
      <rPr>
        <rFont val="FreeSans"/>
        <color theme="1"/>
        <sz val="14.0"/>
      </rPr>
      <t xml:space="preserve">รวมถึง </t>
    </r>
    <r>
      <rPr>
        <rFont val="Calibri"/>
        <color theme="1"/>
        <sz val="14.0"/>
      </rPr>
      <t xml:space="preserve">Shared Responsibility </t>
    </r>
    <r>
      <rPr>
        <rFont val="FreeSans"/>
        <color theme="1"/>
        <sz val="14.0"/>
      </rPr>
      <t>คีย์ และที่ตั้งข้อมูล</t>
    </r>
  </si>
  <si>
    <t>ESBIT-SA-09(06)</t>
  </si>
  <si>
    <t>SA-09(06)</t>
  </si>
  <si>
    <t>External System Services | Organization-controlled Cryptographic Keys</t>
  </si>
  <si>
    <t>Enhances SA-09 (External System Services): configure and enforce 'Organization-controlled Cryptographic Keys' in addition to the base setting, keep it consistent across applicable systems and document approved exceptions. Base scope: Configure and verify security settings of external and cloud services, including shared responsibility, keys and data location</t>
  </si>
  <si>
    <r>
      <rPr>
        <rFont val="FreeSans"/>
        <color theme="1"/>
        <sz val="14.0"/>
      </rPr>
      <t xml:space="preserve">ส่วนขยายของ </t>
    </r>
    <r>
      <rPr>
        <rFont val="Calibri"/>
        <color theme="1"/>
        <sz val="14.0"/>
      </rPr>
      <t xml:space="preserve">SA-09: </t>
    </r>
    <r>
      <rPr>
        <rFont val="FreeSans"/>
        <color theme="1"/>
        <sz val="14.0"/>
      </rPr>
      <t xml:space="preserve">กำหนดค่าและบังคับใช้ </t>
    </r>
    <r>
      <rPr>
        <rFont val="Calibri"/>
        <color theme="1"/>
        <sz val="14.0"/>
      </rPr>
      <t xml:space="preserve">'Organization-controlled Cryptographic Keys'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ตั้งค่าและตรวจสอบความปลอดภัยของบริการภายนอก</t>
    </r>
    <r>
      <rPr>
        <rFont val="Calibri"/>
        <color theme="1"/>
        <sz val="14.0"/>
      </rPr>
      <t xml:space="preserve">/Cloud </t>
    </r>
    <r>
      <rPr>
        <rFont val="FreeSans"/>
        <color theme="1"/>
        <sz val="14.0"/>
      </rPr>
      <t xml:space="preserve">รวมถึง </t>
    </r>
    <r>
      <rPr>
        <rFont val="Calibri"/>
        <color theme="1"/>
        <sz val="14.0"/>
      </rPr>
      <t xml:space="preserve">Shared Responsibility </t>
    </r>
    <r>
      <rPr>
        <rFont val="FreeSans"/>
        <color theme="1"/>
        <sz val="14.0"/>
      </rPr>
      <t>คีย์ และที่ตั้งข้อมูล</t>
    </r>
  </si>
  <si>
    <t>ESBIT-SA-09(07)</t>
  </si>
  <si>
    <t>SA-09(07)</t>
  </si>
  <si>
    <t>External System Services | Organization-controlled Integrity Checking</t>
  </si>
  <si>
    <t>Enhances SA-09 (External System Services): configure and enforce 'Organization-controlled Integrity Checking' in addition to the base setting, keep it consistent across applicable systems and document approved exceptions. Base scope: Configure and verify security settings of external and cloud services, including shared responsibility, keys and data location</t>
  </si>
  <si>
    <r>
      <rPr>
        <rFont val="FreeSans"/>
        <color theme="1"/>
        <sz val="14.0"/>
      </rPr>
      <t xml:space="preserve">ส่วนขยายของ </t>
    </r>
    <r>
      <rPr>
        <rFont val="Calibri"/>
        <color theme="1"/>
        <sz val="14.0"/>
      </rPr>
      <t xml:space="preserve">SA-09: </t>
    </r>
    <r>
      <rPr>
        <rFont val="FreeSans"/>
        <color theme="1"/>
        <sz val="14.0"/>
      </rPr>
      <t xml:space="preserve">กำหนดค่าและบังคับใช้ </t>
    </r>
    <r>
      <rPr>
        <rFont val="Calibri"/>
        <color theme="1"/>
        <sz val="14.0"/>
      </rPr>
      <t xml:space="preserve">'Organization-controlled Integrity Checking'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ตั้งค่าและตรวจสอบความปลอดภัยของบริการภายนอก</t>
    </r>
    <r>
      <rPr>
        <rFont val="Calibri"/>
        <color theme="1"/>
        <sz val="14.0"/>
      </rPr>
      <t xml:space="preserve">/Cloud </t>
    </r>
    <r>
      <rPr>
        <rFont val="FreeSans"/>
        <color theme="1"/>
        <sz val="14.0"/>
      </rPr>
      <t xml:space="preserve">รวมถึง </t>
    </r>
    <r>
      <rPr>
        <rFont val="Calibri"/>
        <color theme="1"/>
        <sz val="14.0"/>
      </rPr>
      <t xml:space="preserve">Shared Responsibility </t>
    </r>
    <r>
      <rPr>
        <rFont val="FreeSans"/>
        <color theme="1"/>
        <sz val="14.0"/>
      </rPr>
      <t>คีย์ และที่ตั้งข้อมูล</t>
    </r>
  </si>
  <si>
    <t>ESBIT-SA-09(08)</t>
  </si>
  <si>
    <t>SA-09(08)</t>
  </si>
  <si>
    <t>External System Services | Processing and Storage Location - U.S. Jurisdiction</t>
  </si>
  <si>
    <t>Enhances SA-09 (External System Services): configure and enforce 'Processing and Storage Location - U.S. Jurisdiction' in addition to the base setting, keep it consistent across applicable systems and document approved exceptions. Base scope: Configure and verify security settings of external and cloud services, including shared responsibility, keys and data location</t>
  </si>
  <si>
    <r>
      <rPr>
        <rFont val="FreeSans"/>
        <color theme="1"/>
        <sz val="14.0"/>
      </rPr>
      <t xml:space="preserve">ส่วนขยายของ </t>
    </r>
    <r>
      <rPr>
        <rFont val="Calibri"/>
        <color theme="1"/>
        <sz val="14.0"/>
      </rPr>
      <t xml:space="preserve">SA-09: </t>
    </r>
    <r>
      <rPr>
        <rFont val="FreeSans"/>
        <color theme="1"/>
        <sz val="14.0"/>
      </rPr>
      <t xml:space="preserve">กำหนดค่าและบังคับใช้ </t>
    </r>
    <r>
      <rPr>
        <rFont val="Calibri"/>
        <color theme="1"/>
        <sz val="14.0"/>
      </rPr>
      <t xml:space="preserve">'Processing and Storage Location - U.S. Jurisdiction'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ตั้งค่าและตรวจสอบความปลอดภัยของบริการภายนอก</t>
    </r>
    <r>
      <rPr>
        <rFont val="Calibri"/>
        <color theme="1"/>
        <sz val="14.0"/>
      </rPr>
      <t xml:space="preserve">/Cloud </t>
    </r>
    <r>
      <rPr>
        <rFont val="FreeSans"/>
        <color theme="1"/>
        <sz val="14.0"/>
      </rPr>
      <t xml:space="preserve">รวมถึง </t>
    </r>
    <r>
      <rPr>
        <rFont val="Calibri"/>
        <color theme="1"/>
        <sz val="14.0"/>
      </rPr>
      <t xml:space="preserve">Shared Responsibility </t>
    </r>
    <r>
      <rPr>
        <rFont val="FreeSans"/>
        <color theme="1"/>
        <sz val="14.0"/>
      </rPr>
      <t>คีย์ และที่ตั้งข้อมูล</t>
    </r>
  </si>
  <si>
    <t>ESBIT-SA-10</t>
  </si>
  <si>
    <t>SA-10</t>
  </si>
  <si>
    <t>Developer Configuration Management</t>
  </si>
  <si>
    <t>Configure source control, build pipeline access and integrity verification for developer configuration management</t>
  </si>
  <si>
    <r>
      <rPr>
        <rFont val="FreeSans"/>
        <color theme="1"/>
        <sz val="14.0"/>
      </rPr>
      <t xml:space="preserve">ตั้งค่า </t>
    </r>
    <r>
      <rPr>
        <rFont val="Calibri"/>
        <color theme="1"/>
        <sz val="14.0"/>
      </rPr>
      <t xml:space="preserve">Source Control </t>
    </r>
    <r>
      <rPr>
        <rFont val="FreeSans"/>
        <color theme="1"/>
        <sz val="14.0"/>
      </rPr>
      <t xml:space="preserve">สิทธิ์ </t>
    </r>
    <r>
      <rPr>
        <rFont val="Calibri"/>
        <color theme="1"/>
        <sz val="14.0"/>
      </rPr>
      <t xml:space="preserve">Build Pipeline </t>
    </r>
    <r>
      <rPr>
        <rFont val="FreeSans"/>
        <color theme="1"/>
        <sz val="14.0"/>
      </rPr>
      <t xml:space="preserve">และการตรวจ </t>
    </r>
    <r>
      <rPr>
        <rFont val="Calibri"/>
        <color theme="1"/>
        <sz val="14.0"/>
      </rPr>
      <t xml:space="preserve">Integrity </t>
    </r>
    <r>
      <rPr>
        <rFont val="FreeSans"/>
        <color theme="1"/>
        <sz val="14.0"/>
      </rPr>
      <t xml:space="preserve">ของ </t>
    </r>
    <r>
      <rPr>
        <rFont val="Calibri"/>
        <color theme="1"/>
        <sz val="14.0"/>
      </rPr>
      <t xml:space="preserve">Configuration </t>
    </r>
    <r>
      <rPr>
        <rFont val="FreeSans"/>
        <color theme="1"/>
        <sz val="14.0"/>
      </rPr>
      <t>ฝั่งนักพัฒนา</t>
    </r>
  </si>
  <si>
    <t>ESBIT-SA-10(01)</t>
  </si>
  <si>
    <t>SA-10(01)</t>
  </si>
  <si>
    <t>Developer Configuration Management | Software and Firmware Integrity Verification</t>
  </si>
  <si>
    <t>Enhances SA-10 (Developer Configuration Management): configure and enforce 'Software and Firmware Integrity Verification' in addition to the base setting, keep it consistent across applicable systems and document approved exceptions. Base scope: Configure source control, build pipeline access and integrity verification for developer configuration management</t>
  </si>
  <si>
    <r>
      <rPr>
        <rFont val="FreeSans"/>
        <color theme="1"/>
        <sz val="14.0"/>
      </rPr>
      <t xml:space="preserve">ส่วนขยายของ </t>
    </r>
    <r>
      <rPr>
        <rFont val="Calibri"/>
        <color theme="1"/>
        <sz val="14.0"/>
      </rPr>
      <t xml:space="preserve">SA-10: </t>
    </r>
    <r>
      <rPr>
        <rFont val="FreeSans"/>
        <color theme="1"/>
        <sz val="14.0"/>
      </rPr>
      <t xml:space="preserve">กำหนดค่าและบังคับใช้ </t>
    </r>
    <r>
      <rPr>
        <rFont val="Calibri"/>
        <color theme="1"/>
        <sz val="14.0"/>
      </rPr>
      <t xml:space="preserve">'Software and Firmware Integrity Verification'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Source Control </t>
    </r>
    <r>
      <rPr>
        <rFont val="FreeSans"/>
        <color theme="1"/>
        <sz val="14.0"/>
      </rPr>
      <t xml:space="preserve">สิทธิ์ </t>
    </r>
    <r>
      <rPr>
        <rFont val="Calibri"/>
        <color theme="1"/>
        <sz val="14.0"/>
      </rPr>
      <t xml:space="preserve">Build Pipeline </t>
    </r>
    <r>
      <rPr>
        <rFont val="FreeSans"/>
        <color theme="1"/>
        <sz val="14.0"/>
      </rPr>
      <t xml:space="preserve">และการตรวจ </t>
    </r>
    <r>
      <rPr>
        <rFont val="Calibri"/>
        <color theme="1"/>
        <sz val="14.0"/>
      </rPr>
      <t xml:space="preserve">Integrity </t>
    </r>
    <r>
      <rPr>
        <rFont val="FreeSans"/>
        <color theme="1"/>
        <sz val="14.0"/>
      </rPr>
      <t xml:space="preserve">ของ </t>
    </r>
    <r>
      <rPr>
        <rFont val="Calibri"/>
        <color theme="1"/>
        <sz val="14.0"/>
      </rPr>
      <t xml:space="preserve">Configuration </t>
    </r>
    <r>
      <rPr>
        <rFont val="FreeSans"/>
        <color theme="1"/>
        <sz val="14.0"/>
      </rPr>
      <t>ฝั่งนักพัฒนา</t>
    </r>
  </si>
  <si>
    <t>ESBIT-SA-10(02)</t>
  </si>
  <si>
    <t>SA-10(02)</t>
  </si>
  <si>
    <t>Developer Configuration Management | Alternative Configuration Management Processes</t>
  </si>
  <si>
    <t>Enhances SA-10 (Developer Configuration Management): configure and enforce 'Alternative Configuration Management Processes' in addition to the base setting, keep it consistent across applicable systems and document approved exceptions. Base scope: Configure source control, build pipeline access and integrity verification for developer configuration management</t>
  </si>
  <si>
    <r>
      <rPr>
        <rFont val="FreeSans"/>
        <color theme="1"/>
        <sz val="14.0"/>
      </rPr>
      <t xml:space="preserve">ส่วนขยายของ </t>
    </r>
    <r>
      <rPr>
        <rFont val="Calibri"/>
        <color theme="1"/>
        <sz val="14.0"/>
      </rPr>
      <t xml:space="preserve">SA-10: </t>
    </r>
    <r>
      <rPr>
        <rFont val="FreeSans"/>
        <color theme="1"/>
        <sz val="14.0"/>
      </rPr>
      <t xml:space="preserve">กำหนดค่าและบังคับใช้ </t>
    </r>
    <r>
      <rPr>
        <rFont val="Calibri"/>
        <color theme="1"/>
        <sz val="14.0"/>
      </rPr>
      <t xml:space="preserve">'Alternative Configuration Management Processes'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Source Control </t>
    </r>
    <r>
      <rPr>
        <rFont val="FreeSans"/>
        <color theme="1"/>
        <sz val="14.0"/>
      </rPr>
      <t xml:space="preserve">สิทธิ์ </t>
    </r>
    <r>
      <rPr>
        <rFont val="Calibri"/>
        <color theme="1"/>
        <sz val="14.0"/>
      </rPr>
      <t xml:space="preserve">Build Pipeline </t>
    </r>
    <r>
      <rPr>
        <rFont val="FreeSans"/>
        <color theme="1"/>
        <sz val="14.0"/>
      </rPr>
      <t xml:space="preserve">และการตรวจ </t>
    </r>
    <r>
      <rPr>
        <rFont val="Calibri"/>
        <color theme="1"/>
        <sz val="14.0"/>
      </rPr>
      <t xml:space="preserve">Integrity </t>
    </r>
    <r>
      <rPr>
        <rFont val="FreeSans"/>
        <color theme="1"/>
        <sz val="14.0"/>
      </rPr>
      <t xml:space="preserve">ของ </t>
    </r>
    <r>
      <rPr>
        <rFont val="Calibri"/>
        <color theme="1"/>
        <sz val="14.0"/>
      </rPr>
      <t xml:space="preserve">Configuration </t>
    </r>
    <r>
      <rPr>
        <rFont val="FreeSans"/>
        <color theme="1"/>
        <sz val="14.0"/>
      </rPr>
      <t>ฝั่งนักพัฒนา</t>
    </r>
  </si>
  <si>
    <t>ESBIT-SA-10(03)</t>
  </si>
  <si>
    <t>SA-10(03)</t>
  </si>
  <si>
    <t>Developer Configuration Management | Hardware Integrity Verification</t>
  </si>
  <si>
    <t>Enhances SA-10 (Developer Configuration Management): configure and enforce 'Hardware Integrity Verification' in addition to the base setting, keep it consistent across applicable systems and document approved exceptions. Base scope: Configure source control, build pipeline access and integrity verification for developer configuration management</t>
  </si>
  <si>
    <r>
      <rPr>
        <rFont val="FreeSans"/>
        <color theme="1"/>
        <sz val="14.0"/>
      </rPr>
      <t xml:space="preserve">ส่วนขยายของ </t>
    </r>
    <r>
      <rPr>
        <rFont val="Calibri"/>
        <color theme="1"/>
        <sz val="14.0"/>
      </rPr>
      <t xml:space="preserve">SA-10: </t>
    </r>
    <r>
      <rPr>
        <rFont val="FreeSans"/>
        <color theme="1"/>
        <sz val="14.0"/>
      </rPr>
      <t xml:space="preserve">กำหนดค่าและบังคับใช้ </t>
    </r>
    <r>
      <rPr>
        <rFont val="Calibri"/>
        <color theme="1"/>
        <sz val="14.0"/>
      </rPr>
      <t xml:space="preserve">'Hardware Integrity Verification'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Source Control </t>
    </r>
    <r>
      <rPr>
        <rFont val="FreeSans"/>
        <color theme="1"/>
        <sz val="14.0"/>
      </rPr>
      <t xml:space="preserve">สิทธิ์ </t>
    </r>
    <r>
      <rPr>
        <rFont val="Calibri"/>
        <color theme="1"/>
        <sz val="14.0"/>
      </rPr>
      <t xml:space="preserve">Build Pipeline </t>
    </r>
    <r>
      <rPr>
        <rFont val="FreeSans"/>
        <color theme="1"/>
        <sz val="14.0"/>
      </rPr>
      <t xml:space="preserve">และการตรวจ </t>
    </r>
    <r>
      <rPr>
        <rFont val="Calibri"/>
        <color theme="1"/>
        <sz val="14.0"/>
      </rPr>
      <t xml:space="preserve">Integrity </t>
    </r>
    <r>
      <rPr>
        <rFont val="FreeSans"/>
        <color theme="1"/>
        <sz val="14.0"/>
      </rPr>
      <t xml:space="preserve">ของ </t>
    </r>
    <r>
      <rPr>
        <rFont val="Calibri"/>
        <color theme="1"/>
        <sz val="14.0"/>
      </rPr>
      <t xml:space="preserve">Configuration </t>
    </r>
    <r>
      <rPr>
        <rFont val="FreeSans"/>
        <color theme="1"/>
        <sz val="14.0"/>
      </rPr>
      <t>ฝั่งนักพัฒนา</t>
    </r>
  </si>
  <si>
    <t>ESBIT-SA-10(04)</t>
  </si>
  <si>
    <t>SA-10(04)</t>
  </si>
  <si>
    <t>Developer Configuration Management | Trusted Generation</t>
  </si>
  <si>
    <t>Enhances SA-10 (Developer Configuration Management): configure and enforce 'Trusted Generation' in addition to the base setting, keep it consistent across applicable systems and document approved exceptions. Base scope: Configure source control, build pipeline access and integrity verification for developer configuration management</t>
  </si>
  <si>
    <r>
      <rPr>
        <rFont val="FreeSans"/>
        <color theme="1"/>
        <sz val="14.0"/>
      </rPr>
      <t xml:space="preserve">ส่วนขยายของ </t>
    </r>
    <r>
      <rPr>
        <rFont val="Calibri"/>
        <color theme="1"/>
        <sz val="14.0"/>
      </rPr>
      <t xml:space="preserve">SA-10: </t>
    </r>
    <r>
      <rPr>
        <rFont val="FreeSans"/>
        <color theme="1"/>
        <sz val="14.0"/>
      </rPr>
      <t xml:space="preserve">กำหนดค่าและบังคับใช้ </t>
    </r>
    <r>
      <rPr>
        <rFont val="Calibri"/>
        <color theme="1"/>
        <sz val="14.0"/>
      </rPr>
      <t xml:space="preserve">'Trusted Generation'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Source Control </t>
    </r>
    <r>
      <rPr>
        <rFont val="FreeSans"/>
        <color theme="1"/>
        <sz val="14.0"/>
      </rPr>
      <t xml:space="preserve">สิทธิ์ </t>
    </r>
    <r>
      <rPr>
        <rFont val="Calibri"/>
        <color theme="1"/>
        <sz val="14.0"/>
      </rPr>
      <t xml:space="preserve">Build Pipeline </t>
    </r>
    <r>
      <rPr>
        <rFont val="FreeSans"/>
        <color theme="1"/>
        <sz val="14.0"/>
      </rPr>
      <t xml:space="preserve">และการตรวจ </t>
    </r>
    <r>
      <rPr>
        <rFont val="Calibri"/>
        <color theme="1"/>
        <sz val="14.0"/>
      </rPr>
      <t xml:space="preserve">Integrity </t>
    </r>
    <r>
      <rPr>
        <rFont val="FreeSans"/>
        <color theme="1"/>
        <sz val="14.0"/>
      </rPr>
      <t xml:space="preserve">ของ </t>
    </r>
    <r>
      <rPr>
        <rFont val="Calibri"/>
        <color theme="1"/>
        <sz val="14.0"/>
      </rPr>
      <t xml:space="preserve">Configuration </t>
    </r>
    <r>
      <rPr>
        <rFont val="FreeSans"/>
        <color theme="1"/>
        <sz val="14.0"/>
      </rPr>
      <t>ฝั่งนักพัฒนา</t>
    </r>
  </si>
  <si>
    <t>ESBIT-SA-10(05)</t>
  </si>
  <si>
    <t>SA-10(05)</t>
  </si>
  <si>
    <t>Developer Configuration Management | Mapping Integrity for Version Control</t>
  </si>
  <si>
    <t>Enhances SA-10 (Developer Configuration Management): configure and enforce 'Mapping Integrity for Version Control' in addition to the base setting, keep it consistent across applicable systems and document approved exceptions. Base scope: Configure source control, build pipeline access and integrity verification for developer configuration management</t>
  </si>
  <si>
    <r>
      <rPr>
        <rFont val="FreeSans"/>
        <color theme="1"/>
        <sz val="14.0"/>
      </rPr>
      <t xml:space="preserve">ส่วนขยายของ </t>
    </r>
    <r>
      <rPr>
        <rFont val="Calibri"/>
        <color theme="1"/>
        <sz val="14.0"/>
      </rPr>
      <t xml:space="preserve">SA-10: </t>
    </r>
    <r>
      <rPr>
        <rFont val="FreeSans"/>
        <color theme="1"/>
        <sz val="14.0"/>
      </rPr>
      <t xml:space="preserve">กำหนดค่าและบังคับใช้ </t>
    </r>
    <r>
      <rPr>
        <rFont val="Calibri"/>
        <color theme="1"/>
        <sz val="14.0"/>
      </rPr>
      <t xml:space="preserve">'Mapping Integrity for Version Control'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Source Control </t>
    </r>
    <r>
      <rPr>
        <rFont val="FreeSans"/>
        <color theme="1"/>
        <sz val="14.0"/>
      </rPr>
      <t xml:space="preserve">สิทธิ์ </t>
    </r>
    <r>
      <rPr>
        <rFont val="Calibri"/>
        <color theme="1"/>
        <sz val="14.0"/>
      </rPr>
      <t xml:space="preserve">Build Pipeline </t>
    </r>
    <r>
      <rPr>
        <rFont val="FreeSans"/>
        <color theme="1"/>
        <sz val="14.0"/>
      </rPr>
      <t xml:space="preserve">และการตรวจ </t>
    </r>
    <r>
      <rPr>
        <rFont val="Calibri"/>
        <color theme="1"/>
        <sz val="14.0"/>
      </rPr>
      <t xml:space="preserve">Integrity </t>
    </r>
    <r>
      <rPr>
        <rFont val="FreeSans"/>
        <color theme="1"/>
        <sz val="14.0"/>
      </rPr>
      <t xml:space="preserve">ของ </t>
    </r>
    <r>
      <rPr>
        <rFont val="Calibri"/>
        <color theme="1"/>
        <sz val="14.0"/>
      </rPr>
      <t xml:space="preserve">Configuration </t>
    </r>
    <r>
      <rPr>
        <rFont val="FreeSans"/>
        <color theme="1"/>
        <sz val="14.0"/>
      </rPr>
      <t>ฝั่งนักพัฒนา</t>
    </r>
  </si>
  <si>
    <t>ESBIT-SA-10(06)</t>
  </si>
  <si>
    <t>SA-10(06)</t>
  </si>
  <si>
    <t>Developer Configuration Management | Trusted Distribution</t>
  </si>
  <si>
    <t>Enhances SA-10 (Developer Configuration Management): configure and enforce 'Trusted Distribution' in addition to the base setting, keep it consistent across applicable systems and document approved exceptions. Base scope: Configure source control, build pipeline access and integrity verification for developer configuration management</t>
  </si>
  <si>
    <r>
      <rPr>
        <rFont val="FreeSans"/>
        <color theme="1"/>
        <sz val="14.0"/>
      </rPr>
      <t xml:space="preserve">ส่วนขยายของ </t>
    </r>
    <r>
      <rPr>
        <rFont val="Calibri"/>
        <color theme="1"/>
        <sz val="14.0"/>
      </rPr>
      <t xml:space="preserve">SA-10: </t>
    </r>
    <r>
      <rPr>
        <rFont val="FreeSans"/>
        <color theme="1"/>
        <sz val="14.0"/>
      </rPr>
      <t xml:space="preserve">กำหนดค่าและบังคับใช้ </t>
    </r>
    <r>
      <rPr>
        <rFont val="Calibri"/>
        <color theme="1"/>
        <sz val="14.0"/>
      </rPr>
      <t xml:space="preserve">'Trusted Distribution'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Source Control </t>
    </r>
    <r>
      <rPr>
        <rFont val="FreeSans"/>
        <color theme="1"/>
        <sz val="14.0"/>
      </rPr>
      <t xml:space="preserve">สิทธิ์ </t>
    </r>
    <r>
      <rPr>
        <rFont val="Calibri"/>
        <color theme="1"/>
        <sz val="14.0"/>
      </rPr>
      <t xml:space="preserve">Build Pipeline </t>
    </r>
    <r>
      <rPr>
        <rFont val="FreeSans"/>
        <color theme="1"/>
        <sz val="14.0"/>
      </rPr>
      <t xml:space="preserve">และการตรวจ </t>
    </r>
    <r>
      <rPr>
        <rFont val="Calibri"/>
        <color theme="1"/>
        <sz val="14.0"/>
      </rPr>
      <t xml:space="preserve">Integrity </t>
    </r>
    <r>
      <rPr>
        <rFont val="FreeSans"/>
        <color theme="1"/>
        <sz val="14.0"/>
      </rPr>
      <t xml:space="preserve">ของ </t>
    </r>
    <r>
      <rPr>
        <rFont val="Calibri"/>
        <color theme="1"/>
        <sz val="14.0"/>
      </rPr>
      <t xml:space="preserve">Configuration </t>
    </r>
    <r>
      <rPr>
        <rFont val="FreeSans"/>
        <color theme="1"/>
        <sz val="14.0"/>
      </rPr>
      <t>ฝั่งนักพัฒนา</t>
    </r>
  </si>
  <si>
    <t>ESBIT-SA-10(07)</t>
  </si>
  <si>
    <t>SA-10(07)</t>
  </si>
  <si>
    <t>Developer Configuration Management | Security and Privacy Representatives</t>
  </si>
  <si>
    <t>Enhances SA-10 (Developer Configuration Management): configure and enforce 'Security and Privacy Representatives' in addition to the base setting, keep it consistent across applicable systems and document approved exceptions. Base scope: Configure source control, build pipeline access and integrity verification for developer configuration management</t>
  </si>
  <si>
    <r>
      <rPr>
        <rFont val="FreeSans"/>
        <color theme="1"/>
        <sz val="14.0"/>
      </rPr>
      <t xml:space="preserve">ส่วนขยายของ </t>
    </r>
    <r>
      <rPr>
        <rFont val="Calibri"/>
        <color theme="1"/>
        <sz val="14.0"/>
      </rPr>
      <t xml:space="preserve">SA-10: </t>
    </r>
    <r>
      <rPr>
        <rFont val="FreeSans"/>
        <color theme="1"/>
        <sz val="14.0"/>
      </rPr>
      <t xml:space="preserve">กำหนดค่าและบังคับใช้ </t>
    </r>
    <r>
      <rPr>
        <rFont val="Calibri"/>
        <color theme="1"/>
        <sz val="14.0"/>
      </rPr>
      <t xml:space="preserve">'Security and Privacy Representatives'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Source Control </t>
    </r>
    <r>
      <rPr>
        <rFont val="FreeSans"/>
        <color theme="1"/>
        <sz val="14.0"/>
      </rPr>
      <t xml:space="preserve">สิทธิ์ </t>
    </r>
    <r>
      <rPr>
        <rFont val="Calibri"/>
        <color theme="1"/>
        <sz val="14.0"/>
      </rPr>
      <t xml:space="preserve">Build Pipeline </t>
    </r>
    <r>
      <rPr>
        <rFont val="FreeSans"/>
        <color theme="1"/>
        <sz val="14.0"/>
      </rPr>
      <t xml:space="preserve">และการตรวจ </t>
    </r>
    <r>
      <rPr>
        <rFont val="Calibri"/>
        <color theme="1"/>
        <sz val="14.0"/>
      </rPr>
      <t xml:space="preserve">Integrity </t>
    </r>
    <r>
      <rPr>
        <rFont val="FreeSans"/>
        <color theme="1"/>
        <sz val="14.0"/>
      </rPr>
      <t xml:space="preserve">ของ </t>
    </r>
    <r>
      <rPr>
        <rFont val="Calibri"/>
        <color theme="1"/>
        <sz val="14.0"/>
      </rPr>
      <t xml:space="preserve">Configuration </t>
    </r>
    <r>
      <rPr>
        <rFont val="FreeSans"/>
        <color theme="1"/>
        <sz val="14.0"/>
      </rPr>
      <t>ฝั่งนักพัฒนา</t>
    </r>
  </si>
  <si>
    <t>ESBIT-SA-11</t>
  </si>
  <si>
    <t>SA-11</t>
  </si>
  <si>
    <t>Developer Testing and Evaluation</t>
  </si>
  <si>
    <t>Configure SAST/DAST/IAST tools in the pipeline and test plans for security flaws</t>
  </si>
  <si>
    <r>
      <rPr>
        <rFont val="FreeSans"/>
        <color theme="1"/>
        <sz val="14.0"/>
      </rPr>
      <t xml:space="preserve">ตั้งค่าเครื่องมือ </t>
    </r>
    <r>
      <rPr>
        <rFont val="Calibri"/>
        <color theme="1"/>
        <sz val="14.0"/>
      </rPr>
      <t xml:space="preserve">SAST/DAST/IAST </t>
    </r>
    <r>
      <rPr>
        <rFont val="FreeSans"/>
        <color theme="1"/>
        <sz val="14.0"/>
      </rPr>
      <t xml:space="preserve">ใน </t>
    </r>
    <r>
      <rPr>
        <rFont val="Calibri"/>
        <color theme="1"/>
        <sz val="14.0"/>
      </rPr>
      <t xml:space="preserve">Pipeline </t>
    </r>
    <r>
      <rPr>
        <rFont val="FreeSans"/>
        <color theme="1"/>
        <sz val="14.0"/>
      </rPr>
      <t>และแผนทดสอบช่องโหว่</t>
    </r>
  </si>
  <si>
    <t>ESBIT-SA-11(01)</t>
  </si>
  <si>
    <t>SA-11(01)</t>
  </si>
  <si>
    <t>Developer Testing and Evaluation | Static Code Analysis</t>
  </si>
  <si>
    <t>Enhances SA-11 (Developer Testing and Evaluation): configure and enforce 'Static Code Analysis' in addition to the base setting, keep it consistent across applicable systems and document approved exceptions. Base scope: Configure SAST/DAST/IAST tools in the pipeline and test plans for security flaws</t>
  </si>
  <si>
    <r>
      <rPr>
        <rFont val="FreeSans"/>
        <color theme="1"/>
        <sz val="14.0"/>
      </rPr>
      <t xml:space="preserve">ส่วนขยายของ </t>
    </r>
    <r>
      <rPr>
        <rFont val="Calibri"/>
        <color theme="1"/>
        <sz val="14.0"/>
      </rPr>
      <t xml:space="preserve">SA-11: </t>
    </r>
    <r>
      <rPr>
        <rFont val="FreeSans"/>
        <color theme="1"/>
        <sz val="14.0"/>
      </rPr>
      <t xml:space="preserve">กำหนดค่าและบังคับใช้ </t>
    </r>
    <r>
      <rPr>
        <rFont val="Calibri"/>
        <color theme="1"/>
        <sz val="14.0"/>
      </rPr>
      <t xml:space="preserve">'Static Code Analysis'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ตั้งค่าเครื่องมือ </t>
    </r>
    <r>
      <rPr>
        <rFont val="Calibri"/>
        <color theme="1"/>
        <sz val="14.0"/>
      </rPr>
      <t xml:space="preserve">SAST/DAST/IAST </t>
    </r>
    <r>
      <rPr>
        <rFont val="FreeSans"/>
        <color theme="1"/>
        <sz val="14.0"/>
      </rPr>
      <t xml:space="preserve">ใน </t>
    </r>
    <r>
      <rPr>
        <rFont val="Calibri"/>
        <color theme="1"/>
        <sz val="14.0"/>
      </rPr>
      <t xml:space="preserve">Pipeline </t>
    </r>
    <r>
      <rPr>
        <rFont val="FreeSans"/>
        <color theme="1"/>
        <sz val="14.0"/>
      </rPr>
      <t>และแผนทดสอบช่องโหว่</t>
    </r>
  </si>
  <si>
    <t>ESBIT-SA-11(02)</t>
  </si>
  <si>
    <t>SA-11(02)</t>
  </si>
  <si>
    <t>Developer Testing and Evaluation | Threat Modeling and Vulnerability Analyses</t>
  </si>
  <si>
    <t>Enhances SA-11 (Developer Testing and Evaluation): configure and enforce 'Threat Modeling and Vulnerability Analyses' in addition to the base setting, keep it consistent across applicable systems and document approved exceptions. Base scope: Configure SAST/DAST/IAST tools in the pipeline and test plans for security flaws</t>
  </si>
  <si>
    <r>
      <rPr>
        <rFont val="FreeSans"/>
        <color theme="1"/>
        <sz val="14.0"/>
      </rPr>
      <t xml:space="preserve">ส่วนขยายของ </t>
    </r>
    <r>
      <rPr>
        <rFont val="Calibri"/>
        <color theme="1"/>
        <sz val="14.0"/>
      </rPr>
      <t xml:space="preserve">SA-11: </t>
    </r>
    <r>
      <rPr>
        <rFont val="FreeSans"/>
        <color theme="1"/>
        <sz val="14.0"/>
      </rPr>
      <t xml:space="preserve">กำหนดค่าและบังคับใช้ </t>
    </r>
    <r>
      <rPr>
        <rFont val="Calibri"/>
        <color theme="1"/>
        <sz val="14.0"/>
      </rPr>
      <t xml:space="preserve">'Threat Modeling and Vulnerability Analyses'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ตั้งค่าเครื่องมือ </t>
    </r>
    <r>
      <rPr>
        <rFont val="Calibri"/>
        <color theme="1"/>
        <sz val="14.0"/>
      </rPr>
      <t xml:space="preserve">SAST/DAST/IAST </t>
    </r>
    <r>
      <rPr>
        <rFont val="FreeSans"/>
        <color theme="1"/>
        <sz val="14.0"/>
      </rPr>
      <t xml:space="preserve">ใน </t>
    </r>
    <r>
      <rPr>
        <rFont val="Calibri"/>
        <color theme="1"/>
        <sz val="14.0"/>
      </rPr>
      <t xml:space="preserve">Pipeline </t>
    </r>
    <r>
      <rPr>
        <rFont val="FreeSans"/>
        <color theme="1"/>
        <sz val="14.0"/>
      </rPr>
      <t>และแผนทดสอบช่องโหว่</t>
    </r>
  </si>
  <si>
    <t>ESBIT-SA-11(03)</t>
  </si>
  <si>
    <t>SA-11(03)</t>
  </si>
  <si>
    <t>Developer Testing and Evaluation | Independent Verification of Assessment Plans and Evidence</t>
  </si>
  <si>
    <t>Enhances SA-11 (Developer Testing and Evaluation): configure and enforce 'Independent Verification of Assessment Plans and Evidence' in addition to the base setting, keep it consistent across applicable systems and document approved exceptions. Base scope: Configure SAST/DAST/IAST tools in the pipeline and test plans for security flaws</t>
  </si>
  <si>
    <r>
      <rPr>
        <rFont val="FreeSans"/>
        <color theme="1"/>
        <sz val="14.0"/>
      </rPr>
      <t xml:space="preserve">ส่วนขยายของ </t>
    </r>
    <r>
      <rPr>
        <rFont val="Calibri"/>
        <color theme="1"/>
        <sz val="14.0"/>
      </rPr>
      <t xml:space="preserve">SA-11: </t>
    </r>
    <r>
      <rPr>
        <rFont val="FreeSans"/>
        <color theme="1"/>
        <sz val="14.0"/>
      </rPr>
      <t xml:space="preserve">กำหนดค่าและบังคับใช้ </t>
    </r>
    <r>
      <rPr>
        <rFont val="Calibri"/>
        <color theme="1"/>
        <sz val="14.0"/>
      </rPr>
      <t xml:space="preserve">'Independent Verification of Assessment Plans and Evidence'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ตั้งค่าเครื่องมือ </t>
    </r>
    <r>
      <rPr>
        <rFont val="Calibri"/>
        <color theme="1"/>
        <sz val="14.0"/>
      </rPr>
      <t xml:space="preserve">SAST/DAST/IAST </t>
    </r>
    <r>
      <rPr>
        <rFont val="FreeSans"/>
        <color theme="1"/>
        <sz val="14.0"/>
      </rPr>
      <t xml:space="preserve">ใน </t>
    </r>
    <r>
      <rPr>
        <rFont val="Calibri"/>
        <color theme="1"/>
        <sz val="14.0"/>
      </rPr>
      <t xml:space="preserve">Pipeline </t>
    </r>
    <r>
      <rPr>
        <rFont val="FreeSans"/>
        <color theme="1"/>
        <sz val="14.0"/>
      </rPr>
      <t>และแผนทดสอบช่องโหว่</t>
    </r>
  </si>
  <si>
    <t>ESBIT-SA-11(04)</t>
  </si>
  <si>
    <t>SA-11(04)</t>
  </si>
  <si>
    <t>Developer Testing and Evaluation | Manual Code Reviews</t>
  </si>
  <si>
    <t>Enhances SA-11 (Developer Testing and Evaluation): configure and enforce 'Manual Code Reviews' in addition to the base setting, keep it consistent across applicable systems and document approved exceptions. Base scope: Configure SAST/DAST/IAST tools in the pipeline and test plans for security flaws</t>
  </si>
  <si>
    <r>
      <rPr>
        <rFont val="FreeSans"/>
        <color theme="1"/>
        <sz val="14.0"/>
      </rPr>
      <t xml:space="preserve">ส่วนขยายของ </t>
    </r>
    <r>
      <rPr>
        <rFont val="Calibri"/>
        <color theme="1"/>
        <sz val="14.0"/>
      </rPr>
      <t xml:space="preserve">SA-11: </t>
    </r>
    <r>
      <rPr>
        <rFont val="FreeSans"/>
        <color theme="1"/>
        <sz val="14.0"/>
      </rPr>
      <t xml:space="preserve">กำหนดค่าและบังคับใช้ </t>
    </r>
    <r>
      <rPr>
        <rFont val="Calibri"/>
        <color theme="1"/>
        <sz val="14.0"/>
      </rPr>
      <t xml:space="preserve">'Manual Code Reviews'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ตั้งค่าเครื่องมือ </t>
    </r>
    <r>
      <rPr>
        <rFont val="Calibri"/>
        <color theme="1"/>
        <sz val="14.0"/>
      </rPr>
      <t xml:space="preserve">SAST/DAST/IAST </t>
    </r>
    <r>
      <rPr>
        <rFont val="FreeSans"/>
        <color theme="1"/>
        <sz val="14.0"/>
      </rPr>
      <t xml:space="preserve">ใน </t>
    </r>
    <r>
      <rPr>
        <rFont val="Calibri"/>
        <color theme="1"/>
        <sz val="14.0"/>
      </rPr>
      <t xml:space="preserve">Pipeline </t>
    </r>
    <r>
      <rPr>
        <rFont val="FreeSans"/>
        <color theme="1"/>
        <sz val="14.0"/>
      </rPr>
      <t>และแผนทดสอบช่องโหว่</t>
    </r>
  </si>
  <si>
    <t>ESBIT-SA-11(05)</t>
  </si>
  <si>
    <t>SA-11(05)</t>
  </si>
  <si>
    <t>Developer Testing and Evaluation | Penetration Testing</t>
  </si>
  <si>
    <t>Enhances SA-11 (Developer Testing and Evaluation): configure and enforce 'Penetration Testing' in addition to the base setting, keep it consistent across applicable systems and document approved exceptions. Base scope: Configure SAST/DAST/IAST tools in the pipeline and test plans for security flaws</t>
  </si>
  <si>
    <r>
      <rPr>
        <rFont val="FreeSans"/>
        <color theme="1"/>
        <sz val="14.0"/>
      </rPr>
      <t xml:space="preserve">ส่วนขยายของ </t>
    </r>
    <r>
      <rPr>
        <rFont val="Calibri"/>
        <color theme="1"/>
        <sz val="14.0"/>
      </rPr>
      <t xml:space="preserve">SA-11: </t>
    </r>
    <r>
      <rPr>
        <rFont val="FreeSans"/>
        <color theme="1"/>
        <sz val="14.0"/>
      </rPr>
      <t xml:space="preserve">กำหนดค่าและบังคับใช้ </t>
    </r>
    <r>
      <rPr>
        <rFont val="Calibri"/>
        <color theme="1"/>
        <sz val="14.0"/>
      </rPr>
      <t xml:space="preserve">'Penetration Testing'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ตั้งค่าเครื่องมือ </t>
    </r>
    <r>
      <rPr>
        <rFont val="Calibri"/>
        <color theme="1"/>
        <sz val="14.0"/>
      </rPr>
      <t xml:space="preserve">SAST/DAST/IAST </t>
    </r>
    <r>
      <rPr>
        <rFont val="FreeSans"/>
        <color theme="1"/>
        <sz val="14.0"/>
      </rPr>
      <t xml:space="preserve">ใน </t>
    </r>
    <r>
      <rPr>
        <rFont val="Calibri"/>
        <color theme="1"/>
        <sz val="14.0"/>
      </rPr>
      <t xml:space="preserve">Pipeline </t>
    </r>
    <r>
      <rPr>
        <rFont val="FreeSans"/>
        <color theme="1"/>
        <sz val="14.0"/>
      </rPr>
      <t>และแผนทดสอบช่องโหว่</t>
    </r>
  </si>
  <si>
    <t>ESBIT-SA-11(06)</t>
  </si>
  <si>
    <t>SA-11(06)</t>
  </si>
  <si>
    <t>Developer Testing and Evaluation | Attack Surface Reviews</t>
  </si>
  <si>
    <t>Enhances SA-11 (Developer Testing and Evaluation): configure and enforce 'Attack Surface Reviews' in addition to the base setting, keep it consistent across applicable systems and document approved exceptions. Base scope: Configure SAST/DAST/IAST tools in the pipeline and test plans for security flaws</t>
  </si>
  <si>
    <r>
      <rPr>
        <rFont val="FreeSans"/>
        <color theme="1"/>
        <sz val="14.0"/>
      </rPr>
      <t xml:space="preserve">ส่วนขยายของ </t>
    </r>
    <r>
      <rPr>
        <rFont val="Calibri"/>
        <color theme="1"/>
        <sz val="14.0"/>
      </rPr>
      <t xml:space="preserve">SA-11: </t>
    </r>
    <r>
      <rPr>
        <rFont val="FreeSans"/>
        <color theme="1"/>
        <sz val="14.0"/>
      </rPr>
      <t xml:space="preserve">กำหนดค่าและบังคับใช้ </t>
    </r>
    <r>
      <rPr>
        <rFont val="Calibri"/>
        <color theme="1"/>
        <sz val="14.0"/>
      </rPr>
      <t xml:space="preserve">'Attack Surface Reviews'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ตั้งค่าเครื่องมือ </t>
    </r>
    <r>
      <rPr>
        <rFont val="Calibri"/>
        <color theme="1"/>
        <sz val="14.0"/>
      </rPr>
      <t xml:space="preserve">SAST/DAST/IAST </t>
    </r>
    <r>
      <rPr>
        <rFont val="FreeSans"/>
        <color theme="1"/>
        <sz val="14.0"/>
      </rPr>
      <t xml:space="preserve">ใน </t>
    </r>
    <r>
      <rPr>
        <rFont val="Calibri"/>
        <color theme="1"/>
        <sz val="14.0"/>
      </rPr>
      <t xml:space="preserve">Pipeline </t>
    </r>
    <r>
      <rPr>
        <rFont val="FreeSans"/>
        <color theme="1"/>
        <sz val="14.0"/>
      </rPr>
      <t>และแผนทดสอบช่องโหว่</t>
    </r>
  </si>
  <si>
    <t>ESBIT-SA-11(07)</t>
  </si>
  <si>
    <t>SA-11(07)</t>
  </si>
  <si>
    <t>Developer Testing and Evaluation | Verify Scope of Testing and Evaluation</t>
  </si>
  <si>
    <t>Enhances SA-11 (Developer Testing and Evaluation): configure and enforce 'Verify Scope of Testing and Evaluation' in addition to the base setting, keep it consistent across applicable systems and document approved exceptions. Base scope: Configure SAST/DAST/IAST tools in the pipeline and test plans for security flaws</t>
  </si>
  <si>
    <r>
      <rPr>
        <rFont val="FreeSans"/>
        <color theme="1"/>
        <sz val="14.0"/>
      </rPr>
      <t xml:space="preserve">ส่วนขยายของ </t>
    </r>
    <r>
      <rPr>
        <rFont val="Calibri"/>
        <color theme="1"/>
        <sz val="14.0"/>
      </rPr>
      <t xml:space="preserve">SA-11: </t>
    </r>
    <r>
      <rPr>
        <rFont val="FreeSans"/>
        <color theme="1"/>
        <sz val="14.0"/>
      </rPr>
      <t xml:space="preserve">กำหนดค่าและบังคับใช้ </t>
    </r>
    <r>
      <rPr>
        <rFont val="Calibri"/>
        <color theme="1"/>
        <sz val="14.0"/>
      </rPr>
      <t xml:space="preserve">'Verify Scope of Testing and Evaluation'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ตั้งค่าเครื่องมือ </t>
    </r>
    <r>
      <rPr>
        <rFont val="Calibri"/>
        <color theme="1"/>
        <sz val="14.0"/>
      </rPr>
      <t xml:space="preserve">SAST/DAST/IAST </t>
    </r>
    <r>
      <rPr>
        <rFont val="FreeSans"/>
        <color theme="1"/>
        <sz val="14.0"/>
      </rPr>
      <t xml:space="preserve">ใน </t>
    </r>
    <r>
      <rPr>
        <rFont val="Calibri"/>
        <color theme="1"/>
        <sz val="14.0"/>
      </rPr>
      <t xml:space="preserve">Pipeline </t>
    </r>
    <r>
      <rPr>
        <rFont val="FreeSans"/>
        <color theme="1"/>
        <sz val="14.0"/>
      </rPr>
      <t>และแผนทดสอบช่องโหว่</t>
    </r>
  </si>
  <si>
    <t>ESBIT-SA-11(08)</t>
  </si>
  <si>
    <t>SA-11(08)</t>
  </si>
  <si>
    <t>Developer Testing and Evaluation | Dynamic Code Analysis</t>
  </si>
  <si>
    <t>Enhances SA-11 (Developer Testing and Evaluation): configure and enforce 'Dynamic Code Analysis' in addition to the base setting, keep it consistent across applicable systems and document approved exceptions. Base scope: Configure SAST/DAST/IAST tools in the pipeline and test plans for security flaws</t>
  </si>
  <si>
    <r>
      <rPr>
        <rFont val="FreeSans"/>
        <color theme="1"/>
        <sz val="14.0"/>
      </rPr>
      <t xml:space="preserve">ส่วนขยายของ </t>
    </r>
    <r>
      <rPr>
        <rFont val="Calibri"/>
        <color theme="1"/>
        <sz val="14.0"/>
      </rPr>
      <t xml:space="preserve">SA-11: </t>
    </r>
    <r>
      <rPr>
        <rFont val="FreeSans"/>
        <color theme="1"/>
        <sz val="14.0"/>
      </rPr>
      <t xml:space="preserve">กำหนดค่าและบังคับใช้ </t>
    </r>
    <r>
      <rPr>
        <rFont val="Calibri"/>
        <color theme="1"/>
        <sz val="14.0"/>
      </rPr>
      <t xml:space="preserve">'Dynamic Code Analysis'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ตั้งค่าเครื่องมือ </t>
    </r>
    <r>
      <rPr>
        <rFont val="Calibri"/>
        <color theme="1"/>
        <sz val="14.0"/>
      </rPr>
      <t xml:space="preserve">SAST/DAST/IAST </t>
    </r>
    <r>
      <rPr>
        <rFont val="FreeSans"/>
        <color theme="1"/>
        <sz val="14.0"/>
      </rPr>
      <t xml:space="preserve">ใน </t>
    </r>
    <r>
      <rPr>
        <rFont val="Calibri"/>
        <color theme="1"/>
        <sz val="14.0"/>
      </rPr>
      <t xml:space="preserve">Pipeline </t>
    </r>
    <r>
      <rPr>
        <rFont val="FreeSans"/>
        <color theme="1"/>
        <sz val="14.0"/>
      </rPr>
      <t>และแผนทดสอบช่องโหว่</t>
    </r>
  </si>
  <si>
    <t>ESBIT-SA-11(09)</t>
  </si>
  <si>
    <t>SA-11(09)</t>
  </si>
  <si>
    <t>Developer Testing and Evaluation | Interactive Application Security Testing</t>
  </si>
  <si>
    <t>Enhances SA-11 (Developer Testing and Evaluation): configure and enforce 'Interactive Application Security Testing' in addition to the base setting, keep it consistent across applicable systems and document approved exceptions. Base scope: Configure SAST/DAST/IAST tools in the pipeline and test plans for security flaws</t>
  </si>
  <si>
    <r>
      <rPr>
        <rFont val="FreeSans"/>
        <color theme="1"/>
        <sz val="14.0"/>
      </rPr>
      <t xml:space="preserve">ส่วนขยายของ </t>
    </r>
    <r>
      <rPr>
        <rFont val="Calibri"/>
        <color theme="1"/>
        <sz val="14.0"/>
      </rPr>
      <t xml:space="preserve">SA-11: </t>
    </r>
    <r>
      <rPr>
        <rFont val="FreeSans"/>
        <color theme="1"/>
        <sz val="14.0"/>
      </rPr>
      <t xml:space="preserve">กำหนดค่าและบังคับใช้ </t>
    </r>
    <r>
      <rPr>
        <rFont val="Calibri"/>
        <color theme="1"/>
        <sz val="14.0"/>
      </rPr>
      <t xml:space="preserve">'Interactive Application Security Testing'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ตั้งค่าเครื่องมือ </t>
    </r>
    <r>
      <rPr>
        <rFont val="Calibri"/>
        <color theme="1"/>
        <sz val="14.0"/>
      </rPr>
      <t xml:space="preserve">SAST/DAST/IAST </t>
    </r>
    <r>
      <rPr>
        <rFont val="FreeSans"/>
        <color theme="1"/>
        <sz val="14.0"/>
      </rPr>
      <t xml:space="preserve">ใน </t>
    </r>
    <r>
      <rPr>
        <rFont val="Calibri"/>
        <color theme="1"/>
        <sz val="14.0"/>
      </rPr>
      <t xml:space="preserve">Pipeline </t>
    </r>
    <r>
      <rPr>
        <rFont val="FreeSans"/>
        <color theme="1"/>
        <sz val="14.0"/>
      </rPr>
      <t>และแผนทดสอบช่องโหว่</t>
    </r>
  </si>
  <si>
    <t>ESBIT-SA-15</t>
  </si>
  <si>
    <t>SA-15</t>
  </si>
  <si>
    <t>Development Process, Standards, and Tools</t>
  </si>
  <si>
    <t>Not a direct configuration item - secure development process, standards and tools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</si>
  <si>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กระบวนการ มาตรฐาน และเครื่องมือพัฒนาอย่างปลอดภัย</t>
    </r>
  </si>
  <si>
    <t>ESBIT-SA-15(01)</t>
  </si>
  <si>
    <t>SA-15(01)</t>
  </si>
  <si>
    <t>Development Process, Standards, and Tools | Quality Metrics</t>
  </si>
  <si>
    <t>Not a direct configuration item - enhancement of SA-15 (Development Process, Standards, and Tools): 'Quality Metrics'; secure development process, standards and tools.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</si>
  <si>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SA-15: 'Quality Metrics' - </t>
    </r>
    <r>
      <rPr>
        <rFont val="FreeSans"/>
        <color theme="1"/>
        <sz val="14.0"/>
      </rPr>
      <t>กระบวนการ มาตรฐาน และเครื่องมือพัฒนาอย่างปลอดภัย</t>
    </r>
  </si>
  <si>
    <t>ESBIT-SA-15(02)</t>
  </si>
  <si>
    <t>SA-15(02)</t>
  </si>
  <si>
    <t>Development Process, Standards, and Tools | Security and Privacy Tracking Tools</t>
  </si>
  <si>
    <t>Not a direct configuration item - enhancement of SA-15 (Development Process, Standards, and Tools): 'Security and Privacy Tracking Tools'; secure development process, standards and tools.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</si>
  <si>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SA-15: 'Security and Privacy Tracking Tools' - </t>
    </r>
    <r>
      <rPr>
        <rFont val="FreeSans"/>
        <color theme="1"/>
        <sz val="14.0"/>
      </rPr>
      <t>กระบวนการ มาตรฐาน และเครื่องมือพัฒนาอย่างปลอดภัย</t>
    </r>
  </si>
  <si>
    <t>ESBIT-SA-15(03)</t>
  </si>
  <si>
    <t>SA-15(03)</t>
  </si>
  <si>
    <t>Development Process, Standards, and Tools | Criticality Analysis</t>
  </si>
  <si>
    <t>Not a direct configuration item - enhancement of SA-15 (Development Process, Standards, and Tools): 'Criticality Analysis'; secure development process, standards and tools.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</si>
  <si>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SA-15: 'Criticality Analysis' - </t>
    </r>
    <r>
      <rPr>
        <rFont val="FreeSans"/>
        <color theme="1"/>
        <sz val="14.0"/>
      </rPr>
      <t>กระบวนการ มาตรฐาน และเครื่องมือพัฒนาอย่างปลอดภัย</t>
    </r>
  </si>
  <si>
    <t>ESBIT-SA-15(05)</t>
  </si>
  <si>
    <t>SA-15(05)</t>
  </si>
  <si>
    <t>Development Process, Standards, and Tools | Attack Surface Reduction</t>
  </si>
  <si>
    <t>Not a direct configuration item - enhancement of SA-15 (Development Process, Standards, and Tools): 'Attack Surface Reduction'; secure development process, standards and tools.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</si>
  <si>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SA-15: 'Attack Surface Reduction' - </t>
    </r>
    <r>
      <rPr>
        <rFont val="FreeSans"/>
        <color theme="1"/>
        <sz val="14.0"/>
      </rPr>
      <t>กระบวนการ มาตรฐาน และเครื่องมือพัฒนาอย่างปลอดภัย</t>
    </r>
  </si>
  <si>
    <t>ESBIT-SA-15(06)</t>
  </si>
  <si>
    <t>SA-15(06)</t>
  </si>
  <si>
    <t>Development Process, Standards, and Tools | Continuous Improvement</t>
  </si>
  <si>
    <t>Not a direct configuration item - enhancement of SA-15 (Development Process, Standards, and Tools): 'Continuous Improvement'; secure development process, standards and tools.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</si>
  <si>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SA-15: 'Continuous Improvement' - </t>
    </r>
    <r>
      <rPr>
        <rFont val="FreeSans"/>
        <color theme="1"/>
        <sz val="14.0"/>
      </rPr>
      <t>กระบวนการ มาตรฐาน และเครื่องมือพัฒนาอย่างปลอดภัย</t>
    </r>
  </si>
  <si>
    <t>ESBIT-SA-15(07)</t>
  </si>
  <si>
    <t>SA-15(07)</t>
  </si>
  <si>
    <t>Development Process, Standards, and Tools | Automated Vulnerability Analysis</t>
  </si>
  <si>
    <t>Not a direct configuration item - enhancement of SA-15 (Development Process, Standards, and Tools): 'Automated Vulnerability Analysis'; secure development process, standards and tools.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</si>
  <si>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SA-15: 'Automated Vulnerability Analysis' - </t>
    </r>
    <r>
      <rPr>
        <rFont val="FreeSans"/>
        <color theme="1"/>
        <sz val="14.0"/>
      </rPr>
      <t>กระบวนการ มาตรฐาน และเครื่องมือพัฒนาอย่างปลอดภัย</t>
    </r>
  </si>
  <si>
    <t>ESBIT-SA-15(08)</t>
  </si>
  <si>
    <t>SA-15(08)</t>
  </si>
  <si>
    <t>Development Process, Standards, and Tools | Reuse of Threat and Vulnerability Information</t>
  </si>
  <si>
    <t>Not a direct configuration item - enhancement of SA-15 (Development Process, Standards, and Tools): 'Reuse of Threat and Vulnerability Information'; secure development process, standards and tools.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</si>
  <si>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SA-15: 'Reuse of Threat and Vulnerability Information' - </t>
    </r>
    <r>
      <rPr>
        <rFont val="FreeSans"/>
        <color theme="1"/>
        <sz val="14.0"/>
      </rPr>
      <t>กระบวนการ มาตรฐาน และเครื่องมือพัฒนาอย่างปลอดภัย</t>
    </r>
  </si>
  <si>
    <t>ESBIT-SA-15(10)</t>
  </si>
  <si>
    <t>SA-15(10)</t>
  </si>
  <si>
    <t>Development Process, Standards, and Tools | Incident Response Plan</t>
  </si>
  <si>
    <t>Not a direct configuration item - enhancement of SA-15 (Development Process, Standards, and Tools): 'Incident Response Plan'; secure development process, standards and tools.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</si>
  <si>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SA-15: 'Incident Response Plan' - </t>
    </r>
    <r>
      <rPr>
        <rFont val="FreeSans"/>
        <color theme="1"/>
        <sz val="14.0"/>
      </rPr>
      <t>กระบวนการ มาตรฐาน และเครื่องมือพัฒนาอย่างปลอดภัย</t>
    </r>
  </si>
  <si>
    <t>ESBIT-SA-15(11)</t>
  </si>
  <si>
    <t>SA-15(11)</t>
  </si>
  <si>
    <t>Development Process, Standards, and Tools | Archive System or Component</t>
  </si>
  <si>
    <t>Not a direct configuration item - enhancement of SA-15 (Development Process, Standards, and Tools): 'Archive System or Component'; secure development process, standards and tools.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</si>
  <si>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SA-15: 'Archive System or Component' - </t>
    </r>
    <r>
      <rPr>
        <rFont val="FreeSans"/>
        <color theme="1"/>
        <sz val="14.0"/>
      </rPr>
      <t>กระบวนการ มาตรฐาน และเครื่องมือพัฒนาอย่างปลอดภัย</t>
    </r>
  </si>
  <si>
    <t>ESBIT-SA-15(12)</t>
  </si>
  <si>
    <t>SA-15(12)</t>
  </si>
  <si>
    <t>Development Process, Standards, and Tools | Minimize Personally Identifiable Information</t>
  </si>
  <si>
    <t>Not a direct configuration item - enhancement of SA-15 (Development Process, Standards, and Tools): 'Minimize Personally Identifiable Information'; secure development process, standards and tools.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</si>
  <si>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SA-15: 'Minimize Personally Identifiable Information' - </t>
    </r>
    <r>
      <rPr>
        <rFont val="FreeSans"/>
        <color theme="1"/>
        <sz val="14.0"/>
      </rPr>
      <t>กระบวนการ มาตรฐาน และเครื่องมือพัฒนาอย่างปลอดภัย</t>
    </r>
  </si>
  <si>
    <t>ESBIT-SA-16</t>
  </si>
  <si>
    <t>SA-16</t>
  </si>
  <si>
    <t>Developer-provided Training</t>
  </si>
  <si>
    <t>Not a direct configuration item - training provided by developers or vendors for secure use</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</si>
  <si>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การอบรมจากผู้พัฒนา</t>
    </r>
    <r>
      <rPr>
        <rFont val="Calibri"/>
        <color theme="1"/>
        <sz val="14.0"/>
      </rPr>
      <t>/</t>
    </r>
    <r>
      <rPr>
        <rFont val="FreeSans"/>
        <color theme="1"/>
        <sz val="14.0"/>
      </rPr>
      <t>ผู้ขายสำหรับการใช้งานอย่างปลอดภัย</t>
    </r>
  </si>
  <si>
    <t>ESBIT-SA-17</t>
  </si>
  <si>
    <t>SA-17</t>
  </si>
  <si>
    <t>Developer Security and Privacy Architecture and Design</t>
  </si>
  <si>
    <t>Not a direct configuration item - developer security architecture and design documentation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</si>
  <si>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เอกสารสถาปัตยกรรมและการออกแบบด้านความปลอดภัยจากผู้พัฒนา</t>
    </r>
  </si>
  <si>
    <t>ESBIT-SA-17(01)</t>
  </si>
  <si>
    <t>SA-17(01)</t>
  </si>
  <si>
    <t>Developer Security and Privacy Architecture and Design | Formal Policy Model</t>
  </si>
  <si>
    <t>Not a direct configuration item - enhancement of SA-17 (Developer Security and Privacy Architecture and Design): 'Formal Policy Model'; developer security architecture and design documentation.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</si>
  <si>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SA-17: 'Formal Policy Model' - </t>
    </r>
    <r>
      <rPr>
        <rFont val="FreeSans"/>
        <color theme="1"/>
        <sz val="14.0"/>
      </rPr>
      <t>เอกสารสถาปัตยกรรมและการออกแบบด้านความปลอดภัยจากผู้พัฒนา</t>
    </r>
  </si>
  <si>
    <t>ESBIT-SA-17(02)</t>
  </si>
  <si>
    <t>SA-17(02)</t>
  </si>
  <si>
    <t>Developer Security and Privacy Architecture and Design | Security-relevant Components</t>
  </si>
  <si>
    <t>Not a direct configuration item - enhancement of SA-17 (Developer Security and Privacy Architecture and Design): 'Security-relevant Components'; developer security architecture and design documentation.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</si>
  <si>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SA-17: 'Security-relevant Components' - </t>
    </r>
    <r>
      <rPr>
        <rFont val="FreeSans"/>
        <color theme="1"/>
        <sz val="14.0"/>
      </rPr>
      <t>เอกสารสถาปัตยกรรมและการออกแบบด้านความปลอดภัยจากผู้พัฒนา</t>
    </r>
  </si>
  <si>
    <t>ESBIT-SA-17(03)</t>
  </si>
  <si>
    <t>SA-17(03)</t>
  </si>
  <si>
    <t>Developer Security and Privacy Architecture and Design | Formal Correspondence</t>
  </si>
  <si>
    <t>Not a direct configuration item - enhancement of SA-17 (Developer Security and Privacy Architecture and Design): 'Formal Correspondence'; developer security architecture and design documentation.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</si>
  <si>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SA-17: 'Formal Correspondence' - </t>
    </r>
    <r>
      <rPr>
        <rFont val="FreeSans"/>
        <color theme="1"/>
        <sz val="14.0"/>
      </rPr>
      <t>เอกสารสถาปัตยกรรมและการออกแบบด้านความปลอดภัยจากผู้พัฒนา</t>
    </r>
  </si>
  <si>
    <t>ESBIT-SA-17(04)</t>
  </si>
  <si>
    <t>SA-17(04)</t>
  </si>
  <si>
    <t>Developer Security and Privacy Architecture and Design | Informal Correspondence</t>
  </si>
  <si>
    <t>Not a direct configuration item - enhancement of SA-17 (Developer Security and Privacy Architecture and Design): 'Informal Correspondence'; developer security architecture and design documentation.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</si>
  <si>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SA-17: 'Informal Correspondence' - </t>
    </r>
    <r>
      <rPr>
        <rFont val="FreeSans"/>
        <color theme="1"/>
        <sz val="14.0"/>
      </rPr>
      <t>เอกสารสถาปัตยกรรมและการออกแบบด้านความปลอดภัยจากผู้พัฒนา</t>
    </r>
  </si>
  <si>
    <t>ESBIT-SA-17(05)</t>
  </si>
  <si>
    <t>SA-17(05)</t>
  </si>
  <si>
    <t>Developer Security and Privacy Architecture and Design | Conceptual Simplicity</t>
  </si>
  <si>
    <t>Not a direct configuration item - enhancement of SA-17 (Developer Security and Privacy Architecture and Design): 'Conceptual Simplicity'; developer security architecture and design documentation.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</si>
  <si>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SA-17: 'Conceptual Simplicity' - </t>
    </r>
    <r>
      <rPr>
        <rFont val="FreeSans"/>
        <color theme="1"/>
        <sz val="14.0"/>
      </rPr>
      <t>เอกสารสถาปัตยกรรมและการออกแบบด้านความปลอดภัยจากผู้พัฒนา</t>
    </r>
  </si>
  <si>
    <t>ESBIT-SA-17(06)</t>
  </si>
  <si>
    <t>SA-17(06)</t>
  </si>
  <si>
    <t>Developer Security and Privacy Architecture and Design | Structure for Testing</t>
  </si>
  <si>
    <t>Not a direct configuration item - enhancement of SA-17 (Developer Security and Privacy Architecture and Design): 'Structure for Testing'; developer security architecture and design documentation.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</si>
  <si>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SA-17: 'Structure for Testing' - </t>
    </r>
    <r>
      <rPr>
        <rFont val="FreeSans"/>
        <color theme="1"/>
        <sz val="14.0"/>
      </rPr>
      <t>เอกสารสถาปัตยกรรมและการออกแบบด้านความปลอดภัยจากผู้พัฒนา</t>
    </r>
  </si>
  <si>
    <t>ESBIT-SA-17(07)</t>
  </si>
  <si>
    <t>SA-17(07)</t>
  </si>
  <si>
    <t>Developer Security and Privacy Architecture and Design | Structure for Least Privilege</t>
  </si>
  <si>
    <t>Not a direct configuration item - enhancement of SA-17 (Developer Security and Privacy Architecture and Design): 'Structure for Least Privilege'; developer security architecture and design documentation.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</si>
  <si>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SA-17: 'Structure for Least Privilege' - </t>
    </r>
    <r>
      <rPr>
        <rFont val="FreeSans"/>
        <color theme="1"/>
        <sz val="14.0"/>
      </rPr>
      <t>เอกสารสถาปัตยกรรมและการออกแบบด้านความปลอดภัยจากผู้พัฒนา</t>
    </r>
  </si>
  <si>
    <t>ESBIT-SA-17(08)</t>
  </si>
  <si>
    <t>SA-17(08)</t>
  </si>
  <si>
    <t>Developer Security and Privacy Architecture and Design | Orchestration</t>
  </si>
  <si>
    <t>Not a direct configuration item - enhancement of SA-17 (Developer Security and Privacy Architecture and Design): 'Orchestration'; developer security architecture and design documentation.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</si>
  <si>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SA-17: 'Orchestration' - </t>
    </r>
    <r>
      <rPr>
        <rFont val="FreeSans"/>
        <color theme="1"/>
        <sz val="14.0"/>
      </rPr>
      <t>เอกสารสถาปัตยกรรมและการออกแบบด้านความปลอดภัยจากผู้พัฒนา</t>
    </r>
  </si>
  <si>
    <t>ESBIT-SA-17(09)</t>
  </si>
  <si>
    <t>SA-17(09)</t>
  </si>
  <si>
    <t>Developer Security and Privacy Architecture and Design | Design Diversity</t>
  </si>
  <si>
    <t>Not a direct configuration item - enhancement of SA-17 (Developer Security and Privacy Architecture and Design): 'Design Diversity'; developer security architecture and design documentation.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</si>
  <si>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SA-17: 'Design Diversity' - </t>
    </r>
    <r>
      <rPr>
        <rFont val="FreeSans"/>
        <color theme="1"/>
        <sz val="14.0"/>
      </rPr>
      <t>เอกสารสถาปัตยกรรมและการออกแบบด้านความปลอดภัยจากผู้พัฒนา</t>
    </r>
  </si>
  <si>
    <t>ESBIT-SA-20</t>
  </si>
  <si>
    <t>SA-20</t>
  </si>
  <si>
    <t>Customized Development of Critical Components</t>
  </si>
  <si>
    <t>Not a direct configuration item - custom development of critical components when no trusted source exists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</si>
  <si>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การพัฒนาเฉพาะคอมโพเนนต์สำคัญเมื่อไม่มีผลิตภัณฑ์ที่เชื่อถือได้</t>
    </r>
  </si>
  <si>
    <t>ESBIT-SA-21</t>
  </si>
  <si>
    <t>SA-21</t>
  </si>
  <si>
    <t>Developer Screening</t>
  </si>
  <si>
    <t>Not a direct configuration item - screening of developers with access to critical systems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</si>
  <si>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การตรวจสอบประวัตินักพัฒนาที่เข้าถึงระบบสำคัญ</t>
    </r>
  </si>
  <si>
    <t>ESBIT-SA-21(01)</t>
  </si>
  <si>
    <t>SA-21(01)</t>
  </si>
  <si>
    <t>Developer Screening | Validation of Screening</t>
  </si>
  <si>
    <t>Not a direct configuration item - enhancement of SA-21 (Developer Screening): 'Validation of Screening'; screening of developers with access to critical systems.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</si>
  <si>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SA-21: 'Validation of Screening' - </t>
    </r>
    <r>
      <rPr>
        <rFont val="FreeSans"/>
        <color theme="1"/>
        <sz val="14.0"/>
      </rPr>
      <t>การตรวจสอบประวัตินักพัฒนาที่เข้าถึงระบบสำคัญ</t>
    </r>
  </si>
  <si>
    <t>ESBIT-SA-22</t>
  </si>
  <si>
    <t>SA-22</t>
  </si>
  <si>
    <t>Unsupported System Components</t>
  </si>
  <si>
    <t>Identify and replace end-of-life or unsupported OS, firmware and software; document exceptions</t>
  </si>
  <si>
    <r>
      <rPr>
        <rFont val="FreeSans"/>
        <color theme="1"/>
        <sz val="14.0"/>
      </rPr>
      <t xml:space="preserve">ระบุและเปลี่ยนทดแทน </t>
    </r>
    <r>
      <rPr>
        <rFont val="Calibri"/>
        <color theme="1"/>
        <sz val="14.0"/>
      </rPr>
      <t>OS/Firmware/</t>
    </r>
    <r>
      <rPr>
        <rFont val="FreeSans"/>
        <color theme="1"/>
        <sz val="14.0"/>
      </rPr>
      <t>ซอฟต์แวร์ที่หมดอายุหรือไม่มีการสนับสนุน พร้อมบันทึกข้อยกเว้น</t>
    </r>
  </si>
  <si>
    <t>ESBIT-SA-22(01)</t>
  </si>
  <si>
    <t>SA-22(01)</t>
  </si>
  <si>
    <t>Unsupported System Components | Alternative Sources for Continued Support</t>
  </si>
  <si>
    <t>Enhances SA-22 (Unsupported System Components): configure and enforce 'Alternative Sources for Continued Support' in addition to the base setting, keep it consistent across applicable systems and document approved exceptions. Base scope: Identify and replace end-of-life or unsupported OS, firmware and software; document exceptions</t>
  </si>
  <si>
    <r>
      <rPr>
        <rFont val="FreeSans"/>
        <color theme="1"/>
        <sz val="14.0"/>
      </rPr>
      <t xml:space="preserve">ส่วนขยายของ </t>
    </r>
    <r>
      <rPr>
        <rFont val="Calibri"/>
        <color theme="1"/>
        <sz val="14.0"/>
      </rPr>
      <t xml:space="preserve">SA-22: </t>
    </r>
    <r>
      <rPr>
        <rFont val="FreeSans"/>
        <color theme="1"/>
        <sz val="14.0"/>
      </rPr>
      <t xml:space="preserve">กำหนดค่าและบังคับใช้ </t>
    </r>
    <r>
      <rPr>
        <rFont val="Calibri"/>
        <color theme="1"/>
        <sz val="14.0"/>
      </rPr>
      <t xml:space="preserve">'Alternative Sources for Continued Support'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ระบุและเปลี่ยนทดแทน </t>
    </r>
    <r>
      <rPr>
        <rFont val="Calibri"/>
        <color theme="1"/>
        <sz val="14.0"/>
      </rPr>
      <t>OS/Firmware/</t>
    </r>
    <r>
      <rPr>
        <rFont val="FreeSans"/>
        <color theme="1"/>
        <sz val="14.0"/>
      </rPr>
      <t>ซอฟต์แวร์ที่หมดอายุหรือไม่มีการสนับสนุน พร้อมบันทึกข้อยกเว้น</t>
    </r>
  </si>
  <si>
    <t>ESBIT-SA-23</t>
  </si>
  <si>
    <t>SA-23</t>
  </si>
  <si>
    <t>Specialization</t>
  </si>
  <si>
    <t>Not a direct configuration item - specialized design and configuration to protect critical components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</si>
  <si>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การออกแบบและการตั้งค่าเฉพาะเพื่อป้องกันคอมโพเนนต์สำคัญ</t>
    </r>
  </si>
  <si>
    <t>ESBIT-SA-24</t>
  </si>
  <si>
    <t>SA-24</t>
  </si>
  <si>
    <t>Design for Cyber Resiliency</t>
  </si>
  <si>
    <t>Not a direct configuration item - designing systems and components for cyber resiliency</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</si>
  <si>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การออกแบบระบบให้มีความสามารถในการฟื้นตัวจากภัยไซเบอร์</t>
    </r>
  </si>
  <si>
    <t>ESBIT-SC-01</t>
  </si>
  <si>
    <t>SC-01</t>
  </si>
  <si>
    <t>Not a direct configuration item - define, document, review and communicate the System and Communications Protection policy and procedures that drive the technical configuration standards.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</si>
  <si>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กำหนด จัดทำเอกสาร และทบทวนนโยบาย</t>
    </r>
    <r>
      <rPr>
        <rFont val="Calibri"/>
        <color theme="1"/>
        <sz val="14.0"/>
      </rPr>
      <t>/</t>
    </r>
    <r>
      <rPr>
        <rFont val="FreeSans"/>
        <color theme="1"/>
        <sz val="14.0"/>
      </rPr>
      <t xml:space="preserve">ขั้นตอนของหมวดการป้องกันระบบและการสื่อสาร เพื่อเป็นฐานในการกำหนดมาตรฐาน </t>
    </r>
    <r>
      <rPr>
        <rFont val="Calibri"/>
        <color theme="1"/>
        <sz val="14.0"/>
      </rPr>
      <t>Config</t>
    </r>
  </si>
  <si>
    <t>ESBIT-SC-02</t>
  </si>
  <si>
    <t>SC-02</t>
  </si>
  <si>
    <t>Separation of System and User Functionality</t>
  </si>
  <si>
    <t>Separate administrative interfaces from user interfaces using management network or separate ports</t>
  </si>
  <si>
    <r>
      <rPr>
        <rFont val="FreeSans"/>
        <color theme="1"/>
        <sz val="14.0"/>
      </rPr>
      <t xml:space="preserve">แยก </t>
    </r>
    <r>
      <rPr>
        <rFont val="Calibri"/>
        <color theme="1"/>
        <sz val="14.0"/>
      </rPr>
      <t xml:space="preserve">Interface </t>
    </r>
    <r>
      <rPr>
        <rFont val="FreeSans"/>
        <color theme="1"/>
        <sz val="14.0"/>
      </rPr>
      <t xml:space="preserve">ผู้ดูแลออกจากผู้ใช้ เช่น </t>
    </r>
    <r>
      <rPr>
        <rFont val="Calibri"/>
        <color theme="1"/>
        <sz val="14.0"/>
      </rPr>
      <t xml:space="preserve">Management Network </t>
    </r>
    <r>
      <rPr>
        <rFont val="FreeSans"/>
        <color theme="1"/>
        <sz val="14.0"/>
      </rPr>
      <t>หรือพอร์ตแยก</t>
    </r>
  </si>
  <si>
    <t>ESBIT-SC-02(01)</t>
  </si>
  <si>
    <t>SC-02(01)</t>
  </si>
  <si>
    <t>Separation of System and User Functionality | Interfaces for Non-privileged Users</t>
  </si>
  <si>
    <t>Enhances SC-02 (Separation of System and User Functionality): configure and enforce 'Interfaces for Non-privileged Users' in addition to the base setting, keep it consistent across applicable systems and document approved exceptions. Base scope: Separate administrative interfaces from user interfaces using management network or separate ports</t>
  </si>
  <si>
    <r>
      <rPr>
        <rFont val="FreeSans"/>
        <color theme="1"/>
        <sz val="14.0"/>
      </rPr>
      <t xml:space="preserve">ส่วนขยายของ </t>
    </r>
    <r>
      <rPr>
        <rFont val="Calibri"/>
        <color theme="1"/>
        <sz val="14.0"/>
      </rPr>
      <t xml:space="preserve">SC-02: </t>
    </r>
    <r>
      <rPr>
        <rFont val="FreeSans"/>
        <color theme="1"/>
        <sz val="14.0"/>
      </rPr>
      <t xml:space="preserve">กำหนดค่าและบังคับใช้ </t>
    </r>
    <r>
      <rPr>
        <rFont val="Calibri"/>
        <color theme="1"/>
        <sz val="14.0"/>
      </rPr>
      <t xml:space="preserve">'Interfaces for Non-privileged Users'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แยก </t>
    </r>
    <r>
      <rPr>
        <rFont val="Calibri"/>
        <color theme="1"/>
        <sz val="14.0"/>
      </rPr>
      <t xml:space="preserve">Interface </t>
    </r>
    <r>
      <rPr>
        <rFont val="FreeSans"/>
        <color theme="1"/>
        <sz val="14.0"/>
      </rPr>
      <t xml:space="preserve">ผู้ดูแลออกจากผู้ใช้ เช่น </t>
    </r>
    <r>
      <rPr>
        <rFont val="Calibri"/>
        <color theme="1"/>
        <sz val="14.0"/>
      </rPr>
      <t xml:space="preserve">Management Network </t>
    </r>
    <r>
      <rPr>
        <rFont val="FreeSans"/>
        <color theme="1"/>
        <sz val="14.0"/>
      </rPr>
      <t>หรือพอร์ตแยก</t>
    </r>
  </si>
  <si>
    <t>ESBIT-SC-03</t>
  </si>
  <si>
    <t>SC-03</t>
  </si>
  <si>
    <t>Security Function Isolation</t>
  </si>
  <si>
    <t>Isolate security functions from nonsecurity functions using separate domains</t>
  </si>
  <si>
    <t>แยกฟังก์ชันด้านความปลอดภัยออกจากฟังก์ชันอื่นด้วยโดเมนแยก</t>
  </si>
  <si>
    <t>ESBIT-SC-03(01)</t>
  </si>
  <si>
    <t>SC-03(01)</t>
  </si>
  <si>
    <t>Security Function Isolation | Hardware Separation</t>
  </si>
  <si>
    <t>Enhances SC-03 (Security Function Isolation): configure and enforce 'Hardware Separation' in addition to the base setting, keep it consistent across applicable systems and document approved exceptions. Base scope: Isolate security functions from nonsecurity functions using separate domains</t>
  </si>
  <si>
    <r>
      <rPr>
        <rFont val="FreeSans"/>
        <color theme="1"/>
        <sz val="14.0"/>
      </rPr>
      <t xml:space="preserve">ส่วนขยายของ </t>
    </r>
    <r>
      <rPr>
        <rFont val="Calibri"/>
        <color theme="1"/>
        <sz val="14.0"/>
      </rPr>
      <t xml:space="preserve">SC-03: </t>
    </r>
    <r>
      <rPr>
        <rFont val="FreeSans"/>
        <color theme="1"/>
        <sz val="14.0"/>
      </rPr>
      <t xml:space="preserve">กำหนดค่าและบังคับใช้ </t>
    </r>
    <r>
      <rPr>
        <rFont val="Calibri"/>
        <color theme="1"/>
        <sz val="14.0"/>
      </rPr>
      <t xml:space="preserve">'Hardware Separation'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แยกฟังก์ชันด้านความปลอดภัยออกจากฟังก์ชันอื่นด้วยโดเมนแยก</t>
    </r>
  </si>
  <si>
    <t>ESBIT-SC-03(02)</t>
  </si>
  <si>
    <t>SC-03(02)</t>
  </si>
  <si>
    <t>Security Function Isolation | Access and Flow Control Functions</t>
  </si>
  <si>
    <t>Enhances SC-03 (Security Function Isolation): configure and enforce 'Access and Flow Control Functions' in addition to the base setting, keep it consistent across applicable systems and document approved exceptions. Base scope: Isolate security functions from nonsecurity functions using separate domains</t>
  </si>
  <si>
    <r>
      <rPr>
        <rFont val="FreeSans"/>
        <color theme="1"/>
        <sz val="14.0"/>
      </rPr>
      <t xml:space="preserve">ส่วนขยายของ </t>
    </r>
    <r>
      <rPr>
        <rFont val="Calibri"/>
        <color theme="1"/>
        <sz val="14.0"/>
      </rPr>
      <t xml:space="preserve">SC-03: </t>
    </r>
    <r>
      <rPr>
        <rFont val="FreeSans"/>
        <color theme="1"/>
        <sz val="14.0"/>
      </rPr>
      <t xml:space="preserve">กำหนดค่าและบังคับใช้ </t>
    </r>
    <r>
      <rPr>
        <rFont val="Calibri"/>
        <color theme="1"/>
        <sz val="14.0"/>
      </rPr>
      <t xml:space="preserve">'Access and Flow Control Functions'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แยกฟังก์ชันด้านความปลอดภัยออกจากฟังก์ชันอื่นด้วยโดเมนแยก</t>
    </r>
  </si>
  <si>
    <t>ESBIT-SC-03(03)</t>
  </si>
  <si>
    <t>SC-03(03)</t>
  </si>
  <si>
    <t>Security Function Isolation | Minimize Nonsecurity Functionality</t>
  </si>
  <si>
    <t>Enhances SC-03 (Security Function Isolation): configure and enforce 'Minimize Nonsecurity Functionality' in addition to the base setting, keep it consistent across applicable systems and document approved exceptions. Base scope: Isolate security functions from nonsecurity functions using separate domains</t>
  </si>
  <si>
    <r>
      <rPr>
        <rFont val="FreeSans"/>
        <color theme="1"/>
        <sz val="14.0"/>
      </rPr>
      <t xml:space="preserve">ส่วนขยายของ </t>
    </r>
    <r>
      <rPr>
        <rFont val="Calibri"/>
        <color theme="1"/>
        <sz val="14.0"/>
      </rPr>
      <t xml:space="preserve">SC-03: </t>
    </r>
    <r>
      <rPr>
        <rFont val="FreeSans"/>
        <color theme="1"/>
        <sz val="14.0"/>
      </rPr>
      <t xml:space="preserve">กำหนดค่าและบังคับใช้ </t>
    </r>
    <r>
      <rPr>
        <rFont val="Calibri"/>
        <color theme="1"/>
        <sz val="14.0"/>
      </rPr>
      <t xml:space="preserve">'Minimize Nonsecurity Functionality'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แยกฟังก์ชันด้านความปลอดภัยออกจากฟังก์ชันอื่นด้วยโดเมนแยก</t>
    </r>
  </si>
  <si>
    <t>ESBIT-SC-03(04)</t>
  </si>
  <si>
    <t>SC-03(04)</t>
  </si>
  <si>
    <t>Security Function Isolation | Module Coupling and Cohesiveness</t>
  </si>
  <si>
    <t>Enhances SC-03 (Security Function Isolation): configure and enforce 'Module Coupling and Cohesiveness' in addition to the base setting, keep it consistent across applicable systems and document approved exceptions. Base scope: Isolate security functions from nonsecurity functions using separate domains</t>
  </si>
  <si>
    <r>
      <rPr>
        <rFont val="FreeSans"/>
        <color theme="1"/>
        <sz val="14.0"/>
      </rPr>
      <t xml:space="preserve">ส่วนขยายของ </t>
    </r>
    <r>
      <rPr>
        <rFont val="Calibri"/>
        <color theme="1"/>
        <sz val="14.0"/>
      </rPr>
      <t xml:space="preserve">SC-03: </t>
    </r>
    <r>
      <rPr>
        <rFont val="FreeSans"/>
        <color theme="1"/>
        <sz val="14.0"/>
      </rPr>
      <t xml:space="preserve">กำหนดค่าและบังคับใช้ </t>
    </r>
    <r>
      <rPr>
        <rFont val="Calibri"/>
        <color theme="1"/>
        <sz val="14.0"/>
      </rPr>
      <t xml:space="preserve">'Module Coupling and Cohesiveness'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แยกฟังก์ชันด้านความปลอดภัยออกจากฟังก์ชันอื่นด้วยโดเมนแยก</t>
    </r>
  </si>
  <si>
    <t>ESBIT-SC-03(05)</t>
  </si>
  <si>
    <t>SC-03(05)</t>
  </si>
  <si>
    <t>Security Function Isolation | Layered Structures</t>
  </si>
  <si>
    <t>Enhances SC-03 (Security Function Isolation): configure and enforce 'Layered Structures' in addition to the base setting, keep it consistent across applicable systems and document approved exceptions. Base scope: Isolate security functions from nonsecurity functions using separate domains</t>
  </si>
  <si>
    <r>
      <rPr>
        <rFont val="FreeSans"/>
        <color theme="1"/>
        <sz val="14.0"/>
      </rPr>
      <t xml:space="preserve">ส่วนขยายของ </t>
    </r>
    <r>
      <rPr>
        <rFont val="Calibri"/>
        <color theme="1"/>
        <sz val="14.0"/>
      </rPr>
      <t xml:space="preserve">SC-03: </t>
    </r>
    <r>
      <rPr>
        <rFont val="FreeSans"/>
        <color theme="1"/>
        <sz val="14.0"/>
      </rPr>
      <t xml:space="preserve">กำหนดค่าและบังคับใช้ </t>
    </r>
    <r>
      <rPr>
        <rFont val="Calibri"/>
        <color theme="1"/>
        <sz val="14.0"/>
      </rPr>
      <t xml:space="preserve">'Layered Structures'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แยกฟังก์ชันด้านความปลอดภัยออกจากฟังก์ชันอื่นด้วยโดเมนแยก</t>
    </r>
  </si>
  <si>
    <t>ESBIT-SC-04</t>
  </si>
  <si>
    <t>SC-04</t>
  </si>
  <si>
    <t>Information in Shared System Resources</t>
  </si>
  <si>
    <t>Configure memory and storage object reuse protection to prevent residual data disclosure</t>
  </si>
  <si>
    <r>
      <rPr>
        <rFont val="FreeSans"/>
        <color theme="1"/>
        <sz val="14.0"/>
      </rPr>
      <t xml:space="preserve">ตั้งค่าป้องกันการนำ </t>
    </r>
    <r>
      <rPr>
        <rFont val="Calibri"/>
        <color theme="1"/>
        <sz val="14.0"/>
      </rPr>
      <t xml:space="preserve">Memory/Storage </t>
    </r>
    <r>
      <rPr>
        <rFont val="FreeSans"/>
        <color theme="1"/>
        <sz val="14.0"/>
      </rPr>
      <t>กลับมาใช้แล้วเห็นข้อมูลเดิม</t>
    </r>
  </si>
  <si>
    <t>Infrastructure (Server/OS), Cloud</t>
  </si>
  <si>
    <t>ESBIT-SC-04(02)</t>
  </si>
  <si>
    <t>SC-04(02)</t>
  </si>
  <si>
    <t>Information in Shared System Resources | Multilevel or Periods Processing</t>
  </si>
  <si>
    <t>Enhances SC-04 (Information in Shared System Resources): configure and enforce 'Multilevel or Periods Processing' in addition to the base setting, keep it consistent across applicable systems and document approved exceptions. Base scope: Configure memory and storage object reuse protection to prevent residual data disclosure</t>
  </si>
  <si>
    <r>
      <rPr>
        <rFont val="FreeSans"/>
        <color theme="1"/>
        <sz val="14.0"/>
      </rPr>
      <t xml:space="preserve">ส่วนขยายของ </t>
    </r>
    <r>
      <rPr>
        <rFont val="Calibri"/>
        <color theme="1"/>
        <sz val="14.0"/>
      </rPr>
      <t xml:space="preserve">SC-04: </t>
    </r>
    <r>
      <rPr>
        <rFont val="FreeSans"/>
        <color theme="1"/>
        <sz val="14.0"/>
      </rPr>
      <t xml:space="preserve">กำหนดค่าและบังคับใช้ </t>
    </r>
    <r>
      <rPr>
        <rFont val="Calibri"/>
        <color theme="1"/>
        <sz val="14.0"/>
      </rPr>
      <t xml:space="preserve">'Multilevel or Periods Processing'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ตั้งค่าป้องกันการนำ </t>
    </r>
    <r>
      <rPr>
        <rFont val="Calibri"/>
        <color theme="1"/>
        <sz val="14.0"/>
      </rPr>
      <t xml:space="preserve">Memory/Storage </t>
    </r>
    <r>
      <rPr>
        <rFont val="FreeSans"/>
        <color theme="1"/>
        <sz val="14.0"/>
      </rPr>
      <t>กลับมาใช้แล้วเห็นข้อมูลเดิม</t>
    </r>
  </si>
  <si>
    <t>ESBIT-SC-05</t>
  </si>
  <si>
    <t>SC-05</t>
  </si>
  <si>
    <t>Denial-of-service Protection</t>
  </si>
  <si>
    <t>Configure DDoS protection, rate limiting, SYN protection, CDN/WAF and capacity thresholds</t>
  </si>
  <si>
    <r>
      <rPr>
        <rFont val="FreeSans"/>
        <color theme="1"/>
        <sz val="14.0"/>
      </rPr>
      <t xml:space="preserve">ตั้งค่า </t>
    </r>
    <r>
      <rPr>
        <rFont val="Calibri"/>
        <color theme="1"/>
        <sz val="14.0"/>
      </rPr>
      <t xml:space="preserve">DDoS Protection, Rate Limit, SYN Protection, CDN/WAF </t>
    </r>
    <r>
      <rPr>
        <rFont val="FreeSans"/>
        <color theme="1"/>
        <sz val="14.0"/>
      </rPr>
      <t xml:space="preserve">และเกณฑ์ </t>
    </r>
    <r>
      <rPr>
        <rFont val="Calibri"/>
        <color theme="1"/>
        <sz val="14.0"/>
      </rPr>
      <t>Capacity</t>
    </r>
  </si>
  <si>
    <t>ESBIT-SC-05(01)</t>
  </si>
  <si>
    <t>SC-05(01)</t>
  </si>
  <si>
    <t>Denial-of-service Protection | Restrict Ability to Attack Other Systems</t>
  </si>
  <si>
    <t>Enhances SC-05 (Denial-of-service Protection): configure and enforce 'Restrict Ability to Attack Other Systems' in addition to the base setting, keep it consistent across applicable systems and document approved exceptions. Base scope: Configure DDoS protection, rate limiting, SYN protection, CDN/WAF and capacity thresholds</t>
  </si>
  <si>
    <r>
      <rPr>
        <rFont val="FreeSans"/>
        <color theme="1"/>
        <sz val="14.0"/>
      </rPr>
      <t xml:space="preserve">ส่วนขยายของ </t>
    </r>
    <r>
      <rPr>
        <rFont val="Calibri"/>
        <color theme="1"/>
        <sz val="14.0"/>
      </rPr>
      <t xml:space="preserve">SC-05: </t>
    </r>
    <r>
      <rPr>
        <rFont val="FreeSans"/>
        <color theme="1"/>
        <sz val="14.0"/>
      </rPr>
      <t xml:space="preserve">กำหนดค่าและบังคับใช้ </t>
    </r>
    <r>
      <rPr>
        <rFont val="Calibri"/>
        <color theme="1"/>
        <sz val="14.0"/>
      </rPr>
      <t xml:space="preserve">'Restrict Ability to Attack Other Systems'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DDoS Protection, Rate Limit, SYN Protection, CDN/WAF </t>
    </r>
    <r>
      <rPr>
        <rFont val="FreeSans"/>
        <color theme="1"/>
        <sz val="14.0"/>
      </rPr>
      <t xml:space="preserve">และเกณฑ์ </t>
    </r>
    <r>
      <rPr>
        <rFont val="Calibri"/>
        <color theme="1"/>
        <sz val="14.0"/>
      </rPr>
      <t>Capacity</t>
    </r>
  </si>
  <si>
    <t>ESBIT-SC-05(02)</t>
  </si>
  <si>
    <t>SC-05(02)</t>
  </si>
  <si>
    <t>Denial-of-service Protection | Capacity, Bandwidth, and Redundancy</t>
  </si>
  <si>
    <t>Enhances SC-05 (Denial-of-service Protection): configure and enforce 'Capacity, Bandwidth, and Redundancy' in addition to the base setting, keep it consistent across applicable systems and document approved exceptions. Base scope: Configure DDoS protection, rate limiting, SYN protection, CDN/WAF and capacity thresholds</t>
  </si>
  <si>
    <r>
      <rPr>
        <rFont val="FreeSans"/>
        <color theme="1"/>
        <sz val="14.0"/>
      </rPr>
      <t xml:space="preserve">ส่วนขยายของ </t>
    </r>
    <r>
      <rPr>
        <rFont val="Calibri"/>
        <color theme="1"/>
        <sz val="14.0"/>
      </rPr>
      <t xml:space="preserve">SC-05: </t>
    </r>
    <r>
      <rPr>
        <rFont val="FreeSans"/>
        <color theme="1"/>
        <sz val="14.0"/>
      </rPr>
      <t xml:space="preserve">กำหนดค่าและบังคับใช้ </t>
    </r>
    <r>
      <rPr>
        <rFont val="Calibri"/>
        <color theme="1"/>
        <sz val="14.0"/>
      </rPr>
      <t xml:space="preserve">'Capacity, Bandwidth, and Redundancy'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DDoS Protection, Rate Limit, SYN Protection, CDN/WAF </t>
    </r>
    <r>
      <rPr>
        <rFont val="FreeSans"/>
        <color theme="1"/>
        <sz val="14.0"/>
      </rPr>
      <t xml:space="preserve">และเกณฑ์ </t>
    </r>
    <r>
      <rPr>
        <rFont val="Calibri"/>
        <color theme="1"/>
        <sz val="14.0"/>
      </rPr>
      <t>Capacity</t>
    </r>
  </si>
  <si>
    <t>ESBIT-SC-05(03)</t>
  </si>
  <si>
    <t>SC-05(03)</t>
  </si>
  <si>
    <t>Denial-of-service Protection | Detection and Monitoring</t>
  </si>
  <si>
    <t>Enhances SC-05 (Denial-of-service Protection): configure and enforce 'Detection and Monitoring' in addition to the base setting, keep it consistent across applicable systems and document approved exceptions. Base scope: Configure DDoS protection, rate limiting, SYN protection, CDN/WAF and capacity thresholds</t>
  </si>
  <si>
    <r>
      <rPr>
        <rFont val="FreeSans"/>
        <color theme="1"/>
        <sz val="14.0"/>
      </rPr>
      <t xml:space="preserve">ส่วนขยายของ </t>
    </r>
    <r>
      <rPr>
        <rFont val="Calibri"/>
        <color theme="1"/>
        <sz val="14.0"/>
      </rPr>
      <t xml:space="preserve">SC-05: </t>
    </r>
    <r>
      <rPr>
        <rFont val="FreeSans"/>
        <color theme="1"/>
        <sz val="14.0"/>
      </rPr>
      <t xml:space="preserve">กำหนดค่าและบังคับใช้ </t>
    </r>
    <r>
      <rPr>
        <rFont val="Calibri"/>
        <color theme="1"/>
        <sz val="14.0"/>
      </rPr>
      <t xml:space="preserve">'Detection and Monitoring'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DDoS Protection, Rate Limit, SYN Protection, CDN/WAF </t>
    </r>
    <r>
      <rPr>
        <rFont val="FreeSans"/>
        <color theme="1"/>
        <sz val="14.0"/>
      </rPr>
      <t xml:space="preserve">และเกณฑ์ </t>
    </r>
    <r>
      <rPr>
        <rFont val="Calibri"/>
        <color theme="1"/>
        <sz val="14.0"/>
      </rPr>
      <t>Capacity</t>
    </r>
  </si>
  <si>
    <t>ESBIT-SC-06</t>
  </si>
  <si>
    <t>SC-06</t>
  </si>
  <si>
    <t>Resource Availability</t>
  </si>
  <si>
    <t>Configure resource quotas, priorities and limits (CPU, memory, connections) to protect availability</t>
  </si>
  <si>
    <r>
      <rPr>
        <rFont val="FreeSans"/>
        <color theme="1"/>
        <sz val="14.0"/>
      </rPr>
      <t xml:space="preserve">ตั้งค่า </t>
    </r>
    <r>
      <rPr>
        <rFont val="Calibri"/>
        <color theme="1"/>
        <sz val="14.0"/>
      </rPr>
      <t xml:space="preserve">Quota/Priority/Limit </t>
    </r>
    <r>
      <rPr>
        <rFont val="FreeSans"/>
        <color theme="1"/>
        <sz val="14.0"/>
      </rPr>
      <t xml:space="preserve">ของทรัพยากร </t>
    </r>
    <r>
      <rPr>
        <rFont val="Calibri"/>
        <color theme="1"/>
        <sz val="14.0"/>
      </rPr>
      <t xml:space="preserve">(CPU, Memory, Connection) </t>
    </r>
    <r>
      <rPr>
        <rFont val="FreeSans"/>
        <color theme="1"/>
        <sz val="14.0"/>
      </rPr>
      <t>เพื่อรักษาความพร้อมใช้งาน</t>
    </r>
  </si>
  <si>
    <t>ESBIT-SC-07</t>
  </si>
  <si>
    <t>SC-07</t>
  </si>
  <si>
    <t>Boundary Protection</t>
  </si>
  <si>
    <t>Configure firewalls, DMZ, deny-by-default rules, proxies, IDS/IPS and managed interfaces at all network boundaries</t>
  </si>
  <si>
    <r>
      <rPr>
        <rFont val="FreeSans"/>
        <color theme="1"/>
        <sz val="14.0"/>
      </rPr>
      <t xml:space="preserve">ตั้งค่า </t>
    </r>
    <r>
      <rPr>
        <rFont val="Calibri"/>
        <color theme="1"/>
        <sz val="14.0"/>
      </rPr>
      <t xml:space="preserve">Firewall, DMZ, Deny by Default, Proxy, IDS/IPS </t>
    </r>
    <r>
      <rPr>
        <rFont val="FreeSans"/>
        <color theme="1"/>
        <sz val="14.0"/>
      </rPr>
      <t xml:space="preserve">และ </t>
    </r>
    <r>
      <rPr>
        <rFont val="Calibri"/>
        <color theme="1"/>
        <sz val="14.0"/>
      </rPr>
      <t xml:space="preserve">Managed Interface </t>
    </r>
    <r>
      <rPr>
        <rFont val="FreeSans"/>
        <color theme="1"/>
        <sz val="14.0"/>
      </rPr>
      <t>ที่ขอบเขตเครือข่ายทั้งหมด</t>
    </r>
  </si>
  <si>
    <t>ESBIT-SC-07(03)</t>
  </si>
  <si>
    <t>SC-07(03)</t>
  </si>
  <si>
    <t>Boundary Protection | Access Points</t>
  </si>
  <si>
    <t>Enhances SC-07 (Boundary Protection): configure and enforce 'Access Points' in addition to the base setting, keep it consistent across applicable systems and document approved exceptions. Base scope: Configure firewalls, DMZ, deny-by-default rules, proxies, IDS/IPS and managed interfaces at all network boundaries</t>
  </si>
  <si>
    <r>
      <rPr>
        <rFont val="FreeSans"/>
        <color theme="1"/>
        <sz val="14.0"/>
      </rPr>
      <t xml:space="preserve">ส่วนขยายของ </t>
    </r>
    <r>
      <rPr>
        <rFont val="Calibri"/>
        <color theme="1"/>
        <sz val="14.0"/>
      </rPr>
      <t xml:space="preserve">SC-07: </t>
    </r>
    <r>
      <rPr>
        <rFont val="FreeSans"/>
        <color theme="1"/>
        <sz val="14.0"/>
      </rPr>
      <t xml:space="preserve">กำหนดค่าและบังคับใช้ </t>
    </r>
    <r>
      <rPr>
        <rFont val="Calibri"/>
        <color theme="1"/>
        <sz val="14.0"/>
      </rPr>
      <t xml:space="preserve">'Access Points'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Firewall, DMZ, Deny by Default, Proxy, IDS/IPS </t>
    </r>
    <r>
      <rPr>
        <rFont val="FreeSans"/>
        <color theme="1"/>
        <sz val="14.0"/>
      </rPr>
      <t xml:space="preserve">และ </t>
    </r>
    <r>
      <rPr>
        <rFont val="Calibri"/>
        <color theme="1"/>
        <sz val="14.0"/>
      </rPr>
      <t xml:space="preserve">Managed Interface </t>
    </r>
    <r>
      <rPr>
        <rFont val="FreeSans"/>
        <color theme="1"/>
        <sz val="14.0"/>
      </rPr>
      <t>ที่ขอบเขตเครือข่ายทั้งหมด</t>
    </r>
  </si>
  <si>
    <t>ESBIT-SC-07(04)</t>
  </si>
  <si>
    <t>SC-07(04)</t>
  </si>
  <si>
    <t>Boundary Protection | External Telecommunications Services</t>
  </si>
  <si>
    <t>Enhances SC-07 (Boundary Protection): configure and enforce 'External Telecommunications Services' in addition to the base setting, keep it consistent across applicable systems and document approved exceptions. Base scope: Configure firewalls, DMZ, deny-by-default rules, proxies, IDS/IPS and managed interfaces at all network boundaries</t>
  </si>
  <si>
    <r>
      <rPr>
        <rFont val="FreeSans"/>
        <color theme="1"/>
        <sz val="14.0"/>
      </rPr>
      <t xml:space="preserve">ส่วนขยายของ </t>
    </r>
    <r>
      <rPr>
        <rFont val="Calibri"/>
        <color theme="1"/>
        <sz val="14.0"/>
      </rPr>
      <t xml:space="preserve">SC-07: </t>
    </r>
    <r>
      <rPr>
        <rFont val="FreeSans"/>
        <color theme="1"/>
        <sz val="14.0"/>
      </rPr>
      <t xml:space="preserve">กำหนดค่าและบังคับใช้ </t>
    </r>
    <r>
      <rPr>
        <rFont val="Calibri"/>
        <color theme="1"/>
        <sz val="14.0"/>
      </rPr>
      <t xml:space="preserve">'External Telecommunications Services'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Firewall, DMZ, Deny by Default, Proxy, IDS/IPS </t>
    </r>
    <r>
      <rPr>
        <rFont val="FreeSans"/>
        <color theme="1"/>
        <sz val="14.0"/>
      </rPr>
      <t xml:space="preserve">และ </t>
    </r>
    <r>
      <rPr>
        <rFont val="Calibri"/>
        <color theme="1"/>
        <sz val="14.0"/>
      </rPr>
      <t xml:space="preserve">Managed Interface </t>
    </r>
    <r>
      <rPr>
        <rFont val="FreeSans"/>
        <color theme="1"/>
        <sz val="14.0"/>
      </rPr>
      <t>ที่ขอบเขตเครือข่ายทั้งหมด</t>
    </r>
  </si>
  <si>
    <t>ESBIT-SC-07(05)</t>
  </si>
  <si>
    <t>SC-07(05)</t>
  </si>
  <si>
    <t>Boundary Protection | Deny by Default - Allow by Exception</t>
  </si>
  <si>
    <t>Enhances SC-07 (Boundary Protection): configure and enforce 'Deny by Default - Allow by Exception' in addition to the base setting, keep it consistent across applicable systems and document approved exceptions. Base scope: Configure firewalls, DMZ, deny-by-default rules, proxies, IDS/IPS and managed interfaces at all network boundaries</t>
  </si>
  <si>
    <r>
      <rPr>
        <rFont val="FreeSans"/>
        <color theme="1"/>
        <sz val="14.0"/>
      </rPr>
      <t xml:space="preserve">ส่วนขยายของ </t>
    </r>
    <r>
      <rPr>
        <rFont val="Calibri"/>
        <color theme="1"/>
        <sz val="14.0"/>
      </rPr>
      <t xml:space="preserve">SC-07: </t>
    </r>
    <r>
      <rPr>
        <rFont val="FreeSans"/>
        <color theme="1"/>
        <sz val="14.0"/>
      </rPr>
      <t xml:space="preserve">กำหนดค่าและบังคับใช้ </t>
    </r>
    <r>
      <rPr>
        <rFont val="Calibri"/>
        <color theme="1"/>
        <sz val="14.0"/>
      </rPr>
      <t xml:space="preserve">'Deny by Default - Allow by Exception'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Firewall, DMZ, Deny by Default, Proxy, IDS/IPS </t>
    </r>
    <r>
      <rPr>
        <rFont val="FreeSans"/>
        <color theme="1"/>
        <sz val="14.0"/>
      </rPr>
      <t xml:space="preserve">และ </t>
    </r>
    <r>
      <rPr>
        <rFont val="Calibri"/>
        <color theme="1"/>
        <sz val="14.0"/>
      </rPr>
      <t xml:space="preserve">Managed Interface </t>
    </r>
    <r>
      <rPr>
        <rFont val="FreeSans"/>
        <color theme="1"/>
        <sz val="14.0"/>
      </rPr>
      <t>ที่ขอบเขตเครือข่ายทั้งหมด</t>
    </r>
  </si>
  <si>
    <t>ESBIT-SC-07(07)</t>
  </si>
  <si>
    <t>SC-07(07)</t>
  </si>
  <si>
    <t>Boundary Protection | Split Tunneling for Remote Devices</t>
  </si>
  <si>
    <t>Enhances SC-07 (Boundary Protection): configure and enforce 'Split Tunneling for Remote Devices' in addition to the base setting, keep it consistent across applicable systems and document approved exceptions. Base scope: Configure firewalls, DMZ, deny-by-default rules, proxies, IDS/IPS and managed interfaces at all network boundaries</t>
  </si>
  <si>
    <r>
      <rPr>
        <rFont val="FreeSans"/>
        <color theme="1"/>
        <sz val="14.0"/>
      </rPr>
      <t xml:space="preserve">ส่วนขยายของ </t>
    </r>
    <r>
      <rPr>
        <rFont val="Calibri"/>
        <color theme="1"/>
        <sz val="14.0"/>
      </rPr>
      <t xml:space="preserve">SC-07: </t>
    </r>
    <r>
      <rPr>
        <rFont val="FreeSans"/>
        <color theme="1"/>
        <sz val="14.0"/>
      </rPr>
      <t xml:space="preserve">กำหนดค่าและบังคับใช้ </t>
    </r>
    <r>
      <rPr>
        <rFont val="Calibri"/>
        <color theme="1"/>
        <sz val="14.0"/>
      </rPr>
      <t xml:space="preserve">'Split Tunneling for Remote Devices'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Firewall, DMZ, Deny by Default, Proxy, IDS/IPS </t>
    </r>
    <r>
      <rPr>
        <rFont val="FreeSans"/>
        <color theme="1"/>
        <sz val="14.0"/>
      </rPr>
      <t xml:space="preserve">และ </t>
    </r>
    <r>
      <rPr>
        <rFont val="Calibri"/>
        <color theme="1"/>
        <sz val="14.0"/>
      </rPr>
      <t xml:space="preserve">Managed Interface </t>
    </r>
    <r>
      <rPr>
        <rFont val="FreeSans"/>
        <color theme="1"/>
        <sz val="14.0"/>
      </rPr>
      <t>ที่ขอบเขตเครือข่ายทั้งหมด</t>
    </r>
  </si>
  <si>
    <t>ESBIT-SC-07(08)</t>
  </si>
  <si>
    <t>SC-07(08)</t>
  </si>
  <si>
    <t>Boundary Protection | Route Traffic to Authenticated Proxy Servers</t>
  </si>
  <si>
    <t>Enhances SC-07 (Boundary Protection): configure and enforce 'Route Traffic to Authenticated Proxy Servers' in addition to the base setting, keep it consistent across applicable systems and document approved exceptions. Base scope: Configure firewalls, DMZ, deny-by-default rules, proxies, IDS/IPS and managed interfaces at all network boundaries</t>
  </si>
  <si>
    <r>
      <rPr>
        <rFont val="FreeSans"/>
        <color theme="1"/>
        <sz val="14.0"/>
      </rPr>
      <t xml:space="preserve">ส่วนขยายของ </t>
    </r>
    <r>
      <rPr>
        <rFont val="Calibri"/>
        <color theme="1"/>
        <sz val="14.0"/>
      </rPr>
      <t xml:space="preserve">SC-07: </t>
    </r>
    <r>
      <rPr>
        <rFont val="FreeSans"/>
        <color theme="1"/>
        <sz val="14.0"/>
      </rPr>
      <t xml:space="preserve">กำหนดค่าและบังคับใช้ </t>
    </r>
    <r>
      <rPr>
        <rFont val="Calibri"/>
        <color theme="1"/>
        <sz val="14.0"/>
      </rPr>
      <t xml:space="preserve">'Route Traffic to Authenticated Proxy Servers'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Firewall, DMZ, Deny by Default, Proxy, IDS/IPS </t>
    </r>
    <r>
      <rPr>
        <rFont val="FreeSans"/>
        <color theme="1"/>
        <sz val="14.0"/>
      </rPr>
      <t xml:space="preserve">และ </t>
    </r>
    <r>
      <rPr>
        <rFont val="Calibri"/>
        <color theme="1"/>
        <sz val="14.0"/>
      </rPr>
      <t xml:space="preserve">Managed Interface </t>
    </r>
    <r>
      <rPr>
        <rFont val="FreeSans"/>
        <color theme="1"/>
        <sz val="14.0"/>
      </rPr>
      <t>ที่ขอบเขตเครือข่ายทั้งหมด</t>
    </r>
  </si>
  <si>
    <t>ESBIT-SC-07(09)</t>
  </si>
  <si>
    <t>SC-07(09)</t>
  </si>
  <si>
    <t>Boundary Protection | Restrict Threatening Outgoing Communications Traffic</t>
  </si>
  <si>
    <t>Enhances SC-07 (Boundary Protection): configure and enforce 'Restrict Threatening Outgoing Communications Traffic' in addition to the base setting, keep it consistent across applicable systems and document approved exceptions. Base scope: Configure firewalls, DMZ, deny-by-default rules, proxies, IDS/IPS and managed interfaces at all network boundaries</t>
  </si>
  <si>
    <r>
      <rPr>
        <rFont val="FreeSans"/>
        <color theme="1"/>
        <sz val="14.0"/>
      </rPr>
      <t xml:space="preserve">ส่วนขยายของ </t>
    </r>
    <r>
      <rPr>
        <rFont val="Calibri"/>
        <color theme="1"/>
        <sz val="14.0"/>
      </rPr>
      <t xml:space="preserve">SC-07: </t>
    </r>
    <r>
      <rPr>
        <rFont val="FreeSans"/>
        <color theme="1"/>
        <sz val="14.0"/>
      </rPr>
      <t xml:space="preserve">กำหนดค่าและบังคับใช้ </t>
    </r>
    <r>
      <rPr>
        <rFont val="Calibri"/>
        <color theme="1"/>
        <sz val="14.0"/>
      </rPr>
      <t xml:space="preserve">'Restrict Threatening Outgoing Communications Traffic'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Firewall, DMZ, Deny by Default, Proxy, IDS/IPS </t>
    </r>
    <r>
      <rPr>
        <rFont val="FreeSans"/>
        <color theme="1"/>
        <sz val="14.0"/>
      </rPr>
      <t xml:space="preserve">และ </t>
    </r>
    <r>
      <rPr>
        <rFont val="Calibri"/>
        <color theme="1"/>
        <sz val="14.0"/>
      </rPr>
      <t xml:space="preserve">Managed Interface </t>
    </r>
    <r>
      <rPr>
        <rFont val="FreeSans"/>
        <color theme="1"/>
        <sz val="14.0"/>
      </rPr>
      <t>ที่ขอบเขตเครือข่ายทั้งหมด</t>
    </r>
  </si>
  <si>
    <t>ESBIT-SC-07(10)</t>
  </si>
  <si>
    <t>SC-07(10)</t>
  </si>
  <si>
    <t>Boundary Protection | Prevent Exfiltration</t>
  </si>
  <si>
    <t>Enhances SC-07 (Boundary Protection): configure and enforce 'Prevent Exfiltration' in addition to the base setting, keep it consistent across applicable systems and document approved exceptions. Base scope: Configure firewalls, DMZ, deny-by-default rules, proxies, IDS/IPS and managed interfaces at all network boundaries</t>
  </si>
  <si>
    <r>
      <rPr>
        <rFont val="FreeSans"/>
        <color theme="1"/>
        <sz val="14.0"/>
      </rPr>
      <t xml:space="preserve">ส่วนขยายของ </t>
    </r>
    <r>
      <rPr>
        <rFont val="Calibri"/>
        <color theme="1"/>
        <sz val="14.0"/>
      </rPr>
      <t xml:space="preserve">SC-07: </t>
    </r>
    <r>
      <rPr>
        <rFont val="FreeSans"/>
        <color theme="1"/>
        <sz val="14.0"/>
      </rPr>
      <t xml:space="preserve">กำหนดค่าและบังคับใช้ </t>
    </r>
    <r>
      <rPr>
        <rFont val="Calibri"/>
        <color theme="1"/>
        <sz val="14.0"/>
      </rPr>
      <t xml:space="preserve">'Prevent Exfiltration'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Firewall, DMZ, Deny by Default, Proxy, IDS/IPS </t>
    </r>
    <r>
      <rPr>
        <rFont val="FreeSans"/>
        <color theme="1"/>
        <sz val="14.0"/>
      </rPr>
      <t xml:space="preserve">และ </t>
    </r>
    <r>
      <rPr>
        <rFont val="Calibri"/>
        <color theme="1"/>
        <sz val="14.0"/>
      </rPr>
      <t xml:space="preserve">Managed Interface </t>
    </r>
    <r>
      <rPr>
        <rFont val="FreeSans"/>
        <color theme="1"/>
        <sz val="14.0"/>
      </rPr>
      <t>ที่ขอบเขตเครือข่ายทั้งหมด</t>
    </r>
  </si>
  <si>
    <t>ESBIT-SC-07(11)</t>
  </si>
  <si>
    <t>SC-07(11)</t>
  </si>
  <si>
    <t>Boundary Protection | Restrict Incoming Communications Traffic</t>
  </si>
  <si>
    <t>Enhances SC-07 (Boundary Protection): configure and enforce 'Restrict Incoming Communications Traffic' in addition to the base setting, keep it consistent across applicable systems and document approved exceptions. Base scope: Configure firewalls, DMZ, deny-by-default rules, proxies, IDS/IPS and managed interfaces at all network boundaries</t>
  </si>
  <si>
    <r>
      <rPr>
        <rFont val="FreeSans"/>
        <color theme="1"/>
        <sz val="14.0"/>
      </rPr>
      <t xml:space="preserve">ส่วนขยายของ </t>
    </r>
    <r>
      <rPr>
        <rFont val="Calibri"/>
        <color theme="1"/>
        <sz val="14.0"/>
      </rPr>
      <t xml:space="preserve">SC-07: </t>
    </r>
    <r>
      <rPr>
        <rFont val="FreeSans"/>
        <color theme="1"/>
        <sz val="14.0"/>
      </rPr>
      <t xml:space="preserve">กำหนดค่าและบังคับใช้ </t>
    </r>
    <r>
      <rPr>
        <rFont val="Calibri"/>
        <color theme="1"/>
        <sz val="14.0"/>
      </rPr>
      <t xml:space="preserve">'Restrict Incoming Communications Traffic'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Firewall, DMZ, Deny by Default, Proxy, IDS/IPS </t>
    </r>
    <r>
      <rPr>
        <rFont val="FreeSans"/>
        <color theme="1"/>
        <sz val="14.0"/>
      </rPr>
      <t xml:space="preserve">และ </t>
    </r>
    <r>
      <rPr>
        <rFont val="Calibri"/>
        <color theme="1"/>
        <sz val="14.0"/>
      </rPr>
      <t xml:space="preserve">Managed Interface </t>
    </r>
    <r>
      <rPr>
        <rFont val="FreeSans"/>
        <color theme="1"/>
        <sz val="14.0"/>
      </rPr>
      <t>ที่ขอบเขตเครือข่ายทั้งหมด</t>
    </r>
  </si>
  <si>
    <t>ESBIT-SC-07(12)</t>
  </si>
  <si>
    <t>SC-07(12)</t>
  </si>
  <si>
    <t>Boundary Protection | Host-based Protection</t>
  </si>
  <si>
    <t>Enhances SC-07 (Boundary Protection): configure and enforce 'Host-based Protection' in addition to the base setting, keep it consistent across applicable systems and document approved exceptions. Base scope: Configure firewalls, DMZ, deny-by-default rules, proxies, IDS/IPS and managed interfaces at all network boundaries</t>
  </si>
  <si>
    <r>
      <rPr>
        <rFont val="FreeSans"/>
        <color theme="1"/>
        <sz val="14.0"/>
      </rPr>
      <t xml:space="preserve">ส่วนขยายของ </t>
    </r>
    <r>
      <rPr>
        <rFont val="Calibri"/>
        <color theme="1"/>
        <sz val="14.0"/>
      </rPr>
      <t xml:space="preserve">SC-07: </t>
    </r>
    <r>
      <rPr>
        <rFont val="FreeSans"/>
        <color theme="1"/>
        <sz val="14.0"/>
      </rPr>
      <t xml:space="preserve">กำหนดค่าและบังคับใช้ </t>
    </r>
    <r>
      <rPr>
        <rFont val="Calibri"/>
        <color theme="1"/>
        <sz val="14.0"/>
      </rPr>
      <t xml:space="preserve">'Host-based Protection'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Firewall, DMZ, Deny by Default, Proxy, IDS/IPS </t>
    </r>
    <r>
      <rPr>
        <rFont val="FreeSans"/>
        <color theme="1"/>
        <sz val="14.0"/>
      </rPr>
      <t xml:space="preserve">และ </t>
    </r>
    <r>
      <rPr>
        <rFont val="Calibri"/>
        <color theme="1"/>
        <sz val="14.0"/>
      </rPr>
      <t xml:space="preserve">Managed Interface </t>
    </r>
    <r>
      <rPr>
        <rFont val="FreeSans"/>
        <color theme="1"/>
        <sz val="14.0"/>
      </rPr>
      <t>ที่ขอบเขตเครือข่ายทั้งหมด</t>
    </r>
  </si>
  <si>
    <t>ESBIT-SC-07(13)</t>
  </si>
  <si>
    <t>SC-07(13)</t>
  </si>
  <si>
    <t>Boundary Protection | Isolation of Security Tools, Mechanisms, and Support Components</t>
  </si>
  <si>
    <t>Enhances SC-07 (Boundary Protection): configure and enforce 'Isolation of Security Tools, Mechanisms, and Support Components' in addition to the base setting, keep it consistent across applicable systems and document approved exceptions. Base scope: Configure firewalls, DMZ, deny-by-default rules, proxies, IDS/IPS and managed interfaces at all network boundaries</t>
  </si>
  <si>
    <r>
      <rPr>
        <rFont val="FreeSans"/>
        <color theme="1"/>
        <sz val="14.0"/>
      </rPr>
      <t xml:space="preserve">ส่วนขยายของ </t>
    </r>
    <r>
      <rPr>
        <rFont val="Calibri"/>
        <color theme="1"/>
        <sz val="14.0"/>
      </rPr>
      <t xml:space="preserve">SC-07: </t>
    </r>
    <r>
      <rPr>
        <rFont val="FreeSans"/>
        <color theme="1"/>
        <sz val="14.0"/>
      </rPr>
      <t xml:space="preserve">กำหนดค่าและบังคับใช้ </t>
    </r>
    <r>
      <rPr>
        <rFont val="Calibri"/>
        <color theme="1"/>
        <sz val="14.0"/>
      </rPr>
      <t xml:space="preserve">'Isolation of Security Tools, Mechanisms, and Support Components'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Firewall, DMZ, Deny by Default, Proxy, IDS/IPS </t>
    </r>
    <r>
      <rPr>
        <rFont val="FreeSans"/>
        <color theme="1"/>
        <sz val="14.0"/>
      </rPr>
      <t xml:space="preserve">และ </t>
    </r>
    <r>
      <rPr>
        <rFont val="Calibri"/>
        <color theme="1"/>
        <sz val="14.0"/>
      </rPr>
      <t xml:space="preserve">Managed Interface </t>
    </r>
    <r>
      <rPr>
        <rFont val="FreeSans"/>
        <color theme="1"/>
        <sz val="14.0"/>
      </rPr>
      <t>ที่ขอบเขตเครือข่ายทั้งหมด</t>
    </r>
  </si>
  <si>
    <t>ESBIT-SC-07(14)</t>
  </si>
  <si>
    <t>SC-07(14)</t>
  </si>
  <si>
    <t>Boundary Protection | Protect Against Unauthorized Physical Connections</t>
  </si>
  <si>
    <t>Enhances SC-07 (Boundary Protection): configure and enforce 'Protect Against Unauthorized Physical Connections' in addition to the base setting, keep it consistent across applicable systems and document approved exceptions. Base scope: Configure firewalls, DMZ, deny-by-default rules, proxies, IDS/IPS and managed interfaces at all network boundaries</t>
  </si>
  <si>
    <r>
      <rPr>
        <rFont val="FreeSans"/>
        <color theme="1"/>
        <sz val="14.0"/>
      </rPr>
      <t xml:space="preserve">ส่วนขยายของ </t>
    </r>
    <r>
      <rPr>
        <rFont val="Calibri"/>
        <color theme="1"/>
        <sz val="14.0"/>
      </rPr>
      <t xml:space="preserve">SC-07: </t>
    </r>
    <r>
      <rPr>
        <rFont val="FreeSans"/>
        <color theme="1"/>
        <sz val="14.0"/>
      </rPr>
      <t xml:space="preserve">กำหนดค่าและบังคับใช้ </t>
    </r>
    <r>
      <rPr>
        <rFont val="Calibri"/>
        <color theme="1"/>
        <sz val="14.0"/>
      </rPr>
      <t xml:space="preserve">'Protect Against Unauthorized Physical Connections'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Firewall, DMZ, Deny by Default, Proxy, IDS/IPS </t>
    </r>
    <r>
      <rPr>
        <rFont val="FreeSans"/>
        <color theme="1"/>
        <sz val="14.0"/>
      </rPr>
      <t xml:space="preserve">และ </t>
    </r>
    <r>
      <rPr>
        <rFont val="Calibri"/>
        <color theme="1"/>
        <sz val="14.0"/>
      </rPr>
      <t xml:space="preserve">Managed Interface </t>
    </r>
    <r>
      <rPr>
        <rFont val="FreeSans"/>
        <color theme="1"/>
        <sz val="14.0"/>
      </rPr>
      <t>ที่ขอบเขตเครือข่ายทั้งหมด</t>
    </r>
  </si>
  <si>
    <t>ESBIT-SC-07(15)</t>
  </si>
  <si>
    <t>SC-07(15)</t>
  </si>
  <si>
    <t>Boundary Protection | Networked Privileged Accesses</t>
  </si>
  <si>
    <t>Enhances SC-07 (Boundary Protection): configure and enforce 'Networked Privileged Accesses' in addition to the base setting, keep it consistent across applicable systems and document approved exceptions. Base scope: Configure firewalls, DMZ, deny-by-default rules, proxies, IDS/IPS and managed interfaces at all network boundaries</t>
  </si>
  <si>
    <r>
      <rPr>
        <rFont val="FreeSans"/>
        <color theme="1"/>
        <sz val="14.0"/>
      </rPr>
      <t xml:space="preserve">ส่วนขยายของ </t>
    </r>
    <r>
      <rPr>
        <rFont val="Calibri"/>
        <color theme="1"/>
        <sz val="14.0"/>
      </rPr>
      <t xml:space="preserve">SC-07: </t>
    </r>
    <r>
      <rPr>
        <rFont val="FreeSans"/>
        <color theme="1"/>
        <sz val="14.0"/>
      </rPr>
      <t xml:space="preserve">กำหนดค่าและบังคับใช้ </t>
    </r>
    <r>
      <rPr>
        <rFont val="Calibri"/>
        <color theme="1"/>
        <sz val="14.0"/>
      </rPr>
      <t xml:space="preserve">'Networked Privileged Accesses'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Firewall, DMZ, Deny by Default, Proxy, IDS/IPS </t>
    </r>
    <r>
      <rPr>
        <rFont val="FreeSans"/>
        <color theme="1"/>
        <sz val="14.0"/>
      </rPr>
      <t xml:space="preserve">และ </t>
    </r>
    <r>
      <rPr>
        <rFont val="Calibri"/>
        <color theme="1"/>
        <sz val="14.0"/>
      </rPr>
      <t xml:space="preserve">Managed Interface </t>
    </r>
    <r>
      <rPr>
        <rFont val="FreeSans"/>
        <color theme="1"/>
        <sz val="14.0"/>
      </rPr>
      <t>ที่ขอบเขตเครือข่ายทั้งหมด</t>
    </r>
  </si>
  <si>
    <t>ESBIT-SC-07(17)</t>
  </si>
  <si>
    <t>SC-07(17)</t>
  </si>
  <si>
    <t>Boundary Protection | Automated Enforcement of Protocol Formats</t>
  </si>
  <si>
    <t>Enhances SC-07 (Boundary Protection): configure and enforce 'Automated Enforcement of Protocol Formats' in addition to the base setting, keep it consistent across applicable systems and document approved exceptions. Base scope: Configure firewalls, DMZ, deny-by-default rules, proxies, IDS/IPS and managed interfaces at all network boundaries</t>
  </si>
  <si>
    <r>
      <rPr>
        <rFont val="FreeSans"/>
        <color theme="1"/>
        <sz val="14.0"/>
      </rPr>
      <t xml:space="preserve">ส่วนขยายของ </t>
    </r>
    <r>
      <rPr>
        <rFont val="Calibri"/>
        <color theme="1"/>
        <sz val="14.0"/>
      </rPr>
      <t xml:space="preserve">SC-07: </t>
    </r>
    <r>
      <rPr>
        <rFont val="FreeSans"/>
        <color theme="1"/>
        <sz val="14.0"/>
      </rPr>
      <t xml:space="preserve">กำหนดค่าและบังคับใช้ </t>
    </r>
    <r>
      <rPr>
        <rFont val="Calibri"/>
        <color theme="1"/>
        <sz val="14.0"/>
      </rPr>
      <t xml:space="preserve">'Automated Enforcement of Protocol Formats'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Firewall, DMZ, Deny by Default, Proxy, IDS/IPS </t>
    </r>
    <r>
      <rPr>
        <rFont val="FreeSans"/>
        <color theme="1"/>
        <sz val="14.0"/>
      </rPr>
      <t xml:space="preserve">และ </t>
    </r>
    <r>
      <rPr>
        <rFont val="Calibri"/>
        <color theme="1"/>
        <sz val="14.0"/>
      </rPr>
      <t xml:space="preserve">Managed Interface </t>
    </r>
    <r>
      <rPr>
        <rFont val="FreeSans"/>
        <color theme="1"/>
        <sz val="14.0"/>
      </rPr>
      <t>ที่ขอบเขตเครือข่ายทั้งหมด</t>
    </r>
  </si>
  <si>
    <t>ESBIT-SC-07(18)</t>
  </si>
  <si>
    <t>SC-07(18)</t>
  </si>
  <si>
    <t>Boundary Protection | Fail Secure</t>
  </si>
  <si>
    <t>Enhances SC-07 (Boundary Protection): configure and enforce 'Fail Secure' in addition to the base setting, keep it consistent across applicable systems and document approved exceptions. Base scope: Configure firewalls, DMZ, deny-by-default rules, proxies, IDS/IPS and managed interfaces at all network boundaries</t>
  </si>
  <si>
    <r>
      <rPr>
        <rFont val="FreeSans"/>
        <color theme="1"/>
        <sz val="14.0"/>
      </rPr>
      <t xml:space="preserve">ส่วนขยายของ </t>
    </r>
    <r>
      <rPr>
        <rFont val="Calibri"/>
        <color theme="1"/>
        <sz val="14.0"/>
      </rPr>
      <t xml:space="preserve">SC-07: </t>
    </r>
    <r>
      <rPr>
        <rFont val="FreeSans"/>
        <color theme="1"/>
        <sz val="14.0"/>
      </rPr>
      <t xml:space="preserve">กำหนดค่าและบังคับใช้ </t>
    </r>
    <r>
      <rPr>
        <rFont val="Calibri"/>
        <color theme="1"/>
        <sz val="14.0"/>
      </rPr>
      <t xml:space="preserve">'Fail Secure'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Firewall, DMZ, Deny by Default, Proxy, IDS/IPS </t>
    </r>
    <r>
      <rPr>
        <rFont val="FreeSans"/>
        <color theme="1"/>
        <sz val="14.0"/>
      </rPr>
      <t xml:space="preserve">และ </t>
    </r>
    <r>
      <rPr>
        <rFont val="Calibri"/>
        <color theme="1"/>
        <sz val="14.0"/>
      </rPr>
      <t xml:space="preserve">Managed Interface </t>
    </r>
    <r>
      <rPr>
        <rFont val="FreeSans"/>
        <color theme="1"/>
        <sz val="14.0"/>
      </rPr>
      <t>ที่ขอบเขตเครือข่ายทั้งหมด</t>
    </r>
  </si>
  <si>
    <t>ESBIT-SC-07(19)</t>
  </si>
  <si>
    <t>SC-07(19)</t>
  </si>
  <si>
    <t>Boundary Protection | Block Communication from Non-organizationally Configured Hosts</t>
  </si>
  <si>
    <t>Enhances SC-07 (Boundary Protection): configure and enforce 'Block Communication from Non-organizationally Configured Hosts' in addition to the base setting, keep it consistent across applicable systems and document approved exceptions. Base scope: Configure firewalls, DMZ, deny-by-default rules, proxies, IDS/IPS and managed interfaces at all network boundaries</t>
  </si>
  <si>
    <r>
      <rPr>
        <rFont val="FreeSans"/>
        <color theme="1"/>
        <sz val="14.0"/>
      </rPr>
      <t xml:space="preserve">ส่วนขยายของ </t>
    </r>
    <r>
      <rPr>
        <rFont val="Calibri"/>
        <color theme="1"/>
        <sz val="14.0"/>
      </rPr>
      <t xml:space="preserve">SC-07: </t>
    </r>
    <r>
      <rPr>
        <rFont val="FreeSans"/>
        <color theme="1"/>
        <sz val="14.0"/>
      </rPr>
      <t xml:space="preserve">กำหนดค่าและบังคับใช้ </t>
    </r>
    <r>
      <rPr>
        <rFont val="Calibri"/>
        <color theme="1"/>
        <sz val="14.0"/>
      </rPr>
      <t xml:space="preserve">'Block Communication from Non-organizationally Configured Hosts'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Firewall, DMZ, Deny by Default, Proxy, IDS/IPS </t>
    </r>
    <r>
      <rPr>
        <rFont val="FreeSans"/>
        <color theme="1"/>
        <sz val="14.0"/>
      </rPr>
      <t xml:space="preserve">และ </t>
    </r>
    <r>
      <rPr>
        <rFont val="Calibri"/>
        <color theme="1"/>
        <sz val="14.0"/>
      </rPr>
      <t xml:space="preserve">Managed Interface </t>
    </r>
    <r>
      <rPr>
        <rFont val="FreeSans"/>
        <color theme="1"/>
        <sz val="14.0"/>
      </rPr>
      <t>ที่ขอบเขตเครือข่ายทั้งหมด</t>
    </r>
  </si>
  <si>
    <t>ESBIT-SC-07(20)</t>
  </si>
  <si>
    <t>SC-07(20)</t>
  </si>
  <si>
    <t>Boundary Protection | Dynamic Isolation and Segregation</t>
  </si>
  <si>
    <t>Enhances SC-07 (Boundary Protection): configure and enforce 'Dynamic Isolation and Segregation' in addition to the base setting, keep it consistent across applicable systems and document approved exceptions. Base scope: Configure firewalls, DMZ, deny-by-default rules, proxies, IDS/IPS and managed interfaces at all network boundaries</t>
  </si>
  <si>
    <r>
      <rPr>
        <rFont val="FreeSans"/>
        <color theme="1"/>
        <sz val="14.0"/>
      </rPr>
      <t xml:space="preserve">ส่วนขยายของ </t>
    </r>
    <r>
      <rPr>
        <rFont val="Calibri"/>
        <color theme="1"/>
        <sz val="14.0"/>
      </rPr>
      <t xml:space="preserve">SC-07: </t>
    </r>
    <r>
      <rPr>
        <rFont val="FreeSans"/>
        <color theme="1"/>
        <sz val="14.0"/>
      </rPr>
      <t xml:space="preserve">กำหนดค่าและบังคับใช้ </t>
    </r>
    <r>
      <rPr>
        <rFont val="Calibri"/>
        <color theme="1"/>
        <sz val="14.0"/>
      </rPr>
      <t xml:space="preserve">'Dynamic Isolation and Segregation'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Firewall, DMZ, Deny by Default, Proxy, IDS/IPS </t>
    </r>
    <r>
      <rPr>
        <rFont val="FreeSans"/>
        <color theme="1"/>
        <sz val="14.0"/>
      </rPr>
      <t xml:space="preserve">และ </t>
    </r>
    <r>
      <rPr>
        <rFont val="Calibri"/>
        <color theme="1"/>
        <sz val="14.0"/>
      </rPr>
      <t xml:space="preserve">Managed Interface </t>
    </r>
    <r>
      <rPr>
        <rFont val="FreeSans"/>
        <color theme="1"/>
        <sz val="14.0"/>
      </rPr>
      <t>ที่ขอบเขตเครือข่ายทั้งหมด</t>
    </r>
  </si>
  <si>
    <t>ESBIT-SC-07(21)</t>
  </si>
  <si>
    <t>SC-07(21)</t>
  </si>
  <si>
    <t>Boundary Protection | Isolation of System Components</t>
  </si>
  <si>
    <t>Enhances SC-07 (Boundary Protection): configure and enforce 'Isolation of System Components' in addition to the base setting, keep it consistent across applicable systems and document approved exceptions. Base scope: Configure firewalls, DMZ, deny-by-default rules, proxies, IDS/IPS and managed interfaces at all network boundaries</t>
  </si>
  <si>
    <r>
      <rPr>
        <rFont val="FreeSans"/>
        <color theme="1"/>
        <sz val="14.0"/>
      </rPr>
      <t xml:space="preserve">ส่วนขยายของ </t>
    </r>
    <r>
      <rPr>
        <rFont val="Calibri"/>
        <color theme="1"/>
        <sz val="14.0"/>
      </rPr>
      <t xml:space="preserve">SC-07: </t>
    </r>
    <r>
      <rPr>
        <rFont val="FreeSans"/>
        <color theme="1"/>
        <sz val="14.0"/>
      </rPr>
      <t xml:space="preserve">กำหนดค่าและบังคับใช้ </t>
    </r>
    <r>
      <rPr>
        <rFont val="Calibri"/>
        <color theme="1"/>
        <sz val="14.0"/>
      </rPr>
      <t xml:space="preserve">'Isolation of System Components'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Firewall, DMZ, Deny by Default, Proxy, IDS/IPS </t>
    </r>
    <r>
      <rPr>
        <rFont val="FreeSans"/>
        <color theme="1"/>
        <sz val="14.0"/>
      </rPr>
      <t xml:space="preserve">และ </t>
    </r>
    <r>
      <rPr>
        <rFont val="Calibri"/>
        <color theme="1"/>
        <sz val="14.0"/>
      </rPr>
      <t xml:space="preserve">Managed Interface </t>
    </r>
    <r>
      <rPr>
        <rFont val="FreeSans"/>
        <color theme="1"/>
        <sz val="14.0"/>
      </rPr>
      <t>ที่ขอบเขตเครือข่ายทั้งหมด</t>
    </r>
  </si>
  <si>
    <t>ESBIT-SC-07(22)</t>
  </si>
  <si>
    <t>SC-07(22)</t>
  </si>
  <si>
    <t>Boundary Protection | Separate Subnets for Connecting to Different Security Domains</t>
  </si>
  <si>
    <t>Enhances SC-07 (Boundary Protection): configure and enforce 'Separate Subnets for Connecting to Different Security Domains' in addition to the base setting, keep it consistent across applicable systems and document approved exceptions. Base scope: Configure firewalls, DMZ, deny-by-default rules, proxies, IDS/IPS and managed interfaces at all network boundaries</t>
  </si>
  <si>
    <r>
      <rPr>
        <rFont val="FreeSans"/>
        <color theme="1"/>
        <sz val="14.0"/>
      </rPr>
      <t xml:space="preserve">ส่วนขยายของ </t>
    </r>
    <r>
      <rPr>
        <rFont val="Calibri"/>
        <color theme="1"/>
        <sz val="14.0"/>
      </rPr>
      <t xml:space="preserve">SC-07: </t>
    </r>
    <r>
      <rPr>
        <rFont val="FreeSans"/>
        <color theme="1"/>
        <sz val="14.0"/>
      </rPr>
      <t xml:space="preserve">กำหนดค่าและบังคับใช้ </t>
    </r>
    <r>
      <rPr>
        <rFont val="Calibri"/>
        <color theme="1"/>
        <sz val="14.0"/>
      </rPr>
      <t xml:space="preserve">'Separate Subnets for Connecting to Different Security Domains'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Firewall, DMZ, Deny by Default, Proxy, IDS/IPS </t>
    </r>
    <r>
      <rPr>
        <rFont val="FreeSans"/>
        <color theme="1"/>
        <sz val="14.0"/>
      </rPr>
      <t xml:space="preserve">และ </t>
    </r>
    <r>
      <rPr>
        <rFont val="Calibri"/>
        <color theme="1"/>
        <sz val="14.0"/>
      </rPr>
      <t xml:space="preserve">Managed Interface </t>
    </r>
    <r>
      <rPr>
        <rFont val="FreeSans"/>
        <color theme="1"/>
        <sz val="14.0"/>
      </rPr>
      <t>ที่ขอบเขตเครือข่ายทั้งหมด</t>
    </r>
  </si>
  <si>
    <t>ESBIT-SC-07(23)</t>
  </si>
  <si>
    <t>SC-07(23)</t>
  </si>
  <si>
    <t>Boundary Protection | Disable Sender Feedback on Protocol Validation Failure</t>
  </si>
  <si>
    <t>Enhances SC-07 (Boundary Protection): configure and enforce 'Disable Sender Feedback on Protocol Validation Failure' in addition to the base setting, keep it consistent across applicable systems and document approved exceptions. Base scope: Configure firewalls, DMZ, deny-by-default rules, proxies, IDS/IPS and managed interfaces at all network boundaries</t>
  </si>
  <si>
    <r>
      <rPr>
        <rFont val="FreeSans"/>
        <color theme="1"/>
        <sz val="14.0"/>
      </rPr>
      <t xml:space="preserve">ส่วนขยายของ </t>
    </r>
    <r>
      <rPr>
        <rFont val="Calibri"/>
        <color theme="1"/>
        <sz val="14.0"/>
      </rPr>
      <t xml:space="preserve">SC-07: </t>
    </r>
    <r>
      <rPr>
        <rFont val="FreeSans"/>
        <color theme="1"/>
        <sz val="14.0"/>
      </rPr>
      <t xml:space="preserve">กำหนดค่าและบังคับใช้ </t>
    </r>
    <r>
      <rPr>
        <rFont val="Calibri"/>
        <color theme="1"/>
        <sz val="14.0"/>
      </rPr>
      <t xml:space="preserve">'Disable Sender Feedback on Protocol Validation Failure'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Firewall, DMZ, Deny by Default, Proxy, IDS/IPS </t>
    </r>
    <r>
      <rPr>
        <rFont val="FreeSans"/>
        <color theme="1"/>
        <sz val="14.0"/>
      </rPr>
      <t xml:space="preserve">และ </t>
    </r>
    <r>
      <rPr>
        <rFont val="Calibri"/>
        <color theme="1"/>
        <sz val="14.0"/>
      </rPr>
      <t xml:space="preserve">Managed Interface </t>
    </r>
    <r>
      <rPr>
        <rFont val="FreeSans"/>
        <color theme="1"/>
        <sz val="14.0"/>
      </rPr>
      <t>ที่ขอบเขตเครือข่ายทั้งหมด</t>
    </r>
  </si>
  <si>
    <t>ESBIT-SC-07(24)</t>
  </si>
  <si>
    <t>SC-07(24)</t>
  </si>
  <si>
    <t>Boundary Protection | Personally Identifiable Information</t>
  </si>
  <si>
    <t>Enhances SC-07 (Boundary Protection): configure and enforce 'Personally Identifiable Information' in addition to the base setting, keep it consistent across applicable systems and document approved exceptions. Base scope: Configure firewalls, DMZ, deny-by-default rules, proxies, IDS/IPS and managed interfaces at all network boundaries</t>
  </si>
  <si>
    <r>
      <rPr>
        <rFont val="FreeSans"/>
        <color theme="1"/>
        <sz val="14.0"/>
      </rPr>
      <t xml:space="preserve">ส่วนขยายของ </t>
    </r>
    <r>
      <rPr>
        <rFont val="Calibri"/>
        <color theme="1"/>
        <sz val="14.0"/>
      </rPr>
      <t xml:space="preserve">SC-07: </t>
    </r>
    <r>
      <rPr>
        <rFont val="FreeSans"/>
        <color theme="1"/>
        <sz val="14.0"/>
      </rPr>
      <t xml:space="preserve">กำหนดค่าและบังคับใช้ </t>
    </r>
    <r>
      <rPr>
        <rFont val="Calibri"/>
        <color theme="1"/>
        <sz val="14.0"/>
      </rPr>
      <t xml:space="preserve">'Personally Identifiable Information'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Firewall, DMZ, Deny by Default, Proxy, IDS/IPS </t>
    </r>
    <r>
      <rPr>
        <rFont val="FreeSans"/>
        <color theme="1"/>
        <sz val="14.0"/>
      </rPr>
      <t xml:space="preserve">และ </t>
    </r>
    <r>
      <rPr>
        <rFont val="Calibri"/>
        <color theme="1"/>
        <sz val="14.0"/>
      </rPr>
      <t xml:space="preserve">Managed Interface </t>
    </r>
    <r>
      <rPr>
        <rFont val="FreeSans"/>
        <color theme="1"/>
        <sz val="14.0"/>
      </rPr>
      <t>ที่ขอบเขตเครือข่ายทั้งหมด</t>
    </r>
  </si>
  <si>
    <t>ESBIT-SC-07(25)</t>
  </si>
  <si>
    <t>SC-07(25)</t>
  </si>
  <si>
    <t>Boundary Protection | Unclassified National Security System Connections</t>
  </si>
  <si>
    <t>Enhances SC-07 (Boundary Protection): configure and enforce 'Unclassified National Security System Connections' in addition to the base setting, keep it consistent across applicable systems and document approved exceptions. Base scope: Configure firewalls, DMZ, deny-by-default rules, proxies, IDS/IPS and managed interfaces at all network boundaries</t>
  </si>
  <si>
    <r>
      <rPr>
        <rFont val="FreeSans"/>
        <color theme="1"/>
        <sz val="14.0"/>
      </rPr>
      <t xml:space="preserve">ส่วนขยายของ </t>
    </r>
    <r>
      <rPr>
        <rFont val="Calibri"/>
        <color theme="1"/>
        <sz val="14.0"/>
      </rPr>
      <t xml:space="preserve">SC-07: </t>
    </r>
    <r>
      <rPr>
        <rFont val="FreeSans"/>
        <color theme="1"/>
        <sz val="14.0"/>
      </rPr>
      <t xml:space="preserve">กำหนดค่าและบังคับใช้ </t>
    </r>
    <r>
      <rPr>
        <rFont val="Calibri"/>
        <color theme="1"/>
        <sz val="14.0"/>
      </rPr>
      <t xml:space="preserve">'Unclassified National Security System Connections'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Firewall, DMZ, Deny by Default, Proxy, IDS/IPS </t>
    </r>
    <r>
      <rPr>
        <rFont val="FreeSans"/>
        <color theme="1"/>
        <sz val="14.0"/>
      </rPr>
      <t xml:space="preserve">และ </t>
    </r>
    <r>
      <rPr>
        <rFont val="Calibri"/>
        <color theme="1"/>
        <sz val="14.0"/>
      </rPr>
      <t xml:space="preserve">Managed Interface </t>
    </r>
    <r>
      <rPr>
        <rFont val="FreeSans"/>
        <color theme="1"/>
        <sz val="14.0"/>
      </rPr>
      <t>ที่ขอบเขตเครือข่ายทั้งหมด</t>
    </r>
  </si>
  <si>
    <t>ESBIT-SC-07(26)</t>
  </si>
  <si>
    <t>SC-07(26)</t>
  </si>
  <si>
    <t>Boundary Protection | Classified National Security System Connections</t>
  </si>
  <si>
    <t>Enhances SC-07 (Boundary Protection): configure and enforce 'Classified National Security System Connections' in addition to the base setting, keep it consistent across applicable systems and document approved exceptions. Base scope: Configure firewalls, DMZ, deny-by-default rules, proxies, IDS/IPS and managed interfaces at all network boundaries</t>
  </si>
  <si>
    <r>
      <rPr>
        <rFont val="FreeSans"/>
        <color theme="1"/>
        <sz val="14.0"/>
      </rPr>
      <t xml:space="preserve">ส่วนขยายของ </t>
    </r>
    <r>
      <rPr>
        <rFont val="Calibri"/>
        <color theme="1"/>
        <sz val="14.0"/>
      </rPr>
      <t xml:space="preserve">SC-07: </t>
    </r>
    <r>
      <rPr>
        <rFont val="FreeSans"/>
        <color theme="1"/>
        <sz val="14.0"/>
      </rPr>
      <t xml:space="preserve">กำหนดค่าและบังคับใช้ </t>
    </r>
    <r>
      <rPr>
        <rFont val="Calibri"/>
        <color theme="1"/>
        <sz val="14.0"/>
      </rPr>
      <t xml:space="preserve">'Classified National Security System Connections'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Firewall, DMZ, Deny by Default, Proxy, IDS/IPS </t>
    </r>
    <r>
      <rPr>
        <rFont val="FreeSans"/>
        <color theme="1"/>
        <sz val="14.0"/>
      </rPr>
      <t xml:space="preserve">และ </t>
    </r>
    <r>
      <rPr>
        <rFont val="Calibri"/>
        <color theme="1"/>
        <sz val="14.0"/>
      </rPr>
      <t xml:space="preserve">Managed Interface </t>
    </r>
    <r>
      <rPr>
        <rFont val="FreeSans"/>
        <color theme="1"/>
        <sz val="14.0"/>
      </rPr>
      <t>ที่ขอบเขตเครือข่ายทั้งหมด</t>
    </r>
  </si>
  <si>
    <t>ESBIT-SC-07(27)</t>
  </si>
  <si>
    <t>SC-07(27)</t>
  </si>
  <si>
    <t>Boundary Protection | Unclassified Non-national Security System Connections</t>
  </si>
  <si>
    <t>Enhances SC-07 (Boundary Protection): configure and enforce 'Unclassified Non-national Security System Connections' in addition to the base setting, keep it consistent across applicable systems and document approved exceptions. Base scope: Configure firewalls, DMZ, deny-by-default rules, proxies, IDS/IPS and managed interfaces at all network boundaries</t>
  </si>
  <si>
    <r>
      <rPr>
        <rFont val="FreeSans"/>
        <color theme="1"/>
        <sz val="14.0"/>
      </rPr>
      <t xml:space="preserve">ส่วนขยายของ </t>
    </r>
    <r>
      <rPr>
        <rFont val="Calibri"/>
        <color theme="1"/>
        <sz val="14.0"/>
      </rPr>
      <t xml:space="preserve">SC-07: </t>
    </r>
    <r>
      <rPr>
        <rFont val="FreeSans"/>
        <color theme="1"/>
        <sz val="14.0"/>
      </rPr>
      <t xml:space="preserve">กำหนดค่าและบังคับใช้ </t>
    </r>
    <r>
      <rPr>
        <rFont val="Calibri"/>
        <color theme="1"/>
        <sz val="14.0"/>
      </rPr>
      <t xml:space="preserve">'Unclassified Non-national Security System Connections'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Firewall, DMZ, Deny by Default, Proxy, IDS/IPS </t>
    </r>
    <r>
      <rPr>
        <rFont val="FreeSans"/>
        <color theme="1"/>
        <sz val="14.0"/>
      </rPr>
      <t xml:space="preserve">และ </t>
    </r>
    <r>
      <rPr>
        <rFont val="Calibri"/>
        <color theme="1"/>
        <sz val="14.0"/>
      </rPr>
      <t xml:space="preserve">Managed Interface </t>
    </r>
    <r>
      <rPr>
        <rFont val="FreeSans"/>
        <color theme="1"/>
        <sz val="14.0"/>
      </rPr>
      <t>ที่ขอบเขตเครือข่ายทั้งหมด</t>
    </r>
  </si>
  <si>
    <t>ESBIT-SC-07(28)</t>
  </si>
  <si>
    <t>SC-07(28)</t>
  </si>
  <si>
    <t>Boundary Protection | Connections to Public Networks</t>
  </si>
  <si>
    <t>Enhances SC-07 (Boundary Protection): configure and enforce 'Connections to Public Networks' in addition to the base setting, keep it consistent across applicable systems and document approved exceptions. Base scope: Configure firewalls, DMZ, deny-by-default rules, proxies, IDS/IPS and managed interfaces at all network boundaries</t>
  </si>
  <si>
    <r>
      <rPr>
        <rFont val="FreeSans"/>
        <color theme="1"/>
        <sz val="14.0"/>
      </rPr>
      <t xml:space="preserve">ส่วนขยายของ </t>
    </r>
    <r>
      <rPr>
        <rFont val="Calibri"/>
        <color theme="1"/>
        <sz val="14.0"/>
      </rPr>
      <t xml:space="preserve">SC-07: </t>
    </r>
    <r>
      <rPr>
        <rFont val="FreeSans"/>
        <color theme="1"/>
        <sz val="14.0"/>
      </rPr>
      <t xml:space="preserve">กำหนดค่าและบังคับใช้ </t>
    </r>
    <r>
      <rPr>
        <rFont val="Calibri"/>
        <color theme="1"/>
        <sz val="14.0"/>
      </rPr>
      <t xml:space="preserve">'Connections to Public Networks'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Firewall, DMZ, Deny by Default, Proxy, IDS/IPS </t>
    </r>
    <r>
      <rPr>
        <rFont val="FreeSans"/>
        <color theme="1"/>
        <sz val="14.0"/>
      </rPr>
      <t xml:space="preserve">และ </t>
    </r>
    <r>
      <rPr>
        <rFont val="Calibri"/>
        <color theme="1"/>
        <sz val="14.0"/>
      </rPr>
      <t xml:space="preserve">Managed Interface </t>
    </r>
    <r>
      <rPr>
        <rFont val="FreeSans"/>
        <color theme="1"/>
        <sz val="14.0"/>
      </rPr>
      <t>ที่ขอบเขตเครือข่ายทั้งหมด</t>
    </r>
  </si>
  <si>
    <t>ESBIT-SC-07(29)</t>
  </si>
  <si>
    <t>SC-07(29)</t>
  </si>
  <si>
    <t>Boundary Protection | Separate Subnets to Isolate Functions</t>
  </si>
  <si>
    <t>Enhances SC-07 (Boundary Protection): configure and enforce 'Separate Subnets to Isolate Functions' in addition to the base setting, keep it consistent across applicable systems and document approved exceptions. Base scope: Configure firewalls, DMZ, deny-by-default rules, proxies, IDS/IPS and managed interfaces at all network boundaries</t>
  </si>
  <si>
    <r>
      <rPr>
        <rFont val="FreeSans"/>
        <color theme="1"/>
        <sz val="14.0"/>
      </rPr>
      <t xml:space="preserve">ส่วนขยายของ </t>
    </r>
    <r>
      <rPr>
        <rFont val="Calibri"/>
        <color theme="1"/>
        <sz val="14.0"/>
      </rPr>
      <t xml:space="preserve">SC-07: </t>
    </r>
    <r>
      <rPr>
        <rFont val="FreeSans"/>
        <color theme="1"/>
        <sz val="14.0"/>
      </rPr>
      <t xml:space="preserve">กำหนดค่าและบังคับใช้ </t>
    </r>
    <r>
      <rPr>
        <rFont val="Calibri"/>
        <color theme="1"/>
        <sz val="14.0"/>
      </rPr>
      <t xml:space="preserve">'Separate Subnets to Isolate Functions'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Firewall, DMZ, Deny by Default, Proxy, IDS/IPS </t>
    </r>
    <r>
      <rPr>
        <rFont val="FreeSans"/>
        <color theme="1"/>
        <sz val="14.0"/>
      </rPr>
      <t xml:space="preserve">และ </t>
    </r>
    <r>
      <rPr>
        <rFont val="Calibri"/>
        <color theme="1"/>
        <sz val="14.0"/>
      </rPr>
      <t xml:space="preserve">Managed Interface </t>
    </r>
    <r>
      <rPr>
        <rFont val="FreeSans"/>
        <color theme="1"/>
        <sz val="14.0"/>
      </rPr>
      <t>ที่ขอบเขตเครือข่ายทั้งหมด</t>
    </r>
  </si>
  <si>
    <t>ESBIT-SC-08</t>
  </si>
  <si>
    <t>SC-08</t>
  </si>
  <si>
    <t>Transmission Confidentiality and Integrity</t>
  </si>
  <si>
    <t>Enforce TLS 1.2+/IPsec/SSH with strong ciphers for data in transit; disable legacy protocols (Telnet, FTP, SNMPv1/2)</t>
  </si>
  <si>
    <r>
      <rPr>
        <rFont val="FreeSans"/>
        <color theme="1"/>
        <sz val="14.0"/>
      </rPr>
      <t xml:space="preserve">บังคับใช้ </t>
    </r>
    <r>
      <rPr>
        <rFont val="Calibri"/>
        <color theme="1"/>
        <sz val="14.0"/>
      </rPr>
      <t xml:space="preserve">TLS 1.2+/IPsec/SSH </t>
    </r>
    <r>
      <rPr>
        <rFont val="FreeSans"/>
        <color theme="1"/>
        <sz val="14.0"/>
      </rPr>
      <t xml:space="preserve">ด้วย </t>
    </r>
    <r>
      <rPr>
        <rFont val="Calibri"/>
        <color theme="1"/>
        <sz val="14.0"/>
      </rPr>
      <t xml:space="preserve">Cipher </t>
    </r>
    <r>
      <rPr>
        <rFont val="FreeSans"/>
        <color theme="1"/>
        <sz val="14.0"/>
      </rPr>
      <t xml:space="preserve">ที่แข็งแรง และปิดโปรโตคอลเก่า </t>
    </r>
    <r>
      <rPr>
        <rFont val="Calibri"/>
        <color theme="1"/>
        <sz val="14.0"/>
      </rPr>
      <t>(Telnet, FTP, SNMPv1/2)</t>
    </r>
  </si>
  <si>
    <t>Network, Cryptography/PKI</t>
  </si>
  <si>
    <t>ESBIT-SC-08(01)</t>
  </si>
  <si>
    <t>SC-08(01)</t>
  </si>
  <si>
    <t>Transmission Confidentiality and Integrity | Cryptographic Protection</t>
  </si>
  <si>
    <t>Enhances SC-08 (Transmission Confidentiality and Integrity): configure and enforce 'Cryptographic Protection' in addition to the base setting, keep it consistent across applicable systems and document approved exceptions. Base scope: Enforce TLS 1.2+/IPsec/SSH with strong ciphers for data in transit; disable legacy protocols (Telnet, FTP, SNMPv1/2)</t>
  </si>
  <si>
    <r>
      <rPr>
        <rFont val="FreeSans"/>
        <color theme="1"/>
        <sz val="14.0"/>
      </rPr>
      <t xml:space="preserve">ส่วนขยายของ </t>
    </r>
    <r>
      <rPr>
        <rFont val="Calibri"/>
        <color theme="1"/>
        <sz val="14.0"/>
      </rPr>
      <t xml:space="preserve">SC-08: </t>
    </r>
    <r>
      <rPr>
        <rFont val="FreeSans"/>
        <color theme="1"/>
        <sz val="14.0"/>
      </rPr>
      <t xml:space="preserve">กำหนดค่าและบังคับใช้ </t>
    </r>
    <r>
      <rPr>
        <rFont val="Calibri"/>
        <color theme="1"/>
        <sz val="14.0"/>
      </rPr>
      <t xml:space="preserve">'Cryptographic Protection'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บังคับใช้ </t>
    </r>
    <r>
      <rPr>
        <rFont val="Calibri"/>
        <color theme="1"/>
        <sz val="14.0"/>
      </rPr>
      <t xml:space="preserve">TLS 1.2+/IPsec/SSH </t>
    </r>
    <r>
      <rPr>
        <rFont val="FreeSans"/>
        <color theme="1"/>
        <sz val="14.0"/>
      </rPr>
      <t xml:space="preserve">ด้วย </t>
    </r>
    <r>
      <rPr>
        <rFont val="Calibri"/>
        <color theme="1"/>
        <sz val="14.0"/>
      </rPr>
      <t xml:space="preserve">Cipher </t>
    </r>
    <r>
      <rPr>
        <rFont val="FreeSans"/>
        <color theme="1"/>
        <sz val="14.0"/>
      </rPr>
      <t xml:space="preserve">ที่แข็งแรง และปิดโปรโตคอลเก่า </t>
    </r>
    <r>
      <rPr>
        <rFont val="Calibri"/>
        <color theme="1"/>
        <sz val="14.0"/>
      </rPr>
      <t>(Telnet, FTP, SNMPv1/2)</t>
    </r>
  </si>
  <si>
    <t>ESBIT-SC-08(02)</t>
  </si>
  <si>
    <t>SC-08(02)</t>
  </si>
  <si>
    <t>Transmission Confidentiality and Integrity | Pre- and Post-transmission Handling</t>
  </si>
  <si>
    <t>Enhances SC-08 (Transmission Confidentiality and Integrity): configure and enforce 'Pre- and Post-transmission Handling' in addition to the base setting, keep it consistent across applicable systems and document approved exceptions. Base scope: Enforce TLS 1.2+/IPsec/SSH with strong ciphers for data in transit; disable legacy protocols (Telnet, FTP, SNMPv1/2)</t>
  </si>
  <si>
    <r>
      <rPr>
        <rFont val="FreeSans"/>
        <color theme="1"/>
        <sz val="14.0"/>
      </rPr>
      <t xml:space="preserve">ส่วนขยายของ </t>
    </r>
    <r>
      <rPr>
        <rFont val="Calibri"/>
        <color theme="1"/>
        <sz val="14.0"/>
      </rPr>
      <t xml:space="preserve">SC-08: </t>
    </r>
    <r>
      <rPr>
        <rFont val="FreeSans"/>
        <color theme="1"/>
        <sz val="14.0"/>
      </rPr>
      <t xml:space="preserve">กำหนดค่าและบังคับใช้ </t>
    </r>
    <r>
      <rPr>
        <rFont val="Calibri"/>
        <color theme="1"/>
        <sz val="14.0"/>
      </rPr>
      <t xml:space="preserve">'Pre- and Post-transmission Handling'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บังคับใช้ </t>
    </r>
    <r>
      <rPr>
        <rFont val="Calibri"/>
        <color theme="1"/>
        <sz val="14.0"/>
      </rPr>
      <t xml:space="preserve">TLS 1.2+/IPsec/SSH </t>
    </r>
    <r>
      <rPr>
        <rFont val="FreeSans"/>
        <color theme="1"/>
        <sz val="14.0"/>
      </rPr>
      <t xml:space="preserve">ด้วย </t>
    </r>
    <r>
      <rPr>
        <rFont val="Calibri"/>
        <color theme="1"/>
        <sz val="14.0"/>
      </rPr>
      <t xml:space="preserve">Cipher </t>
    </r>
    <r>
      <rPr>
        <rFont val="FreeSans"/>
        <color theme="1"/>
        <sz val="14.0"/>
      </rPr>
      <t xml:space="preserve">ที่แข็งแรง และปิดโปรโตคอลเก่า </t>
    </r>
    <r>
      <rPr>
        <rFont val="Calibri"/>
        <color theme="1"/>
        <sz val="14.0"/>
      </rPr>
      <t>(Telnet, FTP, SNMPv1/2)</t>
    </r>
  </si>
  <si>
    <t>ESBIT-SC-08(03)</t>
  </si>
  <si>
    <t>SC-08(03)</t>
  </si>
  <si>
    <t>Transmission Confidentiality and Integrity | Cryptographic Protection for Message Externals</t>
  </si>
  <si>
    <t>Enhances SC-08 (Transmission Confidentiality and Integrity): configure and enforce 'Cryptographic Protection for Message Externals' in addition to the base setting, keep it consistent across applicable systems and document approved exceptions. Base scope: Enforce TLS 1.2+/IPsec/SSH with strong ciphers for data in transit; disable legacy protocols (Telnet, FTP, SNMPv1/2)</t>
  </si>
  <si>
    <r>
      <rPr>
        <rFont val="FreeSans"/>
        <color theme="1"/>
        <sz val="14.0"/>
      </rPr>
      <t xml:space="preserve">ส่วนขยายของ </t>
    </r>
    <r>
      <rPr>
        <rFont val="Calibri"/>
        <color theme="1"/>
        <sz val="14.0"/>
      </rPr>
      <t xml:space="preserve">SC-08: </t>
    </r>
    <r>
      <rPr>
        <rFont val="FreeSans"/>
        <color theme="1"/>
        <sz val="14.0"/>
      </rPr>
      <t xml:space="preserve">กำหนดค่าและบังคับใช้ </t>
    </r>
    <r>
      <rPr>
        <rFont val="Calibri"/>
        <color theme="1"/>
        <sz val="14.0"/>
      </rPr>
      <t xml:space="preserve">'Cryptographic Protection for Message Externals'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บังคับใช้ </t>
    </r>
    <r>
      <rPr>
        <rFont val="Calibri"/>
        <color theme="1"/>
        <sz val="14.0"/>
      </rPr>
      <t xml:space="preserve">TLS 1.2+/IPsec/SSH </t>
    </r>
    <r>
      <rPr>
        <rFont val="FreeSans"/>
        <color theme="1"/>
        <sz val="14.0"/>
      </rPr>
      <t xml:space="preserve">ด้วย </t>
    </r>
    <r>
      <rPr>
        <rFont val="Calibri"/>
        <color theme="1"/>
        <sz val="14.0"/>
      </rPr>
      <t xml:space="preserve">Cipher </t>
    </r>
    <r>
      <rPr>
        <rFont val="FreeSans"/>
        <color theme="1"/>
        <sz val="14.0"/>
      </rPr>
      <t xml:space="preserve">ที่แข็งแรง และปิดโปรโตคอลเก่า </t>
    </r>
    <r>
      <rPr>
        <rFont val="Calibri"/>
        <color theme="1"/>
        <sz val="14.0"/>
      </rPr>
      <t>(Telnet, FTP, SNMPv1/2)</t>
    </r>
  </si>
  <si>
    <t>ESBIT-SC-08(04)</t>
  </si>
  <si>
    <t>SC-08(04)</t>
  </si>
  <si>
    <t>Transmission Confidentiality and Integrity | Conceal or Randomize Communications</t>
  </si>
  <si>
    <t>Enhances SC-08 (Transmission Confidentiality and Integrity): configure and enforce 'Conceal or Randomize Communications' in addition to the base setting, keep it consistent across applicable systems and document approved exceptions. Base scope: Enforce TLS 1.2+/IPsec/SSH with strong ciphers for data in transit; disable legacy protocols (Telnet, FTP, SNMPv1/2)</t>
  </si>
  <si>
    <r>
      <rPr>
        <rFont val="FreeSans"/>
        <color theme="1"/>
        <sz val="14.0"/>
      </rPr>
      <t xml:space="preserve">ส่วนขยายของ </t>
    </r>
    <r>
      <rPr>
        <rFont val="Calibri"/>
        <color theme="1"/>
        <sz val="14.0"/>
      </rPr>
      <t xml:space="preserve">SC-08: </t>
    </r>
    <r>
      <rPr>
        <rFont val="FreeSans"/>
        <color theme="1"/>
        <sz val="14.0"/>
      </rPr>
      <t xml:space="preserve">กำหนดค่าและบังคับใช้ </t>
    </r>
    <r>
      <rPr>
        <rFont val="Calibri"/>
        <color theme="1"/>
        <sz val="14.0"/>
      </rPr>
      <t xml:space="preserve">'Conceal or Randomize Communications'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บังคับใช้ </t>
    </r>
    <r>
      <rPr>
        <rFont val="Calibri"/>
        <color theme="1"/>
        <sz val="14.0"/>
      </rPr>
      <t xml:space="preserve">TLS 1.2+/IPsec/SSH </t>
    </r>
    <r>
      <rPr>
        <rFont val="FreeSans"/>
        <color theme="1"/>
        <sz val="14.0"/>
      </rPr>
      <t xml:space="preserve">ด้วย </t>
    </r>
    <r>
      <rPr>
        <rFont val="Calibri"/>
        <color theme="1"/>
        <sz val="14.0"/>
      </rPr>
      <t xml:space="preserve">Cipher </t>
    </r>
    <r>
      <rPr>
        <rFont val="FreeSans"/>
        <color theme="1"/>
        <sz val="14.0"/>
      </rPr>
      <t xml:space="preserve">ที่แข็งแรง และปิดโปรโตคอลเก่า </t>
    </r>
    <r>
      <rPr>
        <rFont val="Calibri"/>
        <color theme="1"/>
        <sz val="14.0"/>
      </rPr>
      <t>(Telnet, FTP, SNMPv1/2)</t>
    </r>
  </si>
  <si>
    <t>ESBIT-SC-08(05)</t>
  </si>
  <si>
    <t>SC-08(05)</t>
  </si>
  <si>
    <t>Transmission Confidentiality and Integrity | Protected Distribution System</t>
  </si>
  <si>
    <t>Enhances SC-08 (Transmission Confidentiality and Integrity): configure and enforce 'Protected Distribution System' in addition to the base setting, keep it consistent across applicable systems and document approved exceptions. Base scope: Enforce TLS 1.2+/IPsec/SSH with strong ciphers for data in transit; disable legacy protocols (Telnet, FTP, SNMPv1/2)</t>
  </si>
  <si>
    <r>
      <rPr>
        <rFont val="FreeSans"/>
        <color theme="1"/>
        <sz val="14.0"/>
      </rPr>
      <t xml:space="preserve">ส่วนขยายของ </t>
    </r>
    <r>
      <rPr>
        <rFont val="Calibri"/>
        <color theme="1"/>
        <sz val="14.0"/>
      </rPr>
      <t xml:space="preserve">SC-08: </t>
    </r>
    <r>
      <rPr>
        <rFont val="FreeSans"/>
        <color theme="1"/>
        <sz val="14.0"/>
      </rPr>
      <t xml:space="preserve">กำหนดค่าและบังคับใช้ </t>
    </r>
    <r>
      <rPr>
        <rFont val="Calibri"/>
        <color theme="1"/>
        <sz val="14.0"/>
      </rPr>
      <t xml:space="preserve">'Protected Distribution System'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บังคับใช้ </t>
    </r>
    <r>
      <rPr>
        <rFont val="Calibri"/>
        <color theme="1"/>
        <sz val="14.0"/>
      </rPr>
      <t xml:space="preserve">TLS 1.2+/IPsec/SSH </t>
    </r>
    <r>
      <rPr>
        <rFont val="FreeSans"/>
        <color theme="1"/>
        <sz val="14.0"/>
      </rPr>
      <t xml:space="preserve">ด้วย </t>
    </r>
    <r>
      <rPr>
        <rFont val="Calibri"/>
        <color theme="1"/>
        <sz val="14.0"/>
      </rPr>
      <t xml:space="preserve">Cipher </t>
    </r>
    <r>
      <rPr>
        <rFont val="FreeSans"/>
        <color theme="1"/>
        <sz val="14.0"/>
      </rPr>
      <t xml:space="preserve">ที่แข็งแรง และปิดโปรโตคอลเก่า </t>
    </r>
    <r>
      <rPr>
        <rFont val="Calibri"/>
        <color theme="1"/>
        <sz val="14.0"/>
      </rPr>
      <t>(Telnet, FTP, SNMPv1/2)</t>
    </r>
  </si>
  <si>
    <t>ESBIT-SC-10</t>
  </si>
  <si>
    <t>SC-10</t>
  </si>
  <si>
    <t>Network Disconnect</t>
  </si>
  <si>
    <t>Configure network session idle timeout to terminate connections after inactivity</t>
  </si>
  <si>
    <r>
      <rPr>
        <rFont val="FreeSans"/>
        <color theme="1"/>
        <sz val="14.0"/>
      </rPr>
      <t xml:space="preserve">ตั้งค่า </t>
    </r>
    <r>
      <rPr>
        <rFont val="Calibri"/>
        <color theme="1"/>
        <sz val="14.0"/>
      </rPr>
      <t xml:space="preserve">Idle Timeout </t>
    </r>
    <r>
      <rPr>
        <rFont val="FreeSans"/>
        <color theme="1"/>
        <sz val="14.0"/>
      </rPr>
      <t>ตัดการเชื่อมต่อเครือข่ายเมื่อไม่มีการใช้งาน</t>
    </r>
  </si>
  <si>
    <t>ESBIT-SC-11</t>
  </si>
  <si>
    <t>SC-11</t>
  </si>
  <si>
    <t>Trusted Path</t>
  </si>
  <si>
    <t>Provide trusted communication path for authentication and security functions</t>
  </si>
  <si>
    <t>จัดให้มีเส้นทางสื่อสารที่เชื่อถือได้สำหรับการพิสูจน์ตัวตนและฟังก์ชันความปลอดภัย</t>
  </si>
  <si>
    <t>ESBIT-SC-11(01)</t>
  </si>
  <si>
    <t>SC-11(01)</t>
  </si>
  <si>
    <t>Trusted Path | Irrefutable Communications Path</t>
  </si>
  <si>
    <t>Enhances SC-11 (Trusted Path): configure and enforce 'Irrefutable Communications Path' in addition to the base setting, keep it consistent across applicable systems and document approved exceptions. Base scope: Provide trusted communication path for authentication and security functions</t>
  </si>
  <si>
    <r>
      <rPr>
        <rFont val="FreeSans"/>
        <color theme="1"/>
        <sz val="14.0"/>
      </rPr>
      <t xml:space="preserve">ส่วนขยายของ </t>
    </r>
    <r>
      <rPr>
        <rFont val="Calibri"/>
        <color theme="1"/>
        <sz val="14.0"/>
      </rPr>
      <t xml:space="preserve">SC-11: </t>
    </r>
    <r>
      <rPr>
        <rFont val="FreeSans"/>
        <color theme="1"/>
        <sz val="14.0"/>
      </rPr>
      <t xml:space="preserve">กำหนดค่าและบังคับใช้ </t>
    </r>
    <r>
      <rPr>
        <rFont val="Calibri"/>
        <color theme="1"/>
        <sz val="14.0"/>
      </rPr>
      <t xml:space="preserve">'Irrefutable Communications Path'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จัดให้มีเส้นทางสื่อสารที่เชื่อถือได้สำหรับการพิสูจน์ตัวตนและฟังก์ชันความปลอดภัย</t>
    </r>
  </si>
  <si>
    <t>ESBIT-SC-12</t>
  </si>
  <si>
    <t>SC-12</t>
  </si>
  <si>
    <t>Cryptographic Key Establishment and Management</t>
  </si>
  <si>
    <t>Configure key generation, distribution, storage (HSM/KMS), rotation and revocation</t>
  </si>
  <si>
    <r>
      <rPr>
        <rFont val="FreeSans"/>
        <color theme="1"/>
        <sz val="14.0"/>
      </rPr>
      <t xml:space="preserve">ตั้งค่าการสร้าง แจกจ่าย จัดเก็บ </t>
    </r>
    <r>
      <rPr>
        <rFont val="Calibri"/>
        <color theme="1"/>
        <sz val="14.0"/>
      </rPr>
      <t xml:space="preserve">(HSM/KMS) </t>
    </r>
    <r>
      <rPr>
        <rFont val="FreeSans"/>
        <color theme="1"/>
        <sz val="14.0"/>
      </rPr>
      <t xml:space="preserve">หมุนเวียน และเพิกถอน </t>
    </r>
    <r>
      <rPr>
        <rFont val="Calibri"/>
        <color theme="1"/>
        <sz val="14.0"/>
      </rPr>
      <t>Key</t>
    </r>
  </si>
  <si>
    <t>Cryptography/PKI, Infrastructure (Server/OS), Cloud</t>
  </si>
  <si>
    <t>ESBIT-SC-12(01)</t>
  </si>
  <si>
    <t>SC-12(01)</t>
  </si>
  <si>
    <t>Cryptographic Key Establishment and Management | Availability</t>
  </si>
  <si>
    <t>Enhances SC-12 (Cryptographic Key Establishment and Management): configure and enforce 'Availability' in addition to the base setting, keep it consistent across applicable systems and document approved exceptions. Base scope: Configure key generation, distribution, storage (HSM/KMS), rotation and revocation</t>
  </si>
  <si>
    <r>
      <rPr>
        <rFont val="FreeSans"/>
        <color theme="1"/>
        <sz val="14.0"/>
      </rPr>
      <t xml:space="preserve">ส่วนขยายของ </t>
    </r>
    <r>
      <rPr>
        <rFont val="Calibri"/>
        <color theme="1"/>
        <sz val="14.0"/>
      </rPr>
      <t xml:space="preserve">SC-12: </t>
    </r>
    <r>
      <rPr>
        <rFont val="FreeSans"/>
        <color theme="1"/>
        <sz val="14.0"/>
      </rPr>
      <t xml:space="preserve">กำหนดค่าและบังคับใช้ </t>
    </r>
    <r>
      <rPr>
        <rFont val="Calibri"/>
        <color theme="1"/>
        <sz val="14.0"/>
      </rPr>
      <t xml:space="preserve">'Availability'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ตั้งค่าการสร้าง แจกจ่าย จัดเก็บ </t>
    </r>
    <r>
      <rPr>
        <rFont val="Calibri"/>
        <color theme="1"/>
        <sz val="14.0"/>
      </rPr>
      <t xml:space="preserve">(HSM/KMS) </t>
    </r>
    <r>
      <rPr>
        <rFont val="FreeSans"/>
        <color theme="1"/>
        <sz val="14.0"/>
      </rPr>
      <t xml:space="preserve">หมุนเวียน และเพิกถอน </t>
    </r>
    <r>
      <rPr>
        <rFont val="Calibri"/>
        <color theme="1"/>
        <sz val="14.0"/>
      </rPr>
      <t>Key</t>
    </r>
  </si>
  <si>
    <t>ESBIT-SC-12(02)</t>
  </si>
  <si>
    <t>SC-12(02)</t>
  </si>
  <si>
    <t>Cryptographic Key Establishment and Management | Symmetric Keys</t>
  </si>
  <si>
    <t>Enhances SC-12 (Cryptographic Key Establishment and Management): configure and enforce 'Symmetric Keys' in addition to the base setting, keep it consistent across applicable systems and document approved exceptions. Base scope: Configure key generation, distribution, storage (HSM/KMS), rotation and revocation</t>
  </si>
  <si>
    <r>
      <rPr>
        <rFont val="FreeSans"/>
        <color theme="1"/>
        <sz val="14.0"/>
      </rPr>
      <t xml:space="preserve">ส่วนขยายของ </t>
    </r>
    <r>
      <rPr>
        <rFont val="Calibri"/>
        <color theme="1"/>
        <sz val="14.0"/>
      </rPr>
      <t xml:space="preserve">SC-12: </t>
    </r>
    <r>
      <rPr>
        <rFont val="FreeSans"/>
        <color theme="1"/>
        <sz val="14.0"/>
      </rPr>
      <t xml:space="preserve">กำหนดค่าและบังคับใช้ </t>
    </r>
    <r>
      <rPr>
        <rFont val="Calibri"/>
        <color theme="1"/>
        <sz val="14.0"/>
      </rPr>
      <t xml:space="preserve">'Symmetric Keys'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ตั้งค่าการสร้าง แจกจ่าย จัดเก็บ </t>
    </r>
    <r>
      <rPr>
        <rFont val="Calibri"/>
        <color theme="1"/>
        <sz val="14.0"/>
      </rPr>
      <t xml:space="preserve">(HSM/KMS) </t>
    </r>
    <r>
      <rPr>
        <rFont val="FreeSans"/>
        <color theme="1"/>
        <sz val="14.0"/>
      </rPr>
      <t xml:space="preserve">หมุนเวียน และเพิกถอน </t>
    </r>
    <r>
      <rPr>
        <rFont val="Calibri"/>
        <color theme="1"/>
        <sz val="14.0"/>
      </rPr>
      <t>Key</t>
    </r>
  </si>
  <si>
    <t>ESBIT-SC-12(03)</t>
  </si>
  <si>
    <t>SC-12(03)</t>
  </si>
  <si>
    <t>Cryptographic Key Establishment and Management | Asymmetric Keys</t>
  </si>
  <si>
    <t>Enhances SC-12 (Cryptographic Key Establishment and Management): configure and enforce 'Asymmetric Keys' in addition to the base setting, keep it consistent across applicable systems and document approved exceptions. Base scope: Configure key generation, distribution, storage (HSM/KMS), rotation and revocation</t>
  </si>
  <si>
    <r>
      <rPr>
        <rFont val="FreeSans"/>
        <color theme="1"/>
        <sz val="14.0"/>
      </rPr>
      <t xml:space="preserve">ส่วนขยายของ </t>
    </r>
    <r>
      <rPr>
        <rFont val="Calibri"/>
        <color theme="1"/>
        <sz val="14.0"/>
      </rPr>
      <t xml:space="preserve">SC-12: </t>
    </r>
    <r>
      <rPr>
        <rFont val="FreeSans"/>
        <color theme="1"/>
        <sz val="14.0"/>
      </rPr>
      <t xml:space="preserve">กำหนดค่าและบังคับใช้ </t>
    </r>
    <r>
      <rPr>
        <rFont val="Calibri"/>
        <color theme="1"/>
        <sz val="14.0"/>
      </rPr>
      <t xml:space="preserve">'Asymmetric Keys'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ตั้งค่าการสร้าง แจกจ่าย จัดเก็บ </t>
    </r>
    <r>
      <rPr>
        <rFont val="Calibri"/>
        <color theme="1"/>
        <sz val="14.0"/>
      </rPr>
      <t xml:space="preserve">(HSM/KMS) </t>
    </r>
    <r>
      <rPr>
        <rFont val="FreeSans"/>
        <color theme="1"/>
        <sz val="14.0"/>
      </rPr>
      <t xml:space="preserve">หมุนเวียน และเพิกถอน </t>
    </r>
    <r>
      <rPr>
        <rFont val="Calibri"/>
        <color theme="1"/>
        <sz val="14.0"/>
      </rPr>
      <t>Key</t>
    </r>
  </si>
  <si>
    <t>ESBIT-SC-12(06)</t>
  </si>
  <si>
    <t>SC-12(06)</t>
  </si>
  <si>
    <t>Cryptographic Key Establishment and Management | Physical Control of Keys</t>
  </si>
  <si>
    <t>Enhances SC-12 (Cryptographic Key Establishment and Management): configure and enforce 'Physical Control of Keys' in addition to the base setting, keep it consistent across applicable systems and document approved exceptions. Base scope: Configure key generation, distribution, storage (HSM/KMS), rotation and revocation</t>
  </si>
  <si>
    <r>
      <rPr>
        <rFont val="FreeSans"/>
        <color theme="1"/>
        <sz val="14.0"/>
      </rPr>
      <t xml:space="preserve">ส่วนขยายของ </t>
    </r>
    <r>
      <rPr>
        <rFont val="Calibri"/>
        <color theme="1"/>
        <sz val="14.0"/>
      </rPr>
      <t xml:space="preserve">SC-12: </t>
    </r>
    <r>
      <rPr>
        <rFont val="FreeSans"/>
        <color theme="1"/>
        <sz val="14.0"/>
      </rPr>
      <t xml:space="preserve">กำหนดค่าและบังคับใช้ </t>
    </r>
    <r>
      <rPr>
        <rFont val="Calibri"/>
        <color theme="1"/>
        <sz val="14.0"/>
      </rPr>
      <t xml:space="preserve">'Physical Control of Keys'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ตั้งค่าการสร้าง แจกจ่าย จัดเก็บ </t>
    </r>
    <r>
      <rPr>
        <rFont val="Calibri"/>
        <color theme="1"/>
        <sz val="14.0"/>
      </rPr>
      <t xml:space="preserve">(HSM/KMS) </t>
    </r>
    <r>
      <rPr>
        <rFont val="FreeSans"/>
        <color theme="1"/>
        <sz val="14.0"/>
      </rPr>
      <t xml:space="preserve">หมุนเวียน และเพิกถอน </t>
    </r>
    <r>
      <rPr>
        <rFont val="Calibri"/>
        <color theme="1"/>
        <sz val="14.0"/>
      </rPr>
      <t>Key</t>
    </r>
  </si>
  <si>
    <t>ESBIT-SC-13</t>
  </si>
  <si>
    <t>SC-13</t>
  </si>
  <si>
    <t>Cryptographic Protection</t>
  </si>
  <si>
    <t>Configure approved cryptographic algorithms and key lengths (AES-256, RSA-2048+, SHA-2) across systems</t>
  </si>
  <si>
    <r>
      <rPr>
        <rFont val="FreeSans"/>
        <color theme="1"/>
        <sz val="14.0"/>
      </rPr>
      <t xml:space="preserve">กำหนด </t>
    </r>
    <r>
      <rPr>
        <rFont val="Calibri"/>
        <color theme="1"/>
        <sz val="14.0"/>
      </rPr>
      <t xml:space="preserve">Algorithm </t>
    </r>
    <r>
      <rPr>
        <rFont val="FreeSans"/>
        <color theme="1"/>
        <sz val="14.0"/>
      </rPr>
      <t xml:space="preserve">และความยาว </t>
    </r>
    <r>
      <rPr>
        <rFont val="Calibri"/>
        <color theme="1"/>
        <sz val="14.0"/>
      </rPr>
      <t xml:space="preserve">Key </t>
    </r>
    <r>
      <rPr>
        <rFont val="FreeSans"/>
        <color theme="1"/>
        <sz val="14.0"/>
      </rPr>
      <t xml:space="preserve">ที่อนุมัติ </t>
    </r>
    <r>
      <rPr>
        <rFont val="Calibri"/>
        <color theme="1"/>
        <sz val="14.0"/>
      </rPr>
      <t xml:space="preserve">(AES-256, RSA-2048+, SHA-2) </t>
    </r>
    <r>
      <rPr>
        <rFont val="FreeSans"/>
        <color theme="1"/>
        <sz val="14.0"/>
      </rPr>
      <t>ทั่วระบบ</t>
    </r>
  </si>
  <si>
    <t>Cryptography/PKI, Infrastructure (Server/OS), Application/Software</t>
  </si>
  <si>
    <t>ESBIT-SC-15</t>
  </si>
  <si>
    <t>SC-15</t>
  </si>
  <si>
    <t>Collaborative Computing Devices and Applications</t>
  </si>
  <si>
    <t>Disable or restrict remote activation of cameras/microphones and collaboration tools</t>
  </si>
  <si>
    <r>
      <rPr>
        <rFont val="FreeSans"/>
        <color theme="1"/>
        <sz val="14.0"/>
      </rPr>
      <t>ปิดหรือจำกัดการเปิดกล้อง</t>
    </r>
    <r>
      <rPr>
        <rFont val="Calibri"/>
        <color theme="1"/>
        <sz val="14.0"/>
      </rPr>
      <t>/</t>
    </r>
    <r>
      <rPr>
        <rFont val="FreeSans"/>
        <color theme="1"/>
        <sz val="14.0"/>
      </rPr>
      <t xml:space="preserve">ไมค์จากระยะไกลและเครื่องมือ </t>
    </r>
    <r>
      <rPr>
        <rFont val="Calibri"/>
        <color theme="1"/>
        <sz val="14.0"/>
      </rPr>
      <t>Collaboration</t>
    </r>
  </si>
  <si>
    <t>Endpoint/Mobile, Application/Software</t>
  </si>
  <si>
    <t>ESBIT-SC-15(03)</t>
  </si>
  <si>
    <t>SC-15(03)</t>
  </si>
  <si>
    <t>Collaborative Computing Devices and Applications | Disabling and Removal in Secure Work Areas</t>
  </si>
  <si>
    <t>Enhances SC-15 (Collaborative Computing Devices and Applications): configure and enforce 'Disabling and Removal in Secure Work Areas' in addition to the base setting, keep it consistent across applicable systems and document approved exceptions. Base scope: Disable or restrict remote activation of cameras/microphones and collaboration tools</t>
  </si>
  <si>
    <r>
      <rPr>
        <rFont val="FreeSans"/>
        <color theme="1"/>
        <sz val="14.0"/>
      </rPr>
      <t xml:space="preserve">ส่วนขยายของ </t>
    </r>
    <r>
      <rPr>
        <rFont val="Calibri"/>
        <color theme="1"/>
        <sz val="14.0"/>
      </rPr>
      <t xml:space="preserve">SC-15: </t>
    </r>
    <r>
      <rPr>
        <rFont val="FreeSans"/>
        <color theme="1"/>
        <sz val="14.0"/>
      </rPr>
      <t xml:space="preserve">กำหนดค่าและบังคับใช้ </t>
    </r>
    <r>
      <rPr>
        <rFont val="Calibri"/>
        <color theme="1"/>
        <sz val="14.0"/>
      </rPr>
      <t xml:space="preserve">'Disabling and Removal in Secure Work Areas'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ปิดหรือจำกัดการเปิดกล้อง</t>
    </r>
    <r>
      <rPr>
        <rFont val="Calibri"/>
        <color theme="1"/>
        <sz val="14.0"/>
      </rPr>
      <t>/</t>
    </r>
    <r>
      <rPr>
        <rFont val="FreeSans"/>
        <color theme="1"/>
        <sz val="14.0"/>
      </rPr>
      <t xml:space="preserve">ไมค์จากระยะไกลและเครื่องมือ </t>
    </r>
    <r>
      <rPr>
        <rFont val="Calibri"/>
        <color theme="1"/>
        <sz val="14.0"/>
      </rPr>
      <t>Collaboration</t>
    </r>
  </si>
  <si>
    <t>ESBIT-SC-15(04)</t>
  </si>
  <si>
    <t>SC-15(04)</t>
  </si>
  <si>
    <t>Collaborative Computing Devices and Applications | Explicitly Indicate Current Participants</t>
  </si>
  <si>
    <t>Enhances SC-15 (Collaborative Computing Devices and Applications): configure and enforce 'Explicitly Indicate Current Participants' in addition to the base setting, keep it consistent across applicable systems and document approved exceptions. Base scope: Disable or restrict remote activation of cameras/microphones and collaboration tools</t>
  </si>
  <si>
    <r>
      <rPr>
        <rFont val="FreeSans"/>
        <color theme="1"/>
        <sz val="14.0"/>
      </rPr>
      <t xml:space="preserve">ส่วนขยายของ </t>
    </r>
    <r>
      <rPr>
        <rFont val="Calibri"/>
        <color theme="1"/>
        <sz val="14.0"/>
      </rPr>
      <t xml:space="preserve">SC-15: </t>
    </r>
    <r>
      <rPr>
        <rFont val="FreeSans"/>
        <color theme="1"/>
        <sz val="14.0"/>
      </rPr>
      <t xml:space="preserve">กำหนดค่าและบังคับใช้ </t>
    </r>
    <r>
      <rPr>
        <rFont val="Calibri"/>
        <color theme="1"/>
        <sz val="14.0"/>
      </rPr>
      <t xml:space="preserve">'Explicitly Indicate Current Participants'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ปิดหรือจำกัดการเปิดกล้อง</t>
    </r>
    <r>
      <rPr>
        <rFont val="Calibri"/>
        <color theme="1"/>
        <sz val="14.0"/>
      </rPr>
      <t>/</t>
    </r>
    <r>
      <rPr>
        <rFont val="FreeSans"/>
        <color theme="1"/>
        <sz val="14.0"/>
      </rPr>
      <t xml:space="preserve">ไมค์จากระยะไกลและเครื่องมือ </t>
    </r>
    <r>
      <rPr>
        <rFont val="Calibri"/>
        <color theme="1"/>
        <sz val="14.0"/>
      </rPr>
      <t>Collaboration</t>
    </r>
  </si>
  <si>
    <t>ESBIT-SC-16</t>
  </si>
  <si>
    <t>SC-16</t>
  </si>
  <si>
    <t>Transmission of Security and Privacy Attributes</t>
  </si>
  <si>
    <t>Configure secure transmission of security attributes with data</t>
  </si>
  <si>
    <t>ตั้งค่าการส่งแอตทริบิวต์ความปลอดภัยไปพร้อมข้อมูลอย่างปลอดภัย</t>
  </si>
  <si>
    <t>Network, Application/Software</t>
  </si>
  <si>
    <t>ESBIT-SC-16(01)</t>
  </si>
  <si>
    <t>SC-16(01)</t>
  </si>
  <si>
    <t>Transmission of Security and Privacy Attributes | Integrity Verification</t>
  </si>
  <si>
    <t>Enhances SC-16 (Transmission of Security and Privacy Attributes): configure and enforce 'Integrity Verification' in addition to the base setting, keep it consistent across applicable systems and document approved exceptions. Base scope: Configure secure transmission of security attributes with data</t>
  </si>
  <si>
    <r>
      <rPr>
        <rFont val="FreeSans"/>
        <color theme="1"/>
        <sz val="14.0"/>
      </rPr>
      <t xml:space="preserve">ส่วนขยายของ </t>
    </r>
    <r>
      <rPr>
        <rFont val="Calibri"/>
        <color theme="1"/>
        <sz val="14.0"/>
      </rPr>
      <t xml:space="preserve">SC-16: </t>
    </r>
    <r>
      <rPr>
        <rFont val="FreeSans"/>
        <color theme="1"/>
        <sz val="14.0"/>
      </rPr>
      <t xml:space="preserve">กำหนดค่าและบังคับใช้ </t>
    </r>
    <r>
      <rPr>
        <rFont val="Calibri"/>
        <color theme="1"/>
        <sz val="14.0"/>
      </rPr>
      <t xml:space="preserve">'Integrity Verification'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ตั้งค่าการส่งแอตทริบิวต์ความปลอดภัยไปพร้อมข้อมูลอย่างปลอดภัย</t>
    </r>
  </si>
  <si>
    <t>ESBIT-SC-16(02)</t>
  </si>
  <si>
    <t>SC-16(02)</t>
  </si>
  <si>
    <t>Transmission of Security and Privacy Attributes | Anti-spoofing Mechanisms</t>
  </si>
  <si>
    <t>Enhances SC-16 (Transmission of Security and Privacy Attributes): configure and enforce 'Anti-spoofing Mechanisms' in addition to the base setting, keep it consistent across applicable systems and document approved exceptions. Base scope: Configure secure transmission of security attributes with data</t>
  </si>
  <si>
    <r>
      <rPr>
        <rFont val="FreeSans"/>
        <color theme="1"/>
        <sz val="14.0"/>
      </rPr>
      <t xml:space="preserve">ส่วนขยายของ </t>
    </r>
    <r>
      <rPr>
        <rFont val="Calibri"/>
        <color theme="1"/>
        <sz val="14.0"/>
      </rPr>
      <t xml:space="preserve">SC-16: </t>
    </r>
    <r>
      <rPr>
        <rFont val="FreeSans"/>
        <color theme="1"/>
        <sz val="14.0"/>
      </rPr>
      <t xml:space="preserve">กำหนดค่าและบังคับใช้ </t>
    </r>
    <r>
      <rPr>
        <rFont val="Calibri"/>
        <color theme="1"/>
        <sz val="14.0"/>
      </rPr>
      <t xml:space="preserve">'Anti-spoofing Mechanisms'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ตั้งค่าการส่งแอตทริบิวต์ความปลอดภัยไปพร้อมข้อมูลอย่างปลอดภัย</t>
    </r>
  </si>
  <si>
    <t>ESBIT-SC-16(03)</t>
  </si>
  <si>
    <t>SC-16(03)</t>
  </si>
  <si>
    <t>Transmission of Security and Privacy Attributes | Cryptographic Binding</t>
  </si>
  <si>
    <t>Enhances SC-16 (Transmission of Security and Privacy Attributes): configure and enforce 'Cryptographic Binding' in addition to the base setting, keep it consistent across applicable systems and document approved exceptions. Base scope: Configure secure transmission of security attributes with data</t>
  </si>
  <si>
    <r>
      <rPr>
        <rFont val="FreeSans"/>
        <color theme="1"/>
        <sz val="14.0"/>
      </rPr>
      <t xml:space="preserve">ส่วนขยายของ </t>
    </r>
    <r>
      <rPr>
        <rFont val="Calibri"/>
        <color theme="1"/>
        <sz val="14.0"/>
      </rPr>
      <t xml:space="preserve">SC-16: </t>
    </r>
    <r>
      <rPr>
        <rFont val="FreeSans"/>
        <color theme="1"/>
        <sz val="14.0"/>
      </rPr>
      <t xml:space="preserve">กำหนดค่าและบังคับใช้ </t>
    </r>
    <r>
      <rPr>
        <rFont val="Calibri"/>
        <color theme="1"/>
        <sz val="14.0"/>
      </rPr>
      <t xml:space="preserve">'Cryptographic Binding'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ตั้งค่าการส่งแอตทริบิวต์ความปลอดภัยไปพร้อมข้อมูลอย่างปลอดภัย</t>
    </r>
  </si>
  <si>
    <t>ESBIT-SC-17</t>
  </si>
  <si>
    <t>SC-17</t>
  </si>
  <si>
    <t>Public Key Infrastructure Certificates</t>
  </si>
  <si>
    <t>Configure PKI/CA certificate issuance, validity, revocation and trusted store management</t>
  </si>
  <si>
    <r>
      <rPr>
        <rFont val="FreeSans"/>
        <color theme="1"/>
        <sz val="14.0"/>
      </rPr>
      <t xml:space="preserve">ตั้งค่า </t>
    </r>
    <r>
      <rPr>
        <rFont val="Calibri"/>
        <color theme="1"/>
        <sz val="14.0"/>
      </rPr>
      <t xml:space="preserve">PKI/CA </t>
    </r>
    <r>
      <rPr>
        <rFont val="FreeSans"/>
        <color theme="1"/>
        <sz val="14.0"/>
      </rPr>
      <t xml:space="preserve">การออกใบรับรอง อายุ การเพิกถอน และ </t>
    </r>
    <r>
      <rPr>
        <rFont val="Calibri"/>
        <color theme="1"/>
        <sz val="14.0"/>
      </rPr>
      <t>Trust Store</t>
    </r>
  </si>
  <si>
    <t>Cryptography/PKI, Network</t>
  </si>
  <si>
    <t>ESBIT-SC-18</t>
  </si>
  <si>
    <t>SC-18</t>
  </si>
  <si>
    <t>Mobile Code</t>
  </si>
  <si>
    <t>Configure browser and application controls limiting mobile code such as Java, ActiveX, macros and scripts</t>
  </si>
  <si>
    <r>
      <rPr>
        <rFont val="FreeSans"/>
        <color theme="1"/>
        <sz val="14.0"/>
      </rPr>
      <t xml:space="preserve">ตั้งค่า </t>
    </r>
    <r>
      <rPr>
        <rFont val="Calibri"/>
        <color theme="1"/>
        <sz val="14.0"/>
      </rPr>
      <t>Browser/</t>
    </r>
    <r>
      <rPr>
        <rFont val="FreeSans"/>
        <color theme="1"/>
        <sz val="14.0"/>
      </rPr>
      <t xml:space="preserve">แอปให้จำกัด </t>
    </r>
    <r>
      <rPr>
        <rFont val="Calibri"/>
        <color theme="1"/>
        <sz val="14.0"/>
      </rPr>
      <t xml:space="preserve">Mobile Code </t>
    </r>
    <r>
      <rPr>
        <rFont val="FreeSans"/>
        <color theme="1"/>
        <sz val="14.0"/>
      </rPr>
      <t xml:space="preserve">เช่น </t>
    </r>
    <r>
      <rPr>
        <rFont val="Calibri"/>
        <color theme="1"/>
        <sz val="14.0"/>
      </rPr>
      <t>Java, ActiveX, Macro, Script</t>
    </r>
  </si>
  <si>
    <t>Application/Software, Endpoint/Mobile</t>
  </si>
  <si>
    <t>ESBIT-SC-18(01)</t>
  </si>
  <si>
    <t>SC-18(01)</t>
  </si>
  <si>
    <t>Mobile Code | Identify Unacceptable Code and Take Corrective Actions</t>
  </si>
  <si>
    <t>Enhances SC-18 (Mobile Code): configure and enforce 'Identify Unacceptable Code and Take Corrective Actions' in addition to the base setting, keep it consistent across applicable systems and document approved exceptions. Base scope: Configure browser and application controls limiting mobile code such as Java, ActiveX, macros and scripts</t>
  </si>
  <si>
    <r>
      <rPr>
        <rFont val="FreeSans"/>
        <color theme="1"/>
        <sz val="14.0"/>
      </rPr>
      <t xml:space="preserve">ส่วนขยายของ </t>
    </r>
    <r>
      <rPr>
        <rFont val="Calibri"/>
        <color theme="1"/>
        <sz val="14.0"/>
      </rPr>
      <t xml:space="preserve">SC-18: </t>
    </r>
    <r>
      <rPr>
        <rFont val="FreeSans"/>
        <color theme="1"/>
        <sz val="14.0"/>
      </rPr>
      <t xml:space="preserve">กำหนดค่าและบังคับใช้ </t>
    </r>
    <r>
      <rPr>
        <rFont val="Calibri"/>
        <color theme="1"/>
        <sz val="14.0"/>
      </rPr>
      <t xml:space="preserve">'Identify Unacceptable Code and Take Corrective Actions'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Browser/</t>
    </r>
    <r>
      <rPr>
        <rFont val="FreeSans"/>
        <color theme="1"/>
        <sz val="14.0"/>
      </rPr>
      <t xml:space="preserve">แอปให้จำกัด </t>
    </r>
    <r>
      <rPr>
        <rFont val="Calibri"/>
        <color theme="1"/>
        <sz val="14.0"/>
      </rPr>
      <t xml:space="preserve">Mobile Code </t>
    </r>
    <r>
      <rPr>
        <rFont val="FreeSans"/>
        <color theme="1"/>
        <sz val="14.0"/>
      </rPr>
      <t xml:space="preserve">เช่น </t>
    </r>
    <r>
      <rPr>
        <rFont val="Calibri"/>
        <color theme="1"/>
        <sz val="14.0"/>
      </rPr>
      <t>Java, ActiveX, Macro, Script</t>
    </r>
  </si>
  <si>
    <t>ESBIT-SC-18(02)</t>
  </si>
  <si>
    <t>SC-18(02)</t>
  </si>
  <si>
    <t>Mobile Code | Acquisition, Development, and Use</t>
  </si>
  <si>
    <t>Enhances SC-18 (Mobile Code): configure and enforce 'Acquisition, Development, and Use' in addition to the base setting, keep it consistent across applicable systems and document approved exceptions. Base scope: Configure browser and application controls limiting mobile code such as Java, ActiveX, macros and scripts</t>
  </si>
  <si>
    <r>
      <rPr>
        <rFont val="FreeSans"/>
        <color theme="1"/>
        <sz val="14.0"/>
      </rPr>
      <t xml:space="preserve">ส่วนขยายของ </t>
    </r>
    <r>
      <rPr>
        <rFont val="Calibri"/>
        <color theme="1"/>
        <sz val="14.0"/>
      </rPr>
      <t xml:space="preserve">SC-18: </t>
    </r>
    <r>
      <rPr>
        <rFont val="FreeSans"/>
        <color theme="1"/>
        <sz val="14.0"/>
      </rPr>
      <t xml:space="preserve">กำหนดค่าและบังคับใช้ </t>
    </r>
    <r>
      <rPr>
        <rFont val="Calibri"/>
        <color theme="1"/>
        <sz val="14.0"/>
      </rPr>
      <t xml:space="preserve">'Acquisition, Development, and Use'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Browser/</t>
    </r>
    <r>
      <rPr>
        <rFont val="FreeSans"/>
        <color theme="1"/>
        <sz val="14.0"/>
      </rPr>
      <t xml:space="preserve">แอปให้จำกัด </t>
    </r>
    <r>
      <rPr>
        <rFont val="Calibri"/>
        <color theme="1"/>
        <sz val="14.0"/>
      </rPr>
      <t xml:space="preserve">Mobile Code </t>
    </r>
    <r>
      <rPr>
        <rFont val="FreeSans"/>
        <color theme="1"/>
        <sz val="14.0"/>
      </rPr>
      <t xml:space="preserve">เช่น </t>
    </r>
    <r>
      <rPr>
        <rFont val="Calibri"/>
        <color theme="1"/>
        <sz val="14.0"/>
      </rPr>
      <t>Java, ActiveX, Macro, Script</t>
    </r>
  </si>
  <si>
    <t>ESBIT-SC-18(03)</t>
  </si>
  <si>
    <t>SC-18(03)</t>
  </si>
  <si>
    <t>Mobile Code | Prevent Downloading and Execution</t>
  </si>
  <si>
    <t>Enhances SC-18 (Mobile Code): configure and enforce 'Prevent Downloading and Execution' in addition to the base setting, keep it consistent across applicable systems and document approved exceptions. Base scope: Configure browser and application controls limiting mobile code such as Java, ActiveX, macros and scripts</t>
  </si>
  <si>
    <r>
      <rPr>
        <rFont val="FreeSans"/>
        <color theme="1"/>
        <sz val="14.0"/>
      </rPr>
      <t xml:space="preserve">ส่วนขยายของ </t>
    </r>
    <r>
      <rPr>
        <rFont val="Calibri"/>
        <color theme="1"/>
        <sz val="14.0"/>
      </rPr>
      <t xml:space="preserve">SC-18: </t>
    </r>
    <r>
      <rPr>
        <rFont val="FreeSans"/>
        <color theme="1"/>
        <sz val="14.0"/>
      </rPr>
      <t xml:space="preserve">กำหนดค่าและบังคับใช้ </t>
    </r>
    <r>
      <rPr>
        <rFont val="Calibri"/>
        <color theme="1"/>
        <sz val="14.0"/>
      </rPr>
      <t xml:space="preserve">'Prevent Downloading and Execution'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Browser/</t>
    </r>
    <r>
      <rPr>
        <rFont val="FreeSans"/>
        <color theme="1"/>
        <sz val="14.0"/>
      </rPr>
      <t xml:space="preserve">แอปให้จำกัด </t>
    </r>
    <r>
      <rPr>
        <rFont val="Calibri"/>
        <color theme="1"/>
        <sz val="14.0"/>
      </rPr>
      <t xml:space="preserve">Mobile Code </t>
    </r>
    <r>
      <rPr>
        <rFont val="FreeSans"/>
        <color theme="1"/>
        <sz val="14.0"/>
      </rPr>
      <t xml:space="preserve">เช่น </t>
    </r>
    <r>
      <rPr>
        <rFont val="Calibri"/>
        <color theme="1"/>
        <sz val="14.0"/>
      </rPr>
      <t>Java, ActiveX, Macro, Script</t>
    </r>
  </si>
  <si>
    <t>ESBIT-SC-18(04)</t>
  </si>
  <si>
    <t>SC-18(04)</t>
  </si>
  <si>
    <t>Mobile Code | Prevent Automatic Execution</t>
  </si>
  <si>
    <t>Enhances SC-18 (Mobile Code): configure and enforce 'Prevent Automatic Execution' in addition to the base setting, keep it consistent across applicable systems and document approved exceptions. Base scope: Configure browser and application controls limiting mobile code such as Java, ActiveX, macros and scripts</t>
  </si>
  <si>
    <r>
      <rPr>
        <rFont val="FreeSans"/>
        <color theme="1"/>
        <sz val="14.0"/>
      </rPr>
      <t xml:space="preserve">ส่วนขยายของ </t>
    </r>
    <r>
      <rPr>
        <rFont val="Calibri"/>
        <color theme="1"/>
        <sz val="14.0"/>
      </rPr>
      <t xml:space="preserve">SC-18: </t>
    </r>
    <r>
      <rPr>
        <rFont val="FreeSans"/>
        <color theme="1"/>
        <sz val="14.0"/>
      </rPr>
      <t xml:space="preserve">กำหนดค่าและบังคับใช้ </t>
    </r>
    <r>
      <rPr>
        <rFont val="Calibri"/>
        <color theme="1"/>
        <sz val="14.0"/>
      </rPr>
      <t xml:space="preserve">'Prevent Automatic Execution'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Browser/</t>
    </r>
    <r>
      <rPr>
        <rFont val="FreeSans"/>
        <color theme="1"/>
        <sz val="14.0"/>
      </rPr>
      <t xml:space="preserve">แอปให้จำกัด </t>
    </r>
    <r>
      <rPr>
        <rFont val="Calibri"/>
        <color theme="1"/>
        <sz val="14.0"/>
      </rPr>
      <t xml:space="preserve">Mobile Code </t>
    </r>
    <r>
      <rPr>
        <rFont val="FreeSans"/>
        <color theme="1"/>
        <sz val="14.0"/>
      </rPr>
      <t xml:space="preserve">เช่น </t>
    </r>
    <r>
      <rPr>
        <rFont val="Calibri"/>
        <color theme="1"/>
        <sz val="14.0"/>
      </rPr>
      <t>Java, ActiveX, Macro, Script</t>
    </r>
  </si>
  <si>
    <t>ESBIT-SC-18(05)</t>
  </si>
  <si>
    <t>SC-18(05)</t>
  </si>
  <si>
    <t>Mobile Code | Allow Execution Only in Confined Environments</t>
  </si>
  <si>
    <t>Enhances SC-18 (Mobile Code): configure and enforce 'Allow Execution Only in Confined Environments' in addition to the base setting, keep it consistent across applicable systems and document approved exceptions. Base scope: Configure browser and application controls limiting mobile code such as Java, ActiveX, macros and scripts</t>
  </si>
  <si>
    <r>
      <rPr>
        <rFont val="FreeSans"/>
        <color theme="1"/>
        <sz val="14.0"/>
      </rPr>
      <t xml:space="preserve">ส่วนขยายของ </t>
    </r>
    <r>
      <rPr>
        <rFont val="Calibri"/>
        <color theme="1"/>
        <sz val="14.0"/>
      </rPr>
      <t xml:space="preserve">SC-18: </t>
    </r>
    <r>
      <rPr>
        <rFont val="FreeSans"/>
        <color theme="1"/>
        <sz val="14.0"/>
      </rPr>
      <t xml:space="preserve">กำหนดค่าและบังคับใช้ </t>
    </r>
    <r>
      <rPr>
        <rFont val="Calibri"/>
        <color theme="1"/>
        <sz val="14.0"/>
      </rPr>
      <t xml:space="preserve">'Allow Execution Only in Confined Environments'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Browser/</t>
    </r>
    <r>
      <rPr>
        <rFont val="FreeSans"/>
        <color theme="1"/>
        <sz val="14.0"/>
      </rPr>
      <t xml:space="preserve">แอปให้จำกัด </t>
    </r>
    <r>
      <rPr>
        <rFont val="Calibri"/>
        <color theme="1"/>
        <sz val="14.0"/>
      </rPr>
      <t xml:space="preserve">Mobile Code </t>
    </r>
    <r>
      <rPr>
        <rFont val="FreeSans"/>
        <color theme="1"/>
        <sz val="14.0"/>
      </rPr>
      <t xml:space="preserve">เช่น </t>
    </r>
    <r>
      <rPr>
        <rFont val="Calibri"/>
        <color theme="1"/>
        <sz val="14.0"/>
      </rPr>
      <t>Java, ActiveX, Macro, Script</t>
    </r>
  </si>
  <si>
    <t>ESBIT-SC-20</t>
  </si>
  <si>
    <t>SC-20</t>
  </si>
  <si>
    <t>Secure Name/Address Resolution Service (Authoritative Source)</t>
  </si>
  <si>
    <t>Configure DNSSEC and authoritative DNS server hardening</t>
  </si>
  <si>
    <r>
      <rPr>
        <rFont val="FreeSans"/>
        <color theme="1"/>
        <sz val="14.0"/>
      </rPr>
      <t xml:space="preserve">ตั้งค่า </t>
    </r>
    <r>
      <rPr>
        <rFont val="Calibri"/>
        <color theme="1"/>
        <sz val="14.0"/>
      </rPr>
      <t xml:space="preserve">DNSSEC </t>
    </r>
    <r>
      <rPr>
        <rFont val="FreeSans"/>
        <color theme="1"/>
        <sz val="14.0"/>
      </rPr>
      <t xml:space="preserve">และ </t>
    </r>
    <r>
      <rPr>
        <rFont val="Calibri"/>
        <color theme="1"/>
        <sz val="14.0"/>
      </rPr>
      <t xml:space="preserve">Hardening DNS Server </t>
    </r>
    <r>
      <rPr>
        <rFont val="FreeSans"/>
        <color theme="1"/>
        <sz val="14.0"/>
      </rPr>
      <t xml:space="preserve">แบบ </t>
    </r>
    <r>
      <rPr>
        <rFont val="Calibri"/>
        <color theme="1"/>
        <sz val="14.0"/>
      </rPr>
      <t>Authoritative</t>
    </r>
  </si>
  <si>
    <t>ESBIT-SC-20(02)</t>
  </si>
  <si>
    <t>SC-20(02)</t>
  </si>
  <si>
    <t>Secure Name/Address Resolution Service (Authoritative Source) | Data Origin and Integrity</t>
  </si>
  <si>
    <t>Enhances SC-20 (Secure Name/Address Resolution Service (Authoritative Source)): configure and enforce 'Data Origin and Integrity' in addition to the base setting, keep it consistent across applicable systems and document approved exceptions. Base scope: Configure DNSSEC and authoritative DNS server hardening</t>
  </si>
  <si>
    <r>
      <rPr>
        <rFont val="FreeSans"/>
        <color theme="1"/>
        <sz val="14.0"/>
      </rPr>
      <t xml:space="preserve">ส่วนขยายของ </t>
    </r>
    <r>
      <rPr>
        <rFont val="Calibri"/>
        <color theme="1"/>
        <sz val="14.0"/>
      </rPr>
      <t xml:space="preserve">SC-20: </t>
    </r>
    <r>
      <rPr>
        <rFont val="FreeSans"/>
        <color theme="1"/>
        <sz val="14.0"/>
      </rPr>
      <t xml:space="preserve">กำหนดค่าและบังคับใช้ </t>
    </r>
    <r>
      <rPr>
        <rFont val="Calibri"/>
        <color theme="1"/>
        <sz val="14.0"/>
      </rPr>
      <t xml:space="preserve">'Data Origin and Integrity'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DNSSEC </t>
    </r>
    <r>
      <rPr>
        <rFont val="FreeSans"/>
        <color theme="1"/>
        <sz val="14.0"/>
      </rPr>
      <t xml:space="preserve">และ </t>
    </r>
    <r>
      <rPr>
        <rFont val="Calibri"/>
        <color theme="1"/>
        <sz val="14.0"/>
      </rPr>
      <t xml:space="preserve">Hardening DNS Server </t>
    </r>
    <r>
      <rPr>
        <rFont val="FreeSans"/>
        <color theme="1"/>
        <sz val="14.0"/>
      </rPr>
      <t xml:space="preserve">แบบ </t>
    </r>
    <r>
      <rPr>
        <rFont val="Calibri"/>
        <color theme="1"/>
        <sz val="14.0"/>
      </rPr>
      <t>Authoritative</t>
    </r>
  </si>
  <si>
    <t>ESBIT-SC-21</t>
  </si>
  <si>
    <t>SC-21</t>
  </si>
  <si>
    <t>Secure Name/Address Resolution Service (Recursive or Caching Resolver)</t>
  </si>
  <si>
    <t>Configure recursive resolver to validate DNSSEC and restrict recursion</t>
  </si>
  <si>
    <r>
      <rPr>
        <rFont val="FreeSans"/>
        <color theme="1"/>
        <sz val="14.0"/>
      </rPr>
      <t xml:space="preserve">ตั้งค่า </t>
    </r>
    <r>
      <rPr>
        <rFont val="Calibri"/>
        <color theme="1"/>
        <sz val="14.0"/>
      </rPr>
      <t xml:space="preserve">Recursive Resolver </t>
    </r>
    <r>
      <rPr>
        <rFont val="FreeSans"/>
        <color theme="1"/>
        <sz val="14.0"/>
      </rPr>
      <t xml:space="preserve">ให้ตรวจสอบ </t>
    </r>
    <r>
      <rPr>
        <rFont val="Calibri"/>
        <color theme="1"/>
        <sz val="14.0"/>
      </rPr>
      <t xml:space="preserve">DNSSEC </t>
    </r>
    <r>
      <rPr>
        <rFont val="FreeSans"/>
        <color theme="1"/>
        <sz val="14.0"/>
      </rPr>
      <t xml:space="preserve">และจำกัด </t>
    </r>
    <r>
      <rPr>
        <rFont val="Calibri"/>
        <color theme="1"/>
        <sz val="14.0"/>
      </rPr>
      <t>Recursion</t>
    </r>
  </si>
  <si>
    <t>ESBIT-SC-22</t>
  </si>
  <si>
    <t>SC-22</t>
  </si>
  <si>
    <t>Architecture and Provisioning for Name/Address Resolution Service</t>
  </si>
  <si>
    <t>Deploy redundant, role-separated DNS servers for fault tolerance</t>
  </si>
  <si>
    <r>
      <rPr>
        <rFont val="FreeSans"/>
        <color theme="1"/>
        <sz val="14.0"/>
      </rPr>
      <t xml:space="preserve">ติดตั้ง </t>
    </r>
    <r>
      <rPr>
        <rFont val="Calibri"/>
        <color theme="1"/>
        <sz val="14.0"/>
      </rPr>
      <t xml:space="preserve">DNS Server </t>
    </r>
    <r>
      <rPr>
        <rFont val="FreeSans"/>
        <color theme="1"/>
        <sz val="14.0"/>
      </rPr>
      <t>สำรองและแยกบทบาทเพื่อความทนทาน</t>
    </r>
  </si>
  <si>
    <t>ESBIT-SC-23</t>
  </si>
  <si>
    <t>SC-23</t>
  </si>
  <si>
    <t>Session Authenticity</t>
  </si>
  <si>
    <t>Configure secure session IDs, cookie flags, session invalidation at logout and certificate validation</t>
  </si>
  <si>
    <r>
      <rPr>
        <rFont val="FreeSans"/>
        <color theme="1"/>
        <sz val="14.0"/>
      </rPr>
      <t xml:space="preserve">ตั้งค่า </t>
    </r>
    <r>
      <rPr>
        <rFont val="Calibri"/>
        <color theme="1"/>
        <sz val="14.0"/>
      </rPr>
      <t xml:space="preserve">Session ID </t>
    </r>
    <r>
      <rPr>
        <rFont val="FreeSans"/>
        <color theme="1"/>
        <sz val="14.0"/>
      </rPr>
      <t xml:space="preserve">ที่ปลอดภัย </t>
    </r>
    <r>
      <rPr>
        <rFont val="Calibri"/>
        <color theme="1"/>
        <sz val="14.0"/>
      </rPr>
      <t xml:space="preserve">Cookie Flag </t>
    </r>
    <r>
      <rPr>
        <rFont val="FreeSans"/>
        <color theme="1"/>
        <sz val="14.0"/>
      </rPr>
      <t xml:space="preserve">ยกเลิก </t>
    </r>
    <r>
      <rPr>
        <rFont val="Calibri"/>
        <color theme="1"/>
        <sz val="14.0"/>
      </rPr>
      <t xml:space="preserve">Session </t>
    </r>
    <r>
      <rPr>
        <rFont val="FreeSans"/>
        <color theme="1"/>
        <sz val="14.0"/>
      </rPr>
      <t xml:space="preserve">เมื่อ </t>
    </r>
    <r>
      <rPr>
        <rFont val="Calibri"/>
        <color theme="1"/>
        <sz val="14.0"/>
      </rPr>
      <t xml:space="preserve">Logout </t>
    </r>
    <r>
      <rPr>
        <rFont val="FreeSans"/>
        <color theme="1"/>
        <sz val="14.0"/>
      </rPr>
      <t xml:space="preserve">และตรวจสอบ </t>
    </r>
    <r>
      <rPr>
        <rFont val="Calibri"/>
        <color theme="1"/>
        <sz val="14.0"/>
      </rPr>
      <t>Certificate</t>
    </r>
  </si>
  <si>
    <t>ESBIT-SC-23(01)</t>
  </si>
  <si>
    <t>SC-23(01)</t>
  </si>
  <si>
    <t>Session Authenticity | Invalidate Session Identifiers at Logout</t>
  </si>
  <si>
    <t>Enhances SC-23 (Session Authenticity): configure and enforce 'Invalidate Session Identifiers at Logout' in addition to the base setting, keep it consistent across applicable systems and document approved exceptions. Base scope: Configure secure session IDs, cookie flags, session invalidation at logout and certificate validation</t>
  </si>
  <si>
    <r>
      <rPr>
        <rFont val="FreeSans"/>
        <color theme="1"/>
        <sz val="14.0"/>
      </rPr>
      <t xml:space="preserve">ส่วนขยายของ </t>
    </r>
    <r>
      <rPr>
        <rFont val="Calibri"/>
        <color theme="1"/>
        <sz val="14.0"/>
      </rPr>
      <t xml:space="preserve">SC-23: </t>
    </r>
    <r>
      <rPr>
        <rFont val="FreeSans"/>
        <color theme="1"/>
        <sz val="14.0"/>
      </rPr>
      <t xml:space="preserve">กำหนดค่าและบังคับใช้ </t>
    </r>
    <r>
      <rPr>
        <rFont val="Calibri"/>
        <color theme="1"/>
        <sz val="14.0"/>
      </rPr>
      <t xml:space="preserve">'Invalidate Session Identifiers at Logout'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Session ID </t>
    </r>
    <r>
      <rPr>
        <rFont val="FreeSans"/>
        <color theme="1"/>
        <sz val="14.0"/>
      </rPr>
      <t xml:space="preserve">ที่ปลอดภัย </t>
    </r>
    <r>
      <rPr>
        <rFont val="Calibri"/>
        <color theme="1"/>
        <sz val="14.0"/>
      </rPr>
      <t xml:space="preserve">Cookie Flag </t>
    </r>
    <r>
      <rPr>
        <rFont val="FreeSans"/>
        <color theme="1"/>
        <sz val="14.0"/>
      </rPr>
      <t xml:space="preserve">ยกเลิก </t>
    </r>
    <r>
      <rPr>
        <rFont val="Calibri"/>
        <color theme="1"/>
        <sz val="14.0"/>
      </rPr>
      <t xml:space="preserve">Session </t>
    </r>
    <r>
      <rPr>
        <rFont val="FreeSans"/>
        <color theme="1"/>
        <sz val="14.0"/>
      </rPr>
      <t xml:space="preserve">เมื่อ </t>
    </r>
    <r>
      <rPr>
        <rFont val="Calibri"/>
        <color theme="1"/>
        <sz val="14.0"/>
      </rPr>
      <t xml:space="preserve">Logout </t>
    </r>
    <r>
      <rPr>
        <rFont val="FreeSans"/>
        <color theme="1"/>
        <sz val="14.0"/>
      </rPr>
      <t xml:space="preserve">และตรวจสอบ </t>
    </r>
    <r>
      <rPr>
        <rFont val="Calibri"/>
        <color theme="1"/>
        <sz val="14.0"/>
      </rPr>
      <t>Certificate</t>
    </r>
  </si>
  <si>
    <t>ESBIT-SC-23(03)</t>
  </si>
  <si>
    <t>SC-23(03)</t>
  </si>
  <si>
    <t>Session Authenticity | Unique System-generated Session Identifiers</t>
  </si>
  <si>
    <t>Enhances SC-23 (Session Authenticity): configure and enforce 'Unique System-generated Session Identifiers' in addition to the base setting, keep it consistent across applicable systems and document approved exceptions. Base scope: Configure secure session IDs, cookie flags, session invalidation at logout and certificate validation</t>
  </si>
  <si>
    <r>
      <rPr>
        <rFont val="FreeSans"/>
        <color theme="1"/>
        <sz val="14.0"/>
      </rPr>
      <t xml:space="preserve">ส่วนขยายของ </t>
    </r>
    <r>
      <rPr>
        <rFont val="Calibri"/>
        <color theme="1"/>
        <sz val="14.0"/>
      </rPr>
      <t xml:space="preserve">SC-23: </t>
    </r>
    <r>
      <rPr>
        <rFont val="FreeSans"/>
        <color theme="1"/>
        <sz val="14.0"/>
      </rPr>
      <t xml:space="preserve">กำหนดค่าและบังคับใช้ </t>
    </r>
    <r>
      <rPr>
        <rFont val="Calibri"/>
        <color theme="1"/>
        <sz val="14.0"/>
      </rPr>
      <t xml:space="preserve">'Unique System-generated Session Identifiers'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Session ID </t>
    </r>
    <r>
      <rPr>
        <rFont val="FreeSans"/>
        <color theme="1"/>
        <sz val="14.0"/>
      </rPr>
      <t xml:space="preserve">ที่ปลอดภัย </t>
    </r>
    <r>
      <rPr>
        <rFont val="Calibri"/>
        <color theme="1"/>
        <sz val="14.0"/>
      </rPr>
      <t xml:space="preserve">Cookie Flag </t>
    </r>
    <r>
      <rPr>
        <rFont val="FreeSans"/>
        <color theme="1"/>
        <sz val="14.0"/>
      </rPr>
      <t xml:space="preserve">ยกเลิก </t>
    </r>
    <r>
      <rPr>
        <rFont val="Calibri"/>
        <color theme="1"/>
        <sz val="14.0"/>
      </rPr>
      <t xml:space="preserve">Session </t>
    </r>
    <r>
      <rPr>
        <rFont val="FreeSans"/>
        <color theme="1"/>
        <sz val="14.0"/>
      </rPr>
      <t xml:space="preserve">เมื่อ </t>
    </r>
    <r>
      <rPr>
        <rFont val="Calibri"/>
        <color theme="1"/>
        <sz val="14.0"/>
      </rPr>
      <t xml:space="preserve">Logout </t>
    </r>
    <r>
      <rPr>
        <rFont val="FreeSans"/>
        <color theme="1"/>
        <sz val="14.0"/>
      </rPr>
      <t xml:space="preserve">และตรวจสอบ </t>
    </r>
    <r>
      <rPr>
        <rFont val="Calibri"/>
        <color theme="1"/>
        <sz val="14.0"/>
      </rPr>
      <t>Certificate</t>
    </r>
  </si>
  <si>
    <t>ESBIT-SC-23(05)</t>
  </si>
  <si>
    <t>SC-23(05)</t>
  </si>
  <si>
    <t>Session Authenticity | Allowed Certificate Authorities</t>
  </si>
  <si>
    <t>Enhances SC-23 (Session Authenticity): configure and enforce 'Allowed Certificate Authorities' in addition to the base setting, keep it consistent across applicable systems and document approved exceptions. Base scope: Configure secure session IDs, cookie flags, session invalidation at logout and certificate validation</t>
  </si>
  <si>
    <r>
      <rPr>
        <rFont val="FreeSans"/>
        <color theme="1"/>
        <sz val="14.0"/>
      </rPr>
      <t xml:space="preserve">ส่วนขยายของ </t>
    </r>
    <r>
      <rPr>
        <rFont val="Calibri"/>
        <color theme="1"/>
        <sz val="14.0"/>
      </rPr>
      <t xml:space="preserve">SC-23: </t>
    </r>
    <r>
      <rPr>
        <rFont val="FreeSans"/>
        <color theme="1"/>
        <sz val="14.0"/>
      </rPr>
      <t xml:space="preserve">กำหนดค่าและบังคับใช้ </t>
    </r>
    <r>
      <rPr>
        <rFont val="Calibri"/>
        <color theme="1"/>
        <sz val="14.0"/>
      </rPr>
      <t xml:space="preserve">'Allowed Certificate Authorities'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Session ID </t>
    </r>
    <r>
      <rPr>
        <rFont val="FreeSans"/>
        <color theme="1"/>
        <sz val="14.0"/>
      </rPr>
      <t xml:space="preserve">ที่ปลอดภัย </t>
    </r>
    <r>
      <rPr>
        <rFont val="Calibri"/>
        <color theme="1"/>
        <sz val="14.0"/>
      </rPr>
      <t xml:space="preserve">Cookie Flag </t>
    </r>
    <r>
      <rPr>
        <rFont val="FreeSans"/>
        <color theme="1"/>
        <sz val="14.0"/>
      </rPr>
      <t xml:space="preserve">ยกเลิก </t>
    </r>
    <r>
      <rPr>
        <rFont val="Calibri"/>
        <color theme="1"/>
        <sz val="14.0"/>
      </rPr>
      <t xml:space="preserve">Session </t>
    </r>
    <r>
      <rPr>
        <rFont val="FreeSans"/>
        <color theme="1"/>
        <sz val="14.0"/>
      </rPr>
      <t xml:space="preserve">เมื่อ </t>
    </r>
    <r>
      <rPr>
        <rFont val="Calibri"/>
        <color theme="1"/>
        <sz val="14.0"/>
      </rPr>
      <t xml:space="preserve">Logout </t>
    </r>
    <r>
      <rPr>
        <rFont val="FreeSans"/>
        <color theme="1"/>
        <sz val="14.0"/>
      </rPr>
      <t xml:space="preserve">และตรวจสอบ </t>
    </r>
    <r>
      <rPr>
        <rFont val="Calibri"/>
        <color theme="1"/>
        <sz val="14.0"/>
      </rPr>
      <t>Certificate</t>
    </r>
  </si>
  <si>
    <t>ESBIT-SC-24</t>
  </si>
  <si>
    <t>SC-24</t>
  </si>
  <si>
    <t>Fail in Known State</t>
  </si>
  <si>
    <t>Configure fail-secure or fail-closed behavior preserving a known secure state</t>
  </si>
  <si>
    <r>
      <rPr>
        <rFont val="FreeSans"/>
        <color theme="1"/>
        <sz val="14.0"/>
      </rPr>
      <t xml:space="preserve">ตั้งค่าให้ระบบล้มเหลวในสถานะปลอดภัย </t>
    </r>
    <r>
      <rPr>
        <rFont val="Calibri"/>
        <color theme="1"/>
        <sz val="14.0"/>
      </rPr>
      <t>(Fail-secure/Fail-closed)</t>
    </r>
  </si>
  <si>
    <t>ESBIT-SC-25</t>
  </si>
  <si>
    <t>SC-25</t>
  </si>
  <si>
    <t>Thin Nodes</t>
  </si>
  <si>
    <t>Use thin clients with minimal local storage where appropriate</t>
  </si>
  <si>
    <r>
      <rPr>
        <rFont val="FreeSans"/>
        <color theme="1"/>
        <sz val="14.0"/>
      </rPr>
      <t xml:space="preserve">ใช้ </t>
    </r>
    <r>
      <rPr>
        <rFont val="Calibri"/>
        <color theme="1"/>
        <sz val="14.0"/>
      </rPr>
      <t xml:space="preserve">Thin Client </t>
    </r>
    <r>
      <rPr>
        <rFont val="FreeSans"/>
        <color theme="1"/>
        <sz val="14.0"/>
      </rPr>
      <t>ที่มีพื้นที่เก็บข้อมูลในเครื่องน้อยที่สุดตามความเหมาะสม</t>
    </r>
  </si>
  <si>
    <t>ESBIT-SC-26</t>
  </si>
  <si>
    <t>SC-26</t>
  </si>
  <si>
    <t>Decoys</t>
  </si>
  <si>
    <t>DE.CM-01</t>
  </si>
  <si>
    <t>Networks and network services are monitored to find potentially adverse events</t>
  </si>
  <si>
    <t>Deploy honeypots or decoy systems to detect attackers</t>
  </si>
  <si>
    <r>
      <rPr>
        <rFont val="FreeSans"/>
        <color theme="1"/>
        <sz val="14.0"/>
      </rPr>
      <t xml:space="preserve">ติดตั้ง </t>
    </r>
    <r>
      <rPr>
        <rFont val="Calibri"/>
        <color theme="1"/>
        <sz val="14.0"/>
      </rPr>
      <t>Honeypot/</t>
    </r>
    <r>
      <rPr>
        <rFont val="FreeSans"/>
        <color theme="1"/>
        <sz val="14.0"/>
      </rPr>
      <t>ระบบล่อเพื่อตรวจจับผู้โจมตี</t>
    </r>
  </si>
  <si>
    <t>ESBIT-SC-26(01)</t>
  </si>
  <si>
    <t>SC-26(01)</t>
  </si>
  <si>
    <t>Decoys | Detection of Malicious Code</t>
  </si>
  <si>
    <t>Enhances SC-26 (Decoys): configure and enforce 'Detection of Malicious Code' in addition to the base setting, keep it consistent across applicable systems and document approved exceptions. Base scope: Deploy honeypots or decoy systems to detect attackers</t>
  </si>
  <si>
    <r>
      <rPr>
        <rFont val="FreeSans"/>
        <color theme="1"/>
        <sz val="14.0"/>
      </rPr>
      <t xml:space="preserve">ส่วนขยายของ </t>
    </r>
    <r>
      <rPr>
        <rFont val="Calibri"/>
        <color theme="1"/>
        <sz val="14.0"/>
      </rPr>
      <t xml:space="preserve">SC-26: </t>
    </r>
    <r>
      <rPr>
        <rFont val="FreeSans"/>
        <color theme="1"/>
        <sz val="14.0"/>
      </rPr>
      <t xml:space="preserve">กำหนดค่าและบังคับใช้ </t>
    </r>
    <r>
      <rPr>
        <rFont val="Calibri"/>
        <color theme="1"/>
        <sz val="14.0"/>
      </rPr>
      <t xml:space="preserve">'Detection of Malicious Code'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ติดตั้ง </t>
    </r>
    <r>
      <rPr>
        <rFont val="Calibri"/>
        <color theme="1"/>
        <sz val="14.0"/>
      </rPr>
      <t>Honeypot/</t>
    </r>
    <r>
      <rPr>
        <rFont val="FreeSans"/>
        <color theme="1"/>
        <sz val="14.0"/>
      </rPr>
      <t>ระบบล่อเพื่อตรวจจับผู้โจมตี</t>
    </r>
  </si>
  <si>
    <t>ESBIT-SC-27</t>
  </si>
  <si>
    <t>SC-27</t>
  </si>
  <si>
    <t>Platform-independent Applications</t>
  </si>
  <si>
    <t>Use platform-independent applications to reduce single-platform risk</t>
  </si>
  <si>
    <t>ใช้แอปที่ไม่ผูกกับแพลตฟอร์มเพื่อลดความเสี่ยง</t>
  </si>
  <si>
    <t>ESBIT-SC-28</t>
  </si>
  <si>
    <t>SC-28</t>
  </si>
  <si>
    <t>Protection of Information at Rest</t>
  </si>
  <si>
    <t>Configure encryption at rest for disks, databases, backups, cloud storage and mobile devices</t>
  </si>
  <si>
    <r>
      <rPr>
        <rFont val="FreeSans"/>
        <color theme="1"/>
        <sz val="14.0"/>
      </rPr>
      <t xml:space="preserve">ตั้งค่าการเข้ารหัสข้อมูลที่จัดเก็บ </t>
    </r>
    <r>
      <rPr>
        <rFont val="Calibri"/>
        <color theme="1"/>
        <sz val="14.0"/>
      </rPr>
      <t xml:space="preserve">(Disk, DB, Backup, Cloud Storage, </t>
    </r>
    <r>
      <rPr>
        <rFont val="FreeSans"/>
        <color theme="1"/>
        <sz val="14.0"/>
      </rPr>
      <t>มือถือ</t>
    </r>
    <r>
      <rPr>
        <rFont val="Calibri"/>
        <color theme="1"/>
        <sz val="14.0"/>
      </rPr>
      <t>)</t>
    </r>
  </si>
  <si>
    <t>Database, Data Protection/Storage, Cloud, Endpoint/Mobile</t>
  </si>
  <si>
    <t>ESBIT-SC-28(01)</t>
  </si>
  <si>
    <t>SC-28(01)</t>
  </si>
  <si>
    <t>Protection of Information at Rest | Cryptographic Protection</t>
  </si>
  <si>
    <t>Enhances SC-28 (Protection of Information at Rest): configure and enforce 'Cryptographic Protection' in addition to the base setting, keep it consistent across applicable systems and document approved exceptions. Base scope: Configure encryption at rest for disks, databases, backups, cloud storage and mobile devices</t>
  </si>
  <si>
    <r>
      <rPr>
        <rFont val="FreeSans"/>
        <color theme="1"/>
        <sz val="14.0"/>
      </rPr>
      <t xml:space="preserve">ส่วนขยายของ </t>
    </r>
    <r>
      <rPr>
        <rFont val="Calibri"/>
        <color theme="1"/>
        <sz val="14.0"/>
      </rPr>
      <t xml:space="preserve">SC-28: </t>
    </r>
    <r>
      <rPr>
        <rFont val="FreeSans"/>
        <color theme="1"/>
        <sz val="14.0"/>
      </rPr>
      <t xml:space="preserve">กำหนดค่าและบังคับใช้ </t>
    </r>
    <r>
      <rPr>
        <rFont val="Calibri"/>
        <color theme="1"/>
        <sz val="14.0"/>
      </rPr>
      <t xml:space="preserve">'Cryptographic Protection'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ตั้งค่าการเข้ารหัสข้อมูลที่จัดเก็บ </t>
    </r>
    <r>
      <rPr>
        <rFont val="Calibri"/>
        <color theme="1"/>
        <sz val="14.0"/>
      </rPr>
      <t xml:space="preserve">(Disk, DB, Backup, Cloud Storage, </t>
    </r>
    <r>
      <rPr>
        <rFont val="FreeSans"/>
        <color theme="1"/>
        <sz val="14.0"/>
      </rPr>
      <t>มือถือ</t>
    </r>
    <r>
      <rPr>
        <rFont val="Calibri"/>
        <color theme="1"/>
        <sz val="14.0"/>
      </rPr>
      <t>)</t>
    </r>
  </si>
  <si>
    <t>ESBIT-SC-28(02)</t>
  </si>
  <si>
    <t>SC-28(02)</t>
  </si>
  <si>
    <t>Protection of Information at Rest | Offline Storage</t>
  </si>
  <si>
    <t>Enhances SC-28 (Protection of Information at Rest): configure and enforce 'Offline Storage' in addition to the base setting, keep it consistent across applicable systems and document approved exceptions. Base scope: Configure encryption at rest for disks, databases, backups, cloud storage and mobile devices</t>
  </si>
  <si>
    <r>
      <rPr>
        <rFont val="FreeSans"/>
        <color theme="1"/>
        <sz val="14.0"/>
      </rPr>
      <t xml:space="preserve">ส่วนขยายของ </t>
    </r>
    <r>
      <rPr>
        <rFont val="Calibri"/>
        <color theme="1"/>
        <sz val="14.0"/>
      </rPr>
      <t xml:space="preserve">SC-28: </t>
    </r>
    <r>
      <rPr>
        <rFont val="FreeSans"/>
        <color theme="1"/>
        <sz val="14.0"/>
      </rPr>
      <t xml:space="preserve">กำหนดค่าและบังคับใช้ </t>
    </r>
    <r>
      <rPr>
        <rFont val="Calibri"/>
        <color theme="1"/>
        <sz val="14.0"/>
      </rPr>
      <t xml:space="preserve">'Offline Storage'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ตั้งค่าการเข้ารหัสข้อมูลที่จัดเก็บ </t>
    </r>
    <r>
      <rPr>
        <rFont val="Calibri"/>
        <color theme="1"/>
        <sz val="14.0"/>
      </rPr>
      <t xml:space="preserve">(Disk, DB, Backup, Cloud Storage, </t>
    </r>
    <r>
      <rPr>
        <rFont val="FreeSans"/>
        <color theme="1"/>
        <sz val="14.0"/>
      </rPr>
      <t>มือถือ</t>
    </r>
    <r>
      <rPr>
        <rFont val="Calibri"/>
        <color theme="1"/>
        <sz val="14.0"/>
      </rPr>
      <t>)</t>
    </r>
  </si>
  <si>
    <t>ESBIT-SC-28(03)</t>
  </si>
  <si>
    <t>SC-28(03)</t>
  </si>
  <si>
    <t>Protection of Information at Rest | Cryptographic Keys</t>
  </si>
  <si>
    <t>Enhances SC-28 (Protection of Information at Rest): configure and enforce 'Cryptographic Keys' in addition to the base setting, keep it consistent across applicable systems and document approved exceptions. Base scope: Configure encryption at rest for disks, databases, backups, cloud storage and mobile devices</t>
  </si>
  <si>
    <r>
      <rPr>
        <rFont val="FreeSans"/>
        <color theme="1"/>
        <sz val="14.0"/>
      </rPr>
      <t xml:space="preserve">ส่วนขยายของ </t>
    </r>
    <r>
      <rPr>
        <rFont val="Calibri"/>
        <color theme="1"/>
        <sz val="14.0"/>
      </rPr>
      <t xml:space="preserve">SC-28: </t>
    </r>
    <r>
      <rPr>
        <rFont val="FreeSans"/>
        <color theme="1"/>
        <sz val="14.0"/>
      </rPr>
      <t xml:space="preserve">กำหนดค่าและบังคับใช้ </t>
    </r>
    <r>
      <rPr>
        <rFont val="Calibri"/>
        <color theme="1"/>
        <sz val="14.0"/>
      </rPr>
      <t xml:space="preserve">'Cryptographic Keys'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ตั้งค่าการเข้ารหัสข้อมูลที่จัดเก็บ </t>
    </r>
    <r>
      <rPr>
        <rFont val="Calibri"/>
        <color theme="1"/>
        <sz val="14.0"/>
      </rPr>
      <t xml:space="preserve">(Disk, DB, Backup, Cloud Storage, </t>
    </r>
    <r>
      <rPr>
        <rFont val="FreeSans"/>
        <color theme="1"/>
        <sz val="14.0"/>
      </rPr>
      <t>มือถือ</t>
    </r>
    <r>
      <rPr>
        <rFont val="Calibri"/>
        <color theme="1"/>
        <sz val="14.0"/>
      </rPr>
      <t>)</t>
    </r>
  </si>
  <si>
    <t>ESBIT-SC-29</t>
  </si>
  <si>
    <t>SC-29</t>
  </si>
  <si>
    <t>Heterogeneity</t>
  </si>
  <si>
    <t>Use diverse technologies to limit common-mode failure</t>
  </si>
  <si>
    <t>ใช้เทคโนโลยีที่หลากหลายเพื่อลดความล้มเหลวร่วม</t>
  </si>
  <si>
    <t>ESBIT-SC-29(01)</t>
  </si>
  <si>
    <t>SC-29(01)</t>
  </si>
  <si>
    <t>Heterogeneity | Virtualization Techniques</t>
  </si>
  <si>
    <t>Enhances SC-29 (Heterogeneity): configure and enforce 'Virtualization Techniques' in addition to the base setting, keep it consistent across applicable systems and document approved exceptions. Base scope: Use diverse technologies to limit common-mode failure</t>
  </si>
  <si>
    <r>
      <rPr>
        <rFont val="FreeSans"/>
        <color theme="1"/>
        <sz val="14.0"/>
      </rPr>
      <t xml:space="preserve">ส่วนขยายของ </t>
    </r>
    <r>
      <rPr>
        <rFont val="Calibri"/>
        <color theme="1"/>
        <sz val="14.0"/>
      </rPr>
      <t xml:space="preserve">SC-29: </t>
    </r>
    <r>
      <rPr>
        <rFont val="FreeSans"/>
        <color theme="1"/>
        <sz val="14.0"/>
      </rPr>
      <t xml:space="preserve">กำหนดค่าและบังคับใช้ </t>
    </r>
    <r>
      <rPr>
        <rFont val="Calibri"/>
        <color theme="1"/>
        <sz val="14.0"/>
      </rPr>
      <t xml:space="preserve">'Virtualization Techniques'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ใช้เทคโนโลยีที่หลากหลายเพื่อลดความล้มเหลวร่วม</t>
    </r>
  </si>
  <si>
    <t>ESBIT-SC-30</t>
  </si>
  <si>
    <t>SC-30</t>
  </si>
  <si>
    <t>Concealment and Misdirection</t>
  </si>
  <si>
    <t>Employ concealment or misdirection techniques to confuse attackers</t>
  </si>
  <si>
    <r>
      <rPr>
        <rFont val="FreeSans"/>
        <color theme="1"/>
        <sz val="14.0"/>
      </rPr>
      <t>ใช้เทคนิคซ่อน</t>
    </r>
    <r>
      <rPr>
        <rFont val="Calibri"/>
        <color theme="1"/>
        <sz val="14.0"/>
      </rPr>
      <t>/</t>
    </r>
    <r>
      <rPr>
        <rFont val="FreeSans"/>
        <color theme="1"/>
        <sz val="14.0"/>
      </rPr>
      <t>หลอกเพื่อสร้างความสับสนให้ผู้โจมตี</t>
    </r>
  </si>
  <si>
    <t>ESBIT-SC-30(02)</t>
  </si>
  <si>
    <t>SC-30(02)</t>
  </si>
  <si>
    <t>Concealment and Misdirection | Randomness</t>
  </si>
  <si>
    <t>Enhances SC-30 (Concealment and Misdirection): configure and enforce 'Randomness' in addition to the base setting, keep it consistent across applicable systems and document approved exceptions. Base scope: Employ concealment or misdirection techniques to confuse attackers</t>
  </si>
  <si>
    <r>
      <rPr>
        <rFont val="FreeSans"/>
        <color theme="1"/>
        <sz val="14.0"/>
      </rPr>
      <t xml:space="preserve">ส่วนขยายของ </t>
    </r>
    <r>
      <rPr>
        <rFont val="Calibri"/>
        <color theme="1"/>
        <sz val="14.0"/>
      </rPr>
      <t xml:space="preserve">SC-30: </t>
    </r>
    <r>
      <rPr>
        <rFont val="FreeSans"/>
        <color theme="1"/>
        <sz val="14.0"/>
      </rPr>
      <t xml:space="preserve">กำหนดค่าและบังคับใช้ </t>
    </r>
    <r>
      <rPr>
        <rFont val="Calibri"/>
        <color theme="1"/>
        <sz val="14.0"/>
      </rPr>
      <t xml:space="preserve">'Randomness'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ใช้เทคนิคซ่อน</t>
    </r>
    <r>
      <rPr>
        <rFont val="Calibri"/>
        <color theme="1"/>
        <sz val="14.0"/>
      </rPr>
      <t>/</t>
    </r>
    <r>
      <rPr>
        <rFont val="FreeSans"/>
        <color theme="1"/>
        <sz val="14.0"/>
      </rPr>
      <t>หลอกเพื่อสร้างความสับสนให้ผู้โจมตี</t>
    </r>
  </si>
  <si>
    <t>ESBIT-SC-30(03)</t>
  </si>
  <si>
    <t>SC-30(03)</t>
  </si>
  <si>
    <t>Concealment and Misdirection | Change Processing and Storage Locations</t>
  </si>
  <si>
    <t>Enhances SC-30 (Concealment and Misdirection): configure and enforce 'Change Processing and Storage Locations' in addition to the base setting, keep it consistent across applicable systems and document approved exceptions. Base scope: Employ concealment or misdirection techniques to confuse attackers</t>
  </si>
  <si>
    <r>
      <rPr>
        <rFont val="FreeSans"/>
        <color theme="1"/>
        <sz val="14.0"/>
      </rPr>
      <t xml:space="preserve">ส่วนขยายของ </t>
    </r>
    <r>
      <rPr>
        <rFont val="Calibri"/>
        <color theme="1"/>
        <sz val="14.0"/>
      </rPr>
      <t xml:space="preserve">SC-30: </t>
    </r>
    <r>
      <rPr>
        <rFont val="FreeSans"/>
        <color theme="1"/>
        <sz val="14.0"/>
      </rPr>
      <t xml:space="preserve">กำหนดค่าและบังคับใช้ </t>
    </r>
    <r>
      <rPr>
        <rFont val="Calibri"/>
        <color theme="1"/>
        <sz val="14.0"/>
      </rPr>
      <t xml:space="preserve">'Change Processing and Storage Locations'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ใช้เทคนิคซ่อน</t>
    </r>
    <r>
      <rPr>
        <rFont val="Calibri"/>
        <color theme="1"/>
        <sz val="14.0"/>
      </rPr>
      <t>/</t>
    </r>
    <r>
      <rPr>
        <rFont val="FreeSans"/>
        <color theme="1"/>
        <sz val="14.0"/>
      </rPr>
      <t>หลอกเพื่อสร้างความสับสนให้ผู้โจมตี</t>
    </r>
  </si>
  <si>
    <t>ESBIT-SC-30(04)</t>
  </si>
  <si>
    <t>SC-30(04)</t>
  </si>
  <si>
    <t>Concealment and Misdirection | Misleading Information</t>
  </si>
  <si>
    <t>Enhances SC-30 (Concealment and Misdirection): configure and enforce 'Misleading Information' in addition to the base setting, keep it consistent across applicable systems and document approved exceptions. Base scope: Employ concealment or misdirection techniques to confuse attackers</t>
  </si>
  <si>
    <r>
      <rPr>
        <rFont val="FreeSans"/>
        <color theme="1"/>
        <sz val="14.0"/>
      </rPr>
      <t xml:space="preserve">ส่วนขยายของ </t>
    </r>
    <r>
      <rPr>
        <rFont val="Calibri"/>
        <color theme="1"/>
        <sz val="14.0"/>
      </rPr>
      <t xml:space="preserve">SC-30: </t>
    </r>
    <r>
      <rPr>
        <rFont val="FreeSans"/>
        <color theme="1"/>
        <sz val="14.0"/>
      </rPr>
      <t xml:space="preserve">กำหนดค่าและบังคับใช้ </t>
    </r>
    <r>
      <rPr>
        <rFont val="Calibri"/>
        <color theme="1"/>
        <sz val="14.0"/>
      </rPr>
      <t xml:space="preserve">'Misleading Information'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ใช้เทคนิคซ่อน</t>
    </r>
    <r>
      <rPr>
        <rFont val="Calibri"/>
        <color theme="1"/>
        <sz val="14.0"/>
      </rPr>
      <t>/</t>
    </r>
    <r>
      <rPr>
        <rFont val="FreeSans"/>
        <color theme="1"/>
        <sz val="14.0"/>
      </rPr>
      <t>หลอกเพื่อสร้างความสับสนให้ผู้โจมตี</t>
    </r>
  </si>
  <si>
    <t>ESBIT-SC-30(05)</t>
  </si>
  <si>
    <t>SC-30(05)</t>
  </si>
  <si>
    <t>Concealment and Misdirection | Concealment of System Components</t>
  </si>
  <si>
    <t>Enhances SC-30 (Concealment and Misdirection): configure and enforce 'Concealment of System Components' in addition to the base setting, keep it consistent across applicable systems and document approved exceptions. Base scope: Employ concealment or misdirection techniques to confuse attackers</t>
  </si>
  <si>
    <r>
      <rPr>
        <rFont val="FreeSans"/>
        <color theme="1"/>
        <sz val="14.0"/>
      </rPr>
      <t xml:space="preserve">ส่วนขยายของ </t>
    </r>
    <r>
      <rPr>
        <rFont val="Calibri"/>
        <color theme="1"/>
        <sz val="14.0"/>
      </rPr>
      <t xml:space="preserve">SC-30: </t>
    </r>
    <r>
      <rPr>
        <rFont val="FreeSans"/>
        <color theme="1"/>
        <sz val="14.0"/>
      </rPr>
      <t xml:space="preserve">กำหนดค่าและบังคับใช้ </t>
    </r>
    <r>
      <rPr>
        <rFont val="Calibri"/>
        <color theme="1"/>
        <sz val="14.0"/>
      </rPr>
      <t xml:space="preserve">'Concealment of System Components'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ใช้เทคนิคซ่อน</t>
    </r>
    <r>
      <rPr>
        <rFont val="Calibri"/>
        <color theme="1"/>
        <sz val="14.0"/>
      </rPr>
      <t>/</t>
    </r>
    <r>
      <rPr>
        <rFont val="FreeSans"/>
        <color theme="1"/>
        <sz val="14.0"/>
      </rPr>
      <t>หลอกเพื่อสร้างความสับสนให้ผู้โจมตี</t>
    </r>
  </si>
  <si>
    <t>ESBIT-SC-31</t>
  </si>
  <si>
    <t>SC-31</t>
  </si>
  <si>
    <t>Covert Channel Analysis</t>
  </si>
  <si>
    <t>Analyze and reduce covert channels for high-assurance systems</t>
  </si>
  <si>
    <r>
      <rPr>
        <rFont val="FreeSans"/>
        <color theme="1"/>
        <sz val="14.0"/>
      </rPr>
      <t xml:space="preserve">วิเคราะห์และลด </t>
    </r>
    <r>
      <rPr>
        <rFont val="Calibri"/>
        <color theme="1"/>
        <sz val="14.0"/>
      </rPr>
      <t xml:space="preserve">Covert Channel </t>
    </r>
    <r>
      <rPr>
        <rFont val="FreeSans"/>
        <color theme="1"/>
        <sz val="14.0"/>
      </rPr>
      <t>สำหรับระบบที่ต้องการความมั่นใจสูง</t>
    </r>
  </si>
  <si>
    <t>ESBIT-SC-31(01)</t>
  </si>
  <si>
    <t>SC-31(01)</t>
  </si>
  <si>
    <t>Covert Channel Analysis | Test Covert Channels for Exploitability</t>
  </si>
  <si>
    <t>Enhances SC-31 (Covert Channel Analysis): configure and enforce 'Test Covert Channels for Exploitability' in addition to the base setting, keep it consistent across applicable systems and document approved exceptions. Base scope: Analyze and reduce covert channels for high-assurance systems</t>
  </si>
  <si>
    <r>
      <rPr>
        <rFont val="FreeSans"/>
        <color theme="1"/>
        <sz val="14.0"/>
      </rPr>
      <t xml:space="preserve">ส่วนขยายของ </t>
    </r>
    <r>
      <rPr>
        <rFont val="Calibri"/>
        <color theme="1"/>
        <sz val="14.0"/>
      </rPr>
      <t xml:space="preserve">SC-31: </t>
    </r>
    <r>
      <rPr>
        <rFont val="FreeSans"/>
        <color theme="1"/>
        <sz val="14.0"/>
      </rPr>
      <t xml:space="preserve">กำหนดค่าและบังคับใช้ </t>
    </r>
    <r>
      <rPr>
        <rFont val="Calibri"/>
        <color theme="1"/>
        <sz val="14.0"/>
      </rPr>
      <t xml:space="preserve">'Test Covert Channels for Exploitability'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วิเคราะห์และลด </t>
    </r>
    <r>
      <rPr>
        <rFont val="Calibri"/>
        <color theme="1"/>
        <sz val="14.0"/>
      </rPr>
      <t xml:space="preserve">Covert Channel </t>
    </r>
    <r>
      <rPr>
        <rFont val="FreeSans"/>
        <color theme="1"/>
        <sz val="14.0"/>
      </rPr>
      <t>สำหรับระบบที่ต้องการความมั่นใจสูง</t>
    </r>
  </si>
  <si>
    <t>ESBIT-SC-31(02)</t>
  </si>
  <si>
    <t>SC-31(02)</t>
  </si>
  <si>
    <t>Covert Channel Analysis | Maximum Bandwidth</t>
  </si>
  <si>
    <t>Enhances SC-31 (Covert Channel Analysis): configure and enforce 'Maximum Bandwidth' in addition to the base setting, keep it consistent across applicable systems and document approved exceptions. Base scope: Analyze and reduce covert channels for high-assurance systems</t>
  </si>
  <si>
    <r>
      <rPr>
        <rFont val="FreeSans"/>
        <color theme="1"/>
        <sz val="14.0"/>
      </rPr>
      <t xml:space="preserve">ส่วนขยายของ </t>
    </r>
    <r>
      <rPr>
        <rFont val="Calibri"/>
        <color theme="1"/>
        <sz val="14.0"/>
      </rPr>
      <t xml:space="preserve">SC-31: </t>
    </r>
    <r>
      <rPr>
        <rFont val="FreeSans"/>
        <color theme="1"/>
        <sz val="14.0"/>
      </rPr>
      <t xml:space="preserve">กำหนดค่าและบังคับใช้ </t>
    </r>
    <r>
      <rPr>
        <rFont val="Calibri"/>
        <color theme="1"/>
        <sz val="14.0"/>
      </rPr>
      <t xml:space="preserve">'Maximum Bandwidth'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วิเคราะห์และลด </t>
    </r>
    <r>
      <rPr>
        <rFont val="Calibri"/>
        <color theme="1"/>
        <sz val="14.0"/>
      </rPr>
      <t xml:space="preserve">Covert Channel </t>
    </r>
    <r>
      <rPr>
        <rFont val="FreeSans"/>
        <color theme="1"/>
        <sz val="14.0"/>
      </rPr>
      <t>สำหรับระบบที่ต้องการความมั่นใจสูง</t>
    </r>
  </si>
  <si>
    <t>ESBIT-SC-31(03)</t>
  </si>
  <si>
    <t>SC-31(03)</t>
  </si>
  <si>
    <t>Covert Channel Analysis | Measure Bandwidth in Operational Environments</t>
  </si>
  <si>
    <t>Enhances SC-31 (Covert Channel Analysis): configure and enforce 'Measure Bandwidth in Operational Environments' in addition to the base setting, keep it consistent across applicable systems and document approved exceptions. Base scope: Analyze and reduce covert channels for high-assurance systems</t>
  </si>
  <si>
    <r>
      <rPr>
        <rFont val="FreeSans"/>
        <color theme="1"/>
        <sz val="14.0"/>
      </rPr>
      <t xml:space="preserve">ส่วนขยายของ </t>
    </r>
    <r>
      <rPr>
        <rFont val="Calibri"/>
        <color theme="1"/>
        <sz val="14.0"/>
      </rPr>
      <t xml:space="preserve">SC-31: </t>
    </r>
    <r>
      <rPr>
        <rFont val="FreeSans"/>
        <color theme="1"/>
        <sz val="14.0"/>
      </rPr>
      <t xml:space="preserve">กำหนดค่าและบังคับใช้ </t>
    </r>
    <r>
      <rPr>
        <rFont val="Calibri"/>
        <color theme="1"/>
        <sz val="14.0"/>
      </rPr>
      <t xml:space="preserve">'Measure Bandwidth in Operational Environments'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วิเคราะห์และลด </t>
    </r>
    <r>
      <rPr>
        <rFont val="Calibri"/>
        <color theme="1"/>
        <sz val="14.0"/>
      </rPr>
      <t xml:space="preserve">Covert Channel </t>
    </r>
    <r>
      <rPr>
        <rFont val="FreeSans"/>
        <color theme="1"/>
        <sz val="14.0"/>
      </rPr>
      <t>สำหรับระบบที่ต้องการความมั่นใจสูง</t>
    </r>
  </si>
  <si>
    <t>ESBIT-SC-32</t>
  </si>
  <si>
    <t>SC-32</t>
  </si>
  <si>
    <t>System Partitioning</t>
  </si>
  <si>
    <t>Partition systems into physically or logically separated domains by security needs</t>
  </si>
  <si>
    <r>
      <rPr>
        <rFont val="FreeSans"/>
        <color theme="1"/>
        <sz val="14.0"/>
      </rPr>
      <t>แบ่งระบบเป็นโดเมนแยกทางกายภาพ</t>
    </r>
    <r>
      <rPr>
        <rFont val="Calibri"/>
        <color theme="1"/>
        <sz val="14.0"/>
      </rPr>
      <t>/</t>
    </r>
    <r>
      <rPr>
        <rFont val="FreeSans"/>
        <color theme="1"/>
        <sz val="14.0"/>
      </rPr>
      <t>ตรรกะตามความต้องการความปลอดภัย</t>
    </r>
  </si>
  <si>
    <t>ESBIT-SC-32(01)</t>
  </si>
  <si>
    <t>SC-32(01)</t>
  </si>
  <si>
    <t>System Partitioning | Separate Physical Domains for Privileged Functions</t>
  </si>
  <si>
    <t>Enhances SC-32 (System Partitioning): configure and enforce 'Separate Physical Domains for Privileged Functions' in addition to the base setting, keep it consistent across applicable systems and document approved exceptions. Base scope: Partition systems into physically or logically separated domains by security needs</t>
  </si>
  <si>
    <r>
      <rPr>
        <rFont val="FreeSans"/>
        <color theme="1"/>
        <sz val="14.0"/>
      </rPr>
      <t xml:space="preserve">ส่วนขยายของ </t>
    </r>
    <r>
      <rPr>
        <rFont val="Calibri"/>
        <color theme="1"/>
        <sz val="14.0"/>
      </rPr>
      <t xml:space="preserve">SC-32: </t>
    </r>
    <r>
      <rPr>
        <rFont val="FreeSans"/>
        <color theme="1"/>
        <sz val="14.0"/>
      </rPr>
      <t xml:space="preserve">กำหนดค่าและบังคับใช้ </t>
    </r>
    <r>
      <rPr>
        <rFont val="Calibri"/>
        <color theme="1"/>
        <sz val="14.0"/>
      </rPr>
      <t xml:space="preserve">'Separate Physical Domains for Privileged Functions'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แบ่งระบบเป็นโดเมนแยกทางกายภาพ</t>
    </r>
    <r>
      <rPr>
        <rFont val="Calibri"/>
        <color theme="1"/>
        <sz val="14.0"/>
      </rPr>
      <t>/</t>
    </r>
    <r>
      <rPr>
        <rFont val="FreeSans"/>
        <color theme="1"/>
        <sz val="14.0"/>
      </rPr>
      <t>ตรรกะตามความต้องการความปลอดภัย</t>
    </r>
  </si>
  <si>
    <t>ESBIT-SC-34</t>
  </si>
  <si>
    <t>SC-34</t>
  </si>
  <si>
    <t>Non-modifiable Executable Programs</t>
  </si>
  <si>
    <t>Load and execute programs from read-only or write-protected media</t>
  </si>
  <si>
    <t>โหลดและรันโปรแกรมจากสื่อแบบอ่านอย่างเดียวหรือป้องกันการเขียน</t>
  </si>
  <si>
    <t>ESBIT-SC-34(01)</t>
  </si>
  <si>
    <t>SC-34(01)</t>
  </si>
  <si>
    <t>Non-modifiable Executable Programs | No Writable Storage</t>
  </si>
  <si>
    <t>Enhances SC-34 (Non-modifiable Executable Programs): configure and enforce 'No Writable Storage' in addition to the base setting, keep it consistent across applicable systems and document approved exceptions. Base scope: Load and execute programs from read-only or write-protected media</t>
  </si>
  <si>
    <r>
      <rPr>
        <rFont val="FreeSans"/>
        <color theme="1"/>
        <sz val="14.0"/>
      </rPr>
      <t xml:space="preserve">ส่วนขยายของ </t>
    </r>
    <r>
      <rPr>
        <rFont val="Calibri"/>
        <color theme="1"/>
        <sz val="14.0"/>
      </rPr>
      <t xml:space="preserve">SC-34: </t>
    </r>
    <r>
      <rPr>
        <rFont val="FreeSans"/>
        <color theme="1"/>
        <sz val="14.0"/>
      </rPr>
      <t xml:space="preserve">กำหนดค่าและบังคับใช้ </t>
    </r>
    <r>
      <rPr>
        <rFont val="Calibri"/>
        <color theme="1"/>
        <sz val="14.0"/>
      </rPr>
      <t xml:space="preserve">'No Writable Storage'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โหลดและรันโปรแกรมจากสื่อแบบอ่านอย่างเดียวหรือป้องกันการเขียน</t>
    </r>
  </si>
  <si>
    <t>ESBIT-SC-34(02)</t>
  </si>
  <si>
    <t>SC-34(02)</t>
  </si>
  <si>
    <t>Non-modifiable Executable Programs | Integrity Protection on Read-only Media</t>
  </si>
  <si>
    <t>Enhances SC-34 (Non-modifiable Executable Programs): configure and enforce 'Integrity Protection on Read-only Media' in addition to the base setting, keep it consistent across applicable systems and document approved exceptions. Base scope: Load and execute programs from read-only or write-protected media</t>
  </si>
  <si>
    <r>
      <rPr>
        <rFont val="FreeSans"/>
        <color theme="1"/>
        <sz val="14.0"/>
      </rPr>
      <t xml:space="preserve">ส่วนขยายของ </t>
    </r>
    <r>
      <rPr>
        <rFont val="Calibri"/>
        <color theme="1"/>
        <sz val="14.0"/>
      </rPr>
      <t xml:space="preserve">SC-34: </t>
    </r>
    <r>
      <rPr>
        <rFont val="FreeSans"/>
        <color theme="1"/>
        <sz val="14.0"/>
      </rPr>
      <t xml:space="preserve">กำหนดค่าและบังคับใช้ </t>
    </r>
    <r>
      <rPr>
        <rFont val="Calibri"/>
        <color theme="1"/>
        <sz val="14.0"/>
      </rPr>
      <t xml:space="preserve">'Integrity Protection on Read-only Media'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โหลดและรันโปรแกรมจากสื่อแบบอ่านอย่างเดียวหรือป้องกันการเขียน</t>
    </r>
  </si>
  <si>
    <t>ESBIT-SC-34(03)</t>
  </si>
  <si>
    <t>SC-34(03)</t>
  </si>
  <si>
    <t>Non-modifiable Executable Programs | Hardware-based Protection</t>
  </si>
  <si>
    <t>Enhances SC-34 (Non-modifiable Executable Programs): configure and enforce 'Hardware-based Protection' in addition to the base setting, keep it consistent across applicable systems and document approved exceptions. Base scope: Load and execute programs from read-only or write-protected media</t>
  </si>
  <si>
    <r>
      <rPr>
        <rFont val="FreeSans"/>
        <color theme="1"/>
        <sz val="14.0"/>
      </rPr>
      <t xml:space="preserve">ส่วนขยายของ </t>
    </r>
    <r>
      <rPr>
        <rFont val="Calibri"/>
        <color theme="1"/>
        <sz val="14.0"/>
      </rPr>
      <t xml:space="preserve">SC-34: </t>
    </r>
    <r>
      <rPr>
        <rFont val="FreeSans"/>
        <color theme="1"/>
        <sz val="14.0"/>
      </rPr>
      <t xml:space="preserve">กำหนดค่าและบังคับใช้ </t>
    </r>
    <r>
      <rPr>
        <rFont val="Calibri"/>
        <color theme="1"/>
        <sz val="14.0"/>
      </rPr>
      <t xml:space="preserve">'Hardware-based Protection'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โหลดและรันโปรแกรมจากสื่อแบบอ่านอย่างเดียวหรือป้องกันการเขียน</t>
    </r>
  </si>
  <si>
    <t>ESBIT-SC-35</t>
  </si>
  <si>
    <t>SC-35</t>
  </si>
  <si>
    <t>External Malicious Code Identification</t>
  </si>
  <si>
    <t>Deploy external systems to proactively identify malicious websites and code</t>
  </si>
  <si>
    <t>ติดตั้งระบบภายนอกเพื่อตรวจจับเว็บไซต์และโค้ดอันตรายเชิงรุก</t>
  </si>
  <si>
    <t>ESBIT-SC-36</t>
  </si>
  <si>
    <t>SC-36</t>
  </si>
  <si>
    <t>Distributed Processing and Storage</t>
  </si>
  <si>
    <t>Distribute processing and storage across multiple locations</t>
  </si>
  <si>
    <t>กระจายการประมวลผลและจัดเก็บไปหลายตำแหน่ง</t>
  </si>
  <si>
    <t>ESBIT-SC-36(01)</t>
  </si>
  <si>
    <t>SC-36(01)</t>
  </si>
  <si>
    <t>Distributed Processing and Storage | Polling Techniques</t>
  </si>
  <si>
    <t>Enhances SC-36 (Distributed Processing and Storage): configure and enforce 'Polling Techniques' in addition to the base setting, keep it consistent across applicable systems and document approved exceptions. Base scope: Distribute processing and storage across multiple locations</t>
  </si>
  <si>
    <r>
      <rPr>
        <rFont val="FreeSans"/>
        <color theme="1"/>
        <sz val="14.0"/>
      </rPr>
      <t xml:space="preserve">ส่วนขยายของ </t>
    </r>
    <r>
      <rPr>
        <rFont val="Calibri"/>
        <color theme="1"/>
        <sz val="14.0"/>
      </rPr>
      <t xml:space="preserve">SC-36: </t>
    </r>
    <r>
      <rPr>
        <rFont val="FreeSans"/>
        <color theme="1"/>
        <sz val="14.0"/>
      </rPr>
      <t xml:space="preserve">กำหนดค่าและบังคับใช้ </t>
    </r>
    <r>
      <rPr>
        <rFont val="Calibri"/>
        <color theme="1"/>
        <sz val="14.0"/>
      </rPr>
      <t xml:space="preserve">'Polling Techniques'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กระจายการประมวลผลและจัดเก็บไปหลายตำแหน่ง</t>
    </r>
  </si>
  <si>
    <t>ESBIT-SC-36(02)</t>
  </si>
  <si>
    <t>SC-36(02)</t>
  </si>
  <si>
    <t>Distributed Processing and Storage | Synchronization</t>
  </si>
  <si>
    <t>Enhances SC-36 (Distributed Processing and Storage): configure and enforce 'Synchronization' in addition to the base setting, keep it consistent across applicable systems and document approved exceptions. Base scope: Distribute processing and storage across multiple locations</t>
  </si>
  <si>
    <r>
      <rPr>
        <rFont val="FreeSans"/>
        <color theme="1"/>
        <sz val="14.0"/>
      </rPr>
      <t xml:space="preserve">ส่วนขยายของ </t>
    </r>
    <r>
      <rPr>
        <rFont val="Calibri"/>
        <color theme="1"/>
        <sz val="14.0"/>
      </rPr>
      <t xml:space="preserve">SC-36: </t>
    </r>
    <r>
      <rPr>
        <rFont val="FreeSans"/>
        <color theme="1"/>
        <sz val="14.0"/>
      </rPr>
      <t xml:space="preserve">กำหนดค่าและบังคับใช้ </t>
    </r>
    <r>
      <rPr>
        <rFont val="Calibri"/>
        <color theme="1"/>
        <sz val="14.0"/>
      </rPr>
      <t xml:space="preserve">'Synchronization'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กระจายการประมวลผลและจัดเก็บไปหลายตำแหน่ง</t>
    </r>
  </si>
  <si>
    <t>ESBIT-SC-37</t>
  </si>
  <si>
    <t>SC-37</t>
  </si>
  <si>
    <t>Out-of-band Channels</t>
  </si>
  <si>
    <t>Use out-of-band channels for delivery of sensitive information or devices</t>
  </si>
  <si>
    <r>
      <rPr>
        <rFont val="FreeSans"/>
        <color theme="1"/>
        <sz val="14.0"/>
      </rPr>
      <t xml:space="preserve">ใช้ช่องทางนอกแถบ </t>
    </r>
    <r>
      <rPr>
        <rFont val="Calibri"/>
        <color theme="1"/>
        <sz val="14.0"/>
      </rPr>
      <t xml:space="preserve">(Out-of-band) </t>
    </r>
    <r>
      <rPr>
        <rFont val="FreeSans"/>
        <color theme="1"/>
        <sz val="14.0"/>
      </rPr>
      <t>ส่งข้อมูลหรืออุปกรณ์สำคัญ</t>
    </r>
  </si>
  <si>
    <t>ESBIT-SC-37(01)</t>
  </si>
  <si>
    <t>SC-37(01)</t>
  </si>
  <si>
    <t>Out-of-band Channels | Ensure Delivery and Transmission</t>
  </si>
  <si>
    <t>Enhances SC-37 (Out-of-band Channels): configure and enforce 'Ensure Delivery and Transmission' in addition to the base setting, keep it consistent across applicable systems and document approved exceptions. Base scope: Use out-of-band channels for delivery of sensitive information or devices</t>
  </si>
  <si>
    <r>
      <rPr>
        <rFont val="FreeSans"/>
        <color theme="1"/>
        <sz val="14.0"/>
      </rPr>
      <t xml:space="preserve">ส่วนขยายของ </t>
    </r>
    <r>
      <rPr>
        <rFont val="Calibri"/>
        <color theme="1"/>
        <sz val="14.0"/>
      </rPr>
      <t xml:space="preserve">SC-37: </t>
    </r>
    <r>
      <rPr>
        <rFont val="FreeSans"/>
        <color theme="1"/>
        <sz val="14.0"/>
      </rPr>
      <t xml:space="preserve">กำหนดค่าและบังคับใช้ </t>
    </r>
    <r>
      <rPr>
        <rFont val="Calibri"/>
        <color theme="1"/>
        <sz val="14.0"/>
      </rPr>
      <t xml:space="preserve">'Ensure Delivery and Transmission'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ใช้ช่องทางนอกแถบ </t>
    </r>
    <r>
      <rPr>
        <rFont val="Calibri"/>
        <color theme="1"/>
        <sz val="14.0"/>
      </rPr>
      <t xml:space="preserve">(Out-of-band) </t>
    </r>
    <r>
      <rPr>
        <rFont val="FreeSans"/>
        <color theme="1"/>
        <sz val="14.0"/>
      </rPr>
      <t>ส่งข้อมูลหรืออุปกรณ์สำคัญ</t>
    </r>
  </si>
  <si>
    <t>ESBIT-SC-38</t>
  </si>
  <si>
    <t>SC-38</t>
  </si>
  <si>
    <t>Operations Security</t>
  </si>
  <si>
    <t>Not a direct configuration item - operations security processes protecting critical information about system operations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</si>
  <si>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กระบวนการ </t>
    </r>
    <r>
      <rPr>
        <rFont val="Calibri"/>
        <color theme="1"/>
        <sz val="14.0"/>
      </rPr>
      <t xml:space="preserve">OPSEC </t>
    </r>
    <r>
      <rPr>
        <rFont val="FreeSans"/>
        <color theme="1"/>
        <sz val="14.0"/>
      </rPr>
      <t>เพื่อปกป้องข้อมูลการปฏิบัติงานที่สำคัญ</t>
    </r>
  </si>
  <si>
    <t>ESBIT-SC-39</t>
  </si>
  <si>
    <t>SC-39</t>
  </si>
  <si>
    <t>Process Isolation</t>
  </si>
  <si>
    <t>Enable process/memory isolation, containers and sandboxing with separate execution domains</t>
  </si>
  <si>
    <r>
      <rPr>
        <rFont val="FreeSans"/>
        <color theme="1"/>
        <sz val="14.0"/>
      </rPr>
      <t>เปิดใช้การแยกโปรเซส</t>
    </r>
    <r>
      <rPr>
        <rFont val="Calibri"/>
        <color theme="1"/>
        <sz val="14.0"/>
      </rPr>
      <t>/</t>
    </r>
    <r>
      <rPr>
        <rFont val="FreeSans"/>
        <color theme="1"/>
        <sz val="14.0"/>
      </rPr>
      <t xml:space="preserve">หน่วยความจำ </t>
    </r>
    <r>
      <rPr>
        <rFont val="Calibri"/>
        <color theme="1"/>
        <sz val="14.0"/>
      </rPr>
      <t xml:space="preserve">Container </t>
    </r>
    <r>
      <rPr>
        <rFont val="FreeSans"/>
        <color theme="1"/>
        <sz val="14.0"/>
      </rPr>
      <t xml:space="preserve">และ </t>
    </r>
    <r>
      <rPr>
        <rFont val="Calibri"/>
        <color theme="1"/>
        <sz val="14.0"/>
      </rPr>
      <t xml:space="preserve">Sandbox </t>
    </r>
    <r>
      <rPr>
        <rFont val="FreeSans"/>
        <color theme="1"/>
        <sz val="14.0"/>
      </rPr>
      <t xml:space="preserve">ด้วย </t>
    </r>
    <r>
      <rPr>
        <rFont val="Calibri"/>
        <color theme="1"/>
        <sz val="14.0"/>
      </rPr>
      <t xml:space="preserve">Execution Domain </t>
    </r>
    <r>
      <rPr>
        <rFont val="FreeSans"/>
        <color theme="1"/>
        <sz val="14.0"/>
      </rPr>
      <t>แยก</t>
    </r>
  </si>
  <si>
    <t>ESBIT-SC-39(01)</t>
  </si>
  <si>
    <t>SC-39(01)</t>
  </si>
  <si>
    <t>Process Isolation | Hardware Separation</t>
  </si>
  <si>
    <t>Enhances SC-39 (Process Isolation): configure and enforce 'Hardware Separation' in addition to the base setting, keep it consistent across applicable systems and document approved exceptions. Base scope: Enable process/memory isolation, containers and sandboxing with separate execution domains</t>
  </si>
  <si>
    <r>
      <rPr>
        <rFont val="FreeSans"/>
        <color theme="1"/>
        <sz val="14.0"/>
      </rPr>
      <t xml:space="preserve">ส่วนขยายของ </t>
    </r>
    <r>
      <rPr>
        <rFont val="Calibri"/>
        <color theme="1"/>
        <sz val="14.0"/>
      </rPr>
      <t xml:space="preserve">SC-39: </t>
    </r>
    <r>
      <rPr>
        <rFont val="FreeSans"/>
        <color theme="1"/>
        <sz val="14.0"/>
      </rPr>
      <t xml:space="preserve">กำหนดค่าและบังคับใช้ </t>
    </r>
    <r>
      <rPr>
        <rFont val="Calibri"/>
        <color theme="1"/>
        <sz val="14.0"/>
      </rPr>
      <t xml:space="preserve">'Hardware Separation'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เปิดใช้การแยกโปรเซส</t>
    </r>
    <r>
      <rPr>
        <rFont val="Calibri"/>
        <color theme="1"/>
        <sz val="14.0"/>
      </rPr>
      <t>/</t>
    </r>
    <r>
      <rPr>
        <rFont val="FreeSans"/>
        <color theme="1"/>
        <sz val="14.0"/>
      </rPr>
      <t xml:space="preserve">หน่วยความจำ </t>
    </r>
    <r>
      <rPr>
        <rFont val="Calibri"/>
        <color theme="1"/>
        <sz val="14.0"/>
      </rPr>
      <t xml:space="preserve">Container </t>
    </r>
    <r>
      <rPr>
        <rFont val="FreeSans"/>
        <color theme="1"/>
        <sz val="14.0"/>
      </rPr>
      <t xml:space="preserve">และ </t>
    </r>
    <r>
      <rPr>
        <rFont val="Calibri"/>
        <color theme="1"/>
        <sz val="14.0"/>
      </rPr>
      <t xml:space="preserve">Sandbox </t>
    </r>
    <r>
      <rPr>
        <rFont val="FreeSans"/>
        <color theme="1"/>
        <sz val="14.0"/>
      </rPr>
      <t xml:space="preserve">ด้วย </t>
    </r>
    <r>
      <rPr>
        <rFont val="Calibri"/>
        <color theme="1"/>
        <sz val="14.0"/>
      </rPr>
      <t xml:space="preserve">Execution Domain </t>
    </r>
    <r>
      <rPr>
        <rFont val="FreeSans"/>
        <color theme="1"/>
        <sz val="14.0"/>
      </rPr>
      <t>แยก</t>
    </r>
  </si>
  <si>
    <t>ESBIT-SC-39(02)</t>
  </si>
  <si>
    <t>SC-39(02)</t>
  </si>
  <si>
    <t>Process Isolation | Separate Execution Domain Per Thread</t>
  </si>
  <si>
    <t>Enhances SC-39 (Process Isolation): configure and enforce 'Separate Execution Domain Per Thread' in addition to the base setting, keep it consistent across applicable systems and document approved exceptions. Base scope: Enable process/memory isolation, containers and sandboxing with separate execution domains</t>
  </si>
  <si>
    <r>
      <rPr>
        <rFont val="FreeSans"/>
        <color theme="1"/>
        <sz val="14.0"/>
      </rPr>
      <t xml:space="preserve">ส่วนขยายของ </t>
    </r>
    <r>
      <rPr>
        <rFont val="Calibri"/>
        <color theme="1"/>
        <sz val="14.0"/>
      </rPr>
      <t xml:space="preserve">SC-39: </t>
    </r>
    <r>
      <rPr>
        <rFont val="FreeSans"/>
        <color theme="1"/>
        <sz val="14.0"/>
      </rPr>
      <t xml:space="preserve">กำหนดค่าและบังคับใช้ </t>
    </r>
    <r>
      <rPr>
        <rFont val="Calibri"/>
        <color theme="1"/>
        <sz val="14.0"/>
      </rPr>
      <t xml:space="preserve">'Separate Execution Domain Per Thread'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เปิดใช้การแยกโปรเซส</t>
    </r>
    <r>
      <rPr>
        <rFont val="Calibri"/>
        <color theme="1"/>
        <sz val="14.0"/>
      </rPr>
      <t>/</t>
    </r>
    <r>
      <rPr>
        <rFont val="FreeSans"/>
        <color theme="1"/>
        <sz val="14.0"/>
      </rPr>
      <t xml:space="preserve">หน่วยความจำ </t>
    </r>
    <r>
      <rPr>
        <rFont val="Calibri"/>
        <color theme="1"/>
        <sz val="14.0"/>
      </rPr>
      <t xml:space="preserve">Container </t>
    </r>
    <r>
      <rPr>
        <rFont val="FreeSans"/>
        <color theme="1"/>
        <sz val="14.0"/>
      </rPr>
      <t xml:space="preserve">และ </t>
    </r>
    <r>
      <rPr>
        <rFont val="Calibri"/>
        <color theme="1"/>
        <sz val="14.0"/>
      </rPr>
      <t xml:space="preserve">Sandbox </t>
    </r>
    <r>
      <rPr>
        <rFont val="FreeSans"/>
        <color theme="1"/>
        <sz val="14.0"/>
      </rPr>
      <t xml:space="preserve">ด้วย </t>
    </r>
    <r>
      <rPr>
        <rFont val="Calibri"/>
        <color theme="1"/>
        <sz val="14.0"/>
      </rPr>
      <t xml:space="preserve">Execution Domain </t>
    </r>
    <r>
      <rPr>
        <rFont val="FreeSans"/>
        <color theme="1"/>
        <sz val="14.0"/>
      </rPr>
      <t>แยก</t>
    </r>
  </si>
  <si>
    <t>ESBIT-SC-40</t>
  </si>
  <si>
    <t>SC-40</t>
  </si>
  <si>
    <t>Wireless Link Protection</t>
  </si>
  <si>
    <t>Configure wireless link protections against jamming and interception</t>
  </si>
  <si>
    <t>ตั้งค่าการป้องกันลิงก์ไร้สายจากการรบกวนและดักฟัง</t>
  </si>
  <si>
    <t>ESBIT-SC-40(01)</t>
  </si>
  <si>
    <t>SC-40(01)</t>
  </si>
  <si>
    <t>Wireless Link Protection | Electromagnetic Interference</t>
  </si>
  <si>
    <t>Enhances SC-40 (Wireless Link Protection): configure and enforce 'Electromagnetic Interference' in addition to the base setting, keep it consistent across applicable systems and document approved exceptions. Base scope: Configure wireless link protections against jamming and interception</t>
  </si>
  <si>
    <r>
      <rPr>
        <rFont val="FreeSans"/>
        <color theme="1"/>
        <sz val="14.0"/>
      </rPr>
      <t xml:space="preserve">ส่วนขยายของ </t>
    </r>
    <r>
      <rPr>
        <rFont val="Calibri"/>
        <color theme="1"/>
        <sz val="14.0"/>
      </rPr>
      <t xml:space="preserve">SC-40: </t>
    </r>
    <r>
      <rPr>
        <rFont val="FreeSans"/>
        <color theme="1"/>
        <sz val="14.0"/>
      </rPr>
      <t xml:space="preserve">กำหนดค่าและบังคับใช้ </t>
    </r>
    <r>
      <rPr>
        <rFont val="Calibri"/>
        <color theme="1"/>
        <sz val="14.0"/>
      </rPr>
      <t xml:space="preserve">'Electromagnetic Interference'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ตั้งค่าการป้องกันลิงก์ไร้สายจากการรบกวนและดักฟัง</t>
    </r>
  </si>
  <si>
    <t>ESBIT-SC-40(02)</t>
  </si>
  <si>
    <t>SC-40(02)</t>
  </si>
  <si>
    <t>Wireless Link Protection | Reduce Detection Potential</t>
  </si>
  <si>
    <t>Enhances SC-40 (Wireless Link Protection): configure and enforce 'Reduce Detection Potential' in addition to the base setting, keep it consistent across applicable systems and document approved exceptions. Base scope: Configure wireless link protections against jamming and interception</t>
  </si>
  <si>
    <r>
      <rPr>
        <rFont val="FreeSans"/>
        <color theme="1"/>
        <sz val="14.0"/>
      </rPr>
      <t xml:space="preserve">ส่วนขยายของ </t>
    </r>
    <r>
      <rPr>
        <rFont val="Calibri"/>
        <color theme="1"/>
        <sz val="14.0"/>
      </rPr>
      <t xml:space="preserve">SC-40: </t>
    </r>
    <r>
      <rPr>
        <rFont val="FreeSans"/>
        <color theme="1"/>
        <sz val="14.0"/>
      </rPr>
      <t xml:space="preserve">กำหนดค่าและบังคับใช้ </t>
    </r>
    <r>
      <rPr>
        <rFont val="Calibri"/>
        <color theme="1"/>
        <sz val="14.0"/>
      </rPr>
      <t xml:space="preserve">'Reduce Detection Potential'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ตั้งค่าการป้องกันลิงก์ไร้สายจากการรบกวนและดักฟัง</t>
    </r>
  </si>
  <si>
    <t>ESBIT-SC-40(03)</t>
  </si>
  <si>
    <t>SC-40(03)</t>
  </si>
  <si>
    <t>Wireless Link Protection | Imitative or Manipulative Communications Deception</t>
  </si>
  <si>
    <t>Enhances SC-40 (Wireless Link Protection): configure and enforce 'Imitative or Manipulative Communications Deception' in addition to the base setting, keep it consistent across applicable systems and document approved exceptions. Base scope: Configure wireless link protections against jamming and interception</t>
  </si>
  <si>
    <r>
      <rPr>
        <rFont val="FreeSans"/>
        <color theme="1"/>
        <sz val="14.0"/>
      </rPr>
      <t xml:space="preserve">ส่วนขยายของ </t>
    </r>
    <r>
      <rPr>
        <rFont val="Calibri"/>
        <color theme="1"/>
        <sz val="14.0"/>
      </rPr>
      <t xml:space="preserve">SC-40: </t>
    </r>
    <r>
      <rPr>
        <rFont val="FreeSans"/>
        <color theme="1"/>
        <sz val="14.0"/>
      </rPr>
      <t xml:space="preserve">กำหนดค่าและบังคับใช้ </t>
    </r>
    <r>
      <rPr>
        <rFont val="Calibri"/>
        <color theme="1"/>
        <sz val="14.0"/>
      </rPr>
      <t xml:space="preserve">'Imitative or Manipulative Communications Deception'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ตั้งค่าการป้องกันลิงก์ไร้สายจากการรบกวนและดักฟัง</t>
    </r>
  </si>
  <si>
    <t>ESBIT-SC-40(04)</t>
  </si>
  <si>
    <t>SC-40(04)</t>
  </si>
  <si>
    <t>Wireless Link Protection | Signal Parameter Identification</t>
  </si>
  <si>
    <t>Enhances SC-40 (Wireless Link Protection): configure and enforce 'Signal Parameter Identification' in addition to the base setting, keep it consistent across applicable systems and document approved exceptions. Base scope: Configure wireless link protections against jamming and interception</t>
  </si>
  <si>
    <r>
      <rPr>
        <rFont val="FreeSans"/>
        <color theme="1"/>
        <sz val="14.0"/>
      </rPr>
      <t xml:space="preserve">ส่วนขยายของ </t>
    </r>
    <r>
      <rPr>
        <rFont val="Calibri"/>
        <color theme="1"/>
        <sz val="14.0"/>
      </rPr>
      <t xml:space="preserve">SC-40: </t>
    </r>
    <r>
      <rPr>
        <rFont val="FreeSans"/>
        <color theme="1"/>
        <sz val="14.0"/>
      </rPr>
      <t xml:space="preserve">กำหนดค่าและบังคับใช้ </t>
    </r>
    <r>
      <rPr>
        <rFont val="Calibri"/>
        <color theme="1"/>
        <sz val="14.0"/>
      </rPr>
      <t xml:space="preserve">'Signal Parameter Identification'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ตั้งค่าการป้องกันลิงก์ไร้สายจากการรบกวนและดักฟัง</t>
    </r>
  </si>
  <si>
    <t>ESBIT-SC-41</t>
  </si>
  <si>
    <t>SC-41</t>
  </si>
  <si>
    <t>Port and I/O Device Access</t>
  </si>
  <si>
    <t>Physically or logically disable USB, serial and I/O ports not required</t>
  </si>
  <si>
    <r>
      <rPr>
        <rFont val="FreeSans"/>
        <color theme="1"/>
        <sz val="14.0"/>
      </rPr>
      <t xml:space="preserve">ปิดพอร์ต </t>
    </r>
    <r>
      <rPr>
        <rFont val="Calibri"/>
        <color theme="1"/>
        <sz val="14.0"/>
      </rPr>
      <t xml:space="preserve">USB, Serial </t>
    </r>
    <r>
      <rPr>
        <rFont val="FreeSans"/>
        <color theme="1"/>
        <sz val="14.0"/>
      </rPr>
      <t xml:space="preserve">และ </t>
    </r>
    <r>
      <rPr>
        <rFont val="Calibri"/>
        <color theme="1"/>
        <sz val="14.0"/>
      </rPr>
      <t xml:space="preserve">I/O </t>
    </r>
    <r>
      <rPr>
        <rFont val="FreeSans"/>
        <color theme="1"/>
        <sz val="14.0"/>
      </rPr>
      <t>ที่ไม่จำเป็นทางกายภาพหรือทางตรรกะ</t>
    </r>
  </si>
  <si>
    <t>ESBIT-SC-42</t>
  </si>
  <si>
    <t>SC-42</t>
  </si>
  <si>
    <t>Sensor Capability and Data</t>
  </si>
  <si>
    <t>Configure controls limiting sensor capabilities and data collection</t>
  </si>
  <si>
    <t>ตั้งค่าจำกัดความสามารถและข้อมูลที่เก็บจากเซนเซอร์</t>
  </si>
  <si>
    <t>ESBIT-SC-42(01)</t>
  </si>
  <si>
    <t>SC-42(01)</t>
  </si>
  <si>
    <t>Sensor Capability and Data | Reporting to Authorized Individuals or Roles</t>
  </si>
  <si>
    <t>Enhances SC-42 (Sensor Capability and Data): configure and enforce 'Reporting to Authorized Individuals or Roles' in addition to the base setting, keep it consistent across applicable systems and document approved exceptions. Base scope: Configure controls limiting sensor capabilities and data collection</t>
  </si>
  <si>
    <r>
      <rPr>
        <rFont val="FreeSans"/>
        <color theme="1"/>
        <sz val="14.0"/>
      </rPr>
      <t xml:space="preserve">ส่วนขยายของ </t>
    </r>
    <r>
      <rPr>
        <rFont val="Calibri"/>
        <color theme="1"/>
        <sz val="14.0"/>
      </rPr>
      <t xml:space="preserve">SC-42: </t>
    </r>
    <r>
      <rPr>
        <rFont val="FreeSans"/>
        <color theme="1"/>
        <sz val="14.0"/>
      </rPr>
      <t xml:space="preserve">กำหนดค่าและบังคับใช้ </t>
    </r>
    <r>
      <rPr>
        <rFont val="Calibri"/>
        <color theme="1"/>
        <sz val="14.0"/>
      </rPr>
      <t xml:space="preserve">'Reporting to Authorized Individuals or Roles'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ตั้งค่าจำกัดความสามารถและข้อมูลที่เก็บจากเซนเซอร์</t>
    </r>
  </si>
  <si>
    <t>ESBIT-SC-42(02)</t>
  </si>
  <si>
    <t>SC-42(02)</t>
  </si>
  <si>
    <t>Sensor Capability and Data | Authorized Use</t>
  </si>
  <si>
    <t>Enhances SC-42 (Sensor Capability and Data): configure and enforce 'Authorized Use' in addition to the base setting, keep it consistent across applicable systems and document approved exceptions. Base scope: Configure controls limiting sensor capabilities and data collection</t>
  </si>
  <si>
    <r>
      <rPr>
        <rFont val="FreeSans"/>
        <color theme="1"/>
        <sz val="14.0"/>
      </rPr>
      <t xml:space="preserve">ส่วนขยายของ </t>
    </r>
    <r>
      <rPr>
        <rFont val="Calibri"/>
        <color theme="1"/>
        <sz val="14.0"/>
      </rPr>
      <t xml:space="preserve">SC-42: </t>
    </r>
    <r>
      <rPr>
        <rFont val="FreeSans"/>
        <color theme="1"/>
        <sz val="14.0"/>
      </rPr>
      <t xml:space="preserve">กำหนดค่าและบังคับใช้ </t>
    </r>
    <r>
      <rPr>
        <rFont val="Calibri"/>
        <color theme="1"/>
        <sz val="14.0"/>
      </rPr>
      <t xml:space="preserve">'Authorized Use'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ตั้งค่าจำกัดความสามารถและข้อมูลที่เก็บจากเซนเซอร์</t>
    </r>
  </si>
  <si>
    <t>ESBIT-SC-42(04)</t>
  </si>
  <si>
    <t>SC-42(04)</t>
  </si>
  <si>
    <t>Sensor Capability and Data | Notice of Collection</t>
  </si>
  <si>
    <t>Enhances SC-42 (Sensor Capability and Data): configure and enforce 'Notice of Collection' in addition to the base setting, keep it consistent across applicable systems and document approved exceptions. Base scope: Configure controls limiting sensor capabilities and data collection</t>
  </si>
  <si>
    <r>
      <rPr>
        <rFont val="FreeSans"/>
        <color theme="1"/>
        <sz val="14.0"/>
      </rPr>
      <t xml:space="preserve">ส่วนขยายของ </t>
    </r>
    <r>
      <rPr>
        <rFont val="Calibri"/>
        <color theme="1"/>
        <sz val="14.0"/>
      </rPr>
      <t xml:space="preserve">SC-42: </t>
    </r>
    <r>
      <rPr>
        <rFont val="FreeSans"/>
        <color theme="1"/>
        <sz val="14.0"/>
      </rPr>
      <t xml:space="preserve">กำหนดค่าและบังคับใช้ </t>
    </r>
    <r>
      <rPr>
        <rFont val="Calibri"/>
        <color theme="1"/>
        <sz val="14.0"/>
      </rPr>
      <t xml:space="preserve">'Notice of Collection'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ตั้งค่าจำกัดความสามารถและข้อมูลที่เก็บจากเซนเซอร์</t>
    </r>
  </si>
  <si>
    <t>ESBIT-SC-42(05)</t>
  </si>
  <si>
    <t>SC-42(05)</t>
  </si>
  <si>
    <t>Sensor Capability and Data | Collection Minimization</t>
  </si>
  <si>
    <t>Enhances SC-42 (Sensor Capability and Data): configure and enforce 'Collection Minimization' in addition to the base setting, keep it consistent across applicable systems and document approved exceptions. Base scope: Configure controls limiting sensor capabilities and data collection</t>
  </si>
  <si>
    <r>
      <rPr>
        <rFont val="FreeSans"/>
        <color theme="1"/>
        <sz val="14.0"/>
      </rPr>
      <t xml:space="preserve">ส่วนขยายของ </t>
    </r>
    <r>
      <rPr>
        <rFont val="Calibri"/>
        <color theme="1"/>
        <sz val="14.0"/>
      </rPr>
      <t xml:space="preserve">SC-42: </t>
    </r>
    <r>
      <rPr>
        <rFont val="FreeSans"/>
        <color theme="1"/>
        <sz val="14.0"/>
      </rPr>
      <t xml:space="preserve">กำหนดค่าและบังคับใช้ </t>
    </r>
    <r>
      <rPr>
        <rFont val="Calibri"/>
        <color theme="1"/>
        <sz val="14.0"/>
      </rPr>
      <t xml:space="preserve">'Collection Minimization'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ตั้งค่าจำกัดความสามารถและข้อมูลที่เก็บจากเซนเซอร์</t>
    </r>
  </si>
  <si>
    <t>ESBIT-SC-43</t>
  </si>
  <si>
    <t>SC-43</t>
  </si>
  <si>
    <t>Usage Restrictions</t>
  </si>
  <si>
    <t>Configure usage restrictions for technologies such as VoIP, mobile code and wireless</t>
  </si>
  <si>
    <r>
      <rPr>
        <rFont val="FreeSans"/>
        <color theme="1"/>
        <sz val="14.0"/>
      </rPr>
      <t xml:space="preserve">กำหนดข้อจำกัดการใช้เทคโนโลยี เช่น </t>
    </r>
    <r>
      <rPr>
        <rFont val="Calibri"/>
        <color theme="1"/>
        <sz val="14.0"/>
      </rPr>
      <t>VoIP, Mobile Code, Wireless</t>
    </r>
  </si>
  <si>
    <t>ESBIT-SC-44</t>
  </si>
  <si>
    <t>SC-44</t>
  </si>
  <si>
    <t>Detonation Chambers</t>
  </si>
  <si>
    <t>Configure sandbox/detonation for suspicious files and email attachments</t>
  </si>
  <si>
    <r>
      <rPr>
        <rFont val="FreeSans"/>
        <color theme="1"/>
        <sz val="14.0"/>
      </rPr>
      <t xml:space="preserve">ตั้งค่า </t>
    </r>
    <r>
      <rPr>
        <rFont val="Calibri"/>
        <color theme="1"/>
        <sz val="14.0"/>
      </rPr>
      <t xml:space="preserve">Sandbox/Detonation </t>
    </r>
    <r>
      <rPr>
        <rFont val="FreeSans"/>
        <color theme="1"/>
        <sz val="14.0"/>
      </rPr>
      <t>ตรวจไฟล์และไฟล์แนบอีเมลที่น่าสงสัย</t>
    </r>
  </si>
  <si>
    <t>ESBIT-SC-45</t>
  </si>
  <si>
    <t>SC-45</t>
  </si>
  <si>
    <t>System Time Synchronization</t>
  </si>
  <si>
    <t>Synchronize system clocks with authoritative time sources (NTP) across all systems</t>
  </si>
  <si>
    <r>
      <rPr>
        <rFont val="FreeSans"/>
        <color theme="1"/>
        <sz val="14.0"/>
      </rPr>
      <t xml:space="preserve">ซิงค์นาฬิการะบบกับแหล่งเวลาที่เชื่อถือได้ </t>
    </r>
    <r>
      <rPr>
        <rFont val="Calibri"/>
        <color theme="1"/>
        <sz val="14.0"/>
      </rPr>
      <t xml:space="preserve">(NTP) </t>
    </r>
    <r>
      <rPr>
        <rFont val="FreeSans"/>
        <color theme="1"/>
        <sz val="14.0"/>
      </rPr>
      <t>ทุกระบบ</t>
    </r>
  </si>
  <si>
    <t>ESBIT-SC-45(01)</t>
  </si>
  <si>
    <t>SC-45(01)</t>
  </si>
  <si>
    <t>System Time Synchronization | Synchronization with Authoritative Time Source</t>
  </si>
  <si>
    <t>Enhances SC-45 (System Time Synchronization): configure and enforce 'Synchronization with Authoritative Time Source' in addition to the base setting, keep it consistent across applicable systems and document approved exceptions. Base scope: Synchronize system clocks with authoritative time sources (NTP) across all systems</t>
  </si>
  <si>
    <r>
      <rPr>
        <rFont val="FreeSans"/>
        <color theme="1"/>
        <sz val="14.0"/>
      </rPr>
      <t xml:space="preserve">ส่วนขยายของ </t>
    </r>
    <r>
      <rPr>
        <rFont val="Calibri"/>
        <color theme="1"/>
        <sz val="14.0"/>
      </rPr>
      <t xml:space="preserve">SC-45: </t>
    </r>
    <r>
      <rPr>
        <rFont val="FreeSans"/>
        <color theme="1"/>
        <sz val="14.0"/>
      </rPr>
      <t xml:space="preserve">กำหนดค่าและบังคับใช้ </t>
    </r>
    <r>
      <rPr>
        <rFont val="Calibri"/>
        <color theme="1"/>
        <sz val="14.0"/>
      </rPr>
      <t xml:space="preserve">'Synchronization with Authoritative Time Source'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ซิงค์นาฬิการะบบกับแหล่งเวลาที่เชื่อถือได้ </t>
    </r>
    <r>
      <rPr>
        <rFont val="Calibri"/>
        <color theme="1"/>
        <sz val="14.0"/>
      </rPr>
      <t xml:space="preserve">(NTP) </t>
    </r>
    <r>
      <rPr>
        <rFont val="FreeSans"/>
        <color theme="1"/>
        <sz val="14.0"/>
      </rPr>
      <t>ทุกระบบ</t>
    </r>
  </si>
  <si>
    <t>ESBIT-SC-45(02)</t>
  </si>
  <si>
    <t>SC-45(02)</t>
  </si>
  <si>
    <t>System Time Synchronization | Secondary Authoritative Time Source</t>
  </si>
  <si>
    <t>Enhances SC-45 (System Time Synchronization): configure and enforce 'Secondary Authoritative Time Source' in addition to the base setting, keep it consistent across applicable systems and document approved exceptions. Base scope: Synchronize system clocks with authoritative time sources (NTP) across all systems</t>
  </si>
  <si>
    <r>
      <rPr>
        <rFont val="FreeSans"/>
        <color theme="1"/>
        <sz val="14.0"/>
      </rPr>
      <t xml:space="preserve">ส่วนขยายของ </t>
    </r>
    <r>
      <rPr>
        <rFont val="Calibri"/>
        <color theme="1"/>
        <sz val="14.0"/>
      </rPr>
      <t xml:space="preserve">SC-45: </t>
    </r>
    <r>
      <rPr>
        <rFont val="FreeSans"/>
        <color theme="1"/>
        <sz val="14.0"/>
      </rPr>
      <t xml:space="preserve">กำหนดค่าและบังคับใช้ </t>
    </r>
    <r>
      <rPr>
        <rFont val="Calibri"/>
        <color theme="1"/>
        <sz val="14.0"/>
      </rPr>
      <t xml:space="preserve">'Secondary Authoritative Time Source'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ซิงค์นาฬิการะบบกับแหล่งเวลาที่เชื่อถือได้ </t>
    </r>
    <r>
      <rPr>
        <rFont val="Calibri"/>
        <color theme="1"/>
        <sz val="14.0"/>
      </rPr>
      <t xml:space="preserve">(NTP) </t>
    </r>
    <r>
      <rPr>
        <rFont val="FreeSans"/>
        <color theme="1"/>
        <sz val="14.0"/>
      </rPr>
      <t>ทุกระบบ</t>
    </r>
  </si>
  <si>
    <t>ESBIT-SC-46</t>
  </si>
  <si>
    <t>SC-46</t>
  </si>
  <si>
    <t>Cross Domain Policy Enforcement</t>
  </si>
  <si>
    <t>Implement cross-domain solution to enforce policy between security domains</t>
  </si>
  <si>
    <r>
      <rPr>
        <rFont val="FreeSans"/>
        <color theme="1"/>
        <sz val="14.0"/>
      </rPr>
      <t xml:space="preserve">ใช้ </t>
    </r>
    <r>
      <rPr>
        <rFont val="Calibri"/>
        <color theme="1"/>
        <sz val="14.0"/>
      </rPr>
      <t xml:space="preserve">Cross Domain Solution </t>
    </r>
    <r>
      <rPr>
        <rFont val="FreeSans"/>
        <color theme="1"/>
        <sz val="14.0"/>
      </rPr>
      <t>บังคับนโยบายระหว่างโดเมนความปลอดภัย</t>
    </r>
  </si>
  <si>
    <t>ESBIT-SC-47</t>
  </si>
  <si>
    <t>SC-47</t>
  </si>
  <si>
    <t>Alternate Communications Paths</t>
  </si>
  <si>
    <t>Configure alternate communications paths for system command and control</t>
  </si>
  <si>
    <t>ตั้งค่าเส้นทางสื่อสารสำรองสำหรับการควบคุมระบบ</t>
  </si>
  <si>
    <t>ESBIT-SC-48</t>
  </si>
  <si>
    <t>SC-48</t>
  </si>
  <si>
    <t>Sensor Relocation</t>
  </si>
  <si>
    <t>Relocate sensors and monitoring capabilities to defined locations under defined conditions</t>
  </si>
  <si>
    <r>
      <rPr>
        <rFont val="FreeSans"/>
        <color theme="1"/>
        <sz val="14.0"/>
      </rPr>
      <t xml:space="preserve">ย้าย </t>
    </r>
    <r>
      <rPr>
        <rFont val="Calibri"/>
        <color theme="1"/>
        <sz val="14.0"/>
      </rPr>
      <t>Sensor/</t>
    </r>
    <r>
      <rPr>
        <rFont val="FreeSans"/>
        <color theme="1"/>
        <sz val="14.0"/>
      </rPr>
      <t>เครื่องมือเฝ้าระวังตามเงื่อนไขที่กำหนด</t>
    </r>
  </si>
  <si>
    <t>ESBIT-SC-48(01)</t>
  </si>
  <si>
    <t>SC-48(01)</t>
  </si>
  <si>
    <t>Sensor Relocation | Dynamic Relocation of Sensors or Monitoring Capabilities</t>
  </si>
  <si>
    <t>Enhances SC-48 (Sensor Relocation): configure and enforce 'Dynamic Relocation of Sensors or Monitoring Capabilities' in addition to the base setting, keep it consistent across applicable systems and document approved exceptions. Base scope: Relocate sensors and monitoring capabilities to defined locations under defined conditions</t>
  </si>
  <si>
    <r>
      <rPr>
        <rFont val="FreeSans"/>
        <color theme="1"/>
        <sz val="14.0"/>
      </rPr>
      <t xml:space="preserve">ส่วนขยายของ </t>
    </r>
    <r>
      <rPr>
        <rFont val="Calibri"/>
        <color theme="1"/>
        <sz val="14.0"/>
      </rPr>
      <t xml:space="preserve">SC-48: </t>
    </r>
    <r>
      <rPr>
        <rFont val="FreeSans"/>
        <color theme="1"/>
        <sz val="14.0"/>
      </rPr>
      <t xml:space="preserve">กำหนดค่าและบังคับใช้ </t>
    </r>
    <r>
      <rPr>
        <rFont val="Calibri"/>
        <color theme="1"/>
        <sz val="14.0"/>
      </rPr>
      <t xml:space="preserve">'Dynamic Relocation of Sensors or Monitoring Capabilities'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ย้าย </t>
    </r>
    <r>
      <rPr>
        <rFont val="Calibri"/>
        <color theme="1"/>
        <sz val="14.0"/>
      </rPr>
      <t>Sensor/</t>
    </r>
    <r>
      <rPr>
        <rFont val="FreeSans"/>
        <color theme="1"/>
        <sz val="14.0"/>
      </rPr>
      <t>เครื่องมือเฝ้าระวังตามเงื่อนไขที่กำหนด</t>
    </r>
  </si>
  <si>
    <t>ESBIT-SC-49</t>
  </si>
  <si>
    <t>SC-49</t>
  </si>
  <si>
    <t>Hardware-enforced Separation and Policy Enforcement</t>
  </si>
  <si>
    <t>Enforce separation and policy through hardware mechanisms</t>
  </si>
  <si>
    <t>บังคับการแยกและนโยบายผ่านกลไกฮาร์ดแวร์</t>
  </si>
  <si>
    <t>ESBIT-SC-50</t>
  </si>
  <si>
    <t>SC-50</t>
  </si>
  <si>
    <t>Software-enforced Separation and Policy Enforcement</t>
  </si>
  <si>
    <t>Enforce separation and policy through software mechanisms</t>
  </si>
  <si>
    <t>บังคับการแยกและนโยบายผ่านกลไกซอฟต์แวร์</t>
  </si>
  <si>
    <t>ESBIT-SC-51</t>
  </si>
  <si>
    <t>SC-51</t>
  </si>
  <si>
    <t>Hardware-based Protection</t>
  </si>
  <si>
    <t>Use hardware-based protection for firmware and boot components</t>
  </si>
  <si>
    <r>
      <rPr>
        <rFont val="FreeSans"/>
        <color theme="1"/>
        <sz val="14.0"/>
      </rPr>
      <t xml:space="preserve">ใช้การป้องกันแบบฮาร์ดแวร์สำหรับ </t>
    </r>
    <r>
      <rPr>
        <rFont val="Calibri"/>
        <color theme="1"/>
        <sz val="14.0"/>
      </rPr>
      <t xml:space="preserve">Firmware </t>
    </r>
    <r>
      <rPr>
        <rFont val="FreeSans"/>
        <color theme="1"/>
        <sz val="14.0"/>
      </rPr>
      <t xml:space="preserve">และ </t>
    </r>
    <r>
      <rPr>
        <rFont val="Calibri"/>
        <color theme="1"/>
        <sz val="14.0"/>
      </rPr>
      <t>Boot Component</t>
    </r>
  </si>
  <si>
    <t>ESBIT-SI-01</t>
  </si>
  <si>
    <t>SI-01</t>
  </si>
  <si>
    <t>Not a direct configuration item - define, document, review and communicate the System and Information Integrity policy and procedures that drive the technical configuration standards.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</si>
  <si>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กำหนด จัดทำเอกสาร และทบทวนนโยบาย</t>
    </r>
    <r>
      <rPr>
        <rFont val="Calibri"/>
        <color theme="1"/>
        <sz val="14.0"/>
      </rPr>
      <t>/</t>
    </r>
    <r>
      <rPr>
        <rFont val="FreeSans"/>
        <color theme="1"/>
        <sz val="14.0"/>
      </rPr>
      <t xml:space="preserve">ขั้นตอนของหมวดความสมบูรณ์ของระบบและข้อมูล เพื่อเป็นฐานในการกำหนดมาตรฐาน </t>
    </r>
    <r>
      <rPr>
        <rFont val="Calibri"/>
        <color theme="1"/>
        <sz val="14.0"/>
      </rPr>
      <t>Config</t>
    </r>
  </si>
  <si>
    <t>ESBIT-SI-02</t>
  </si>
  <si>
    <t>SI-02</t>
  </si>
  <si>
    <t>Flaw Remediation</t>
  </si>
  <si>
    <t>ID.RA-08</t>
  </si>
  <si>
    <t>Processes for receiving, analyzing, and responding to vulnerability disclosures are established</t>
  </si>
  <si>
    <t>Configure patch management, patch testing, remediation timelines and automated updates for OS, firmware, network devices and applications</t>
  </si>
  <si>
    <r>
      <rPr>
        <rFont val="FreeSans"/>
        <color theme="1"/>
        <sz val="14.0"/>
      </rPr>
      <t xml:space="preserve">ตั้งค่า </t>
    </r>
    <r>
      <rPr>
        <rFont val="Calibri"/>
        <color theme="1"/>
        <sz val="14.0"/>
      </rPr>
      <t xml:space="preserve">Patch Management </t>
    </r>
    <r>
      <rPr>
        <rFont val="FreeSans"/>
        <color theme="1"/>
        <sz val="14.0"/>
      </rPr>
      <t xml:space="preserve">การทดสอบ </t>
    </r>
    <r>
      <rPr>
        <rFont val="Calibri"/>
        <color theme="1"/>
        <sz val="14.0"/>
      </rPr>
      <t xml:space="preserve">Patch </t>
    </r>
    <r>
      <rPr>
        <rFont val="FreeSans"/>
        <color theme="1"/>
        <sz val="14.0"/>
      </rPr>
      <t xml:space="preserve">กรอบเวลาแก้ไข และการอัปเดตอัตโนมัติสำหรับ </t>
    </r>
    <r>
      <rPr>
        <rFont val="Calibri"/>
        <color theme="1"/>
        <sz val="14.0"/>
      </rPr>
      <t>OS/Firmware/</t>
    </r>
    <r>
      <rPr>
        <rFont val="FreeSans"/>
        <color theme="1"/>
        <sz val="14.0"/>
      </rPr>
      <t>เครือข่าย</t>
    </r>
    <r>
      <rPr>
        <rFont val="Calibri"/>
        <color theme="1"/>
        <sz val="14.0"/>
      </rPr>
      <t>/</t>
    </r>
    <r>
      <rPr>
        <rFont val="FreeSans"/>
        <color theme="1"/>
        <sz val="14.0"/>
      </rPr>
      <t>แอป</t>
    </r>
  </si>
  <si>
    <t>Infrastructure (Server/OS), Application/Software, Network</t>
  </si>
  <si>
    <t>ESBIT-SI-02(02)</t>
  </si>
  <si>
    <t>SI-02(02)</t>
  </si>
  <si>
    <t>Flaw Remediation | Automated Flaw Remediation Status</t>
  </si>
  <si>
    <t>Enhances SI-02 (Flaw Remediation): configure and enforce 'Automated Flaw Remediation Status' in addition to the base setting, keep it consistent across applicable systems and document approved exceptions. Base scope: Configure patch management, patch testing, remediation timelines and automated updates for OS, firmware, network devices and applications</t>
  </si>
  <si>
    <r>
      <rPr>
        <rFont val="FreeSans"/>
        <color theme="1"/>
        <sz val="14.0"/>
      </rPr>
      <t xml:space="preserve">ส่วนขยายของ </t>
    </r>
    <r>
      <rPr>
        <rFont val="Calibri"/>
        <color theme="1"/>
        <sz val="14.0"/>
      </rPr>
      <t xml:space="preserve">SI-02: </t>
    </r>
    <r>
      <rPr>
        <rFont val="FreeSans"/>
        <color theme="1"/>
        <sz val="14.0"/>
      </rPr>
      <t xml:space="preserve">กำหนดค่าและบังคับใช้ </t>
    </r>
    <r>
      <rPr>
        <rFont val="Calibri"/>
        <color theme="1"/>
        <sz val="14.0"/>
      </rPr>
      <t xml:space="preserve">'Automated Flaw Remediation Status'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Patch Management </t>
    </r>
    <r>
      <rPr>
        <rFont val="FreeSans"/>
        <color theme="1"/>
        <sz val="14.0"/>
      </rPr>
      <t xml:space="preserve">การทดสอบ </t>
    </r>
    <r>
      <rPr>
        <rFont val="Calibri"/>
        <color theme="1"/>
        <sz val="14.0"/>
      </rPr>
      <t xml:space="preserve">Patch </t>
    </r>
    <r>
      <rPr>
        <rFont val="FreeSans"/>
        <color theme="1"/>
        <sz val="14.0"/>
      </rPr>
      <t xml:space="preserve">กรอบเวลาแก้ไข และการอัปเดตอัตโนมัติสำหรับ </t>
    </r>
    <r>
      <rPr>
        <rFont val="Calibri"/>
        <color theme="1"/>
        <sz val="14.0"/>
      </rPr>
      <t>OS/Firmware/</t>
    </r>
    <r>
      <rPr>
        <rFont val="FreeSans"/>
        <color theme="1"/>
        <sz val="14.0"/>
      </rPr>
      <t>เครือข่าย</t>
    </r>
    <r>
      <rPr>
        <rFont val="Calibri"/>
        <color theme="1"/>
        <sz val="14.0"/>
      </rPr>
      <t>/</t>
    </r>
    <r>
      <rPr>
        <rFont val="FreeSans"/>
        <color theme="1"/>
        <sz val="14.0"/>
      </rPr>
      <t>แอป</t>
    </r>
  </si>
  <si>
    <t>ESBIT-SI-02(03)</t>
  </si>
  <si>
    <t>SI-02(03)</t>
  </si>
  <si>
    <t>Flaw Remediation | Time to Remediate Flaws and Benchmarks for Corrective Actions</t>
  </si>
  <si>
    <t>Enhances SI-02 (Flaw Remediation): configure and enforce 'Time to Remediate Flaws and Benchmarks for Corrective Actions' in addition to the base setting, keep it consistent across applicable systems and document approved exceptions. Base scope: Configure patch management, patch testing, remediation timelines and automated updates for OS, firmware, network devices and applications</t>
  </si>
  <si>
    <r>
      <rPr>
        <rFont val="FreeSans"/>
        <color theme="1"/>
        <sz val="14.0"/>
      </rPr>
      <t xml:space="preserve">ส่วนขยายของ </t>
    </r>
    <r>
      <rPr>
        <rFont val="Calibri"/>
        <color theme="1"/>
        <sz val="14.0"/>
      </rPr>
      <t xml:space="preserve">SI-02: </t>
    </r>
    <r>
      <rPr>
        <rFont val="FreeSans"/>
        <color theme="1"/>
        <sz val="14.0"/>
      </rPr>
      <t xml:space="preserve">กำหนดค่าและบังคับใช้ </t>
    </r>
    <r>
      <rPr>
        <rFont val="Calibri"/>
        <color theme="1"/>
        <sz val="14.0"/>
      </rPr>
      <t xml:space="preserve">'Time to Remediate Flaws and Benchmarks for Corrective Actions'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Patch Management </t>
    </r>
    <r>
      <rPr>
        <rFont val="FreeSans"/>
        <color theme="1"/>
        <sz val="14.0"/>
      </rPr>
      <t xml:space="preserve">การทดสอบ </t>
    </r>
    <r>
      <rPr>
        <rFont val="Calibri"/>
        <color theme="1"/>
        <sz val="14.0"/>
      </rPr>
      <t xml:space="preserve">Patch </t>
    </r>
    <r>
      <rPr>
        <rFont val="FreeSans"/>
        <color theme="1"/>
        <sz val="14.0"/>
      </rPr>
      <t xml:space="preserve">กรอบเวลาแก้ไข และการอัปเดตอัตโนมัติสำหรับ </t>
    </r>
    <r>
      <rPr>
        <rFont val="Calibri"/>
        <color theme="1"/>
        <sz val="14.0"/>
      </rPr>
      <t>OS/Firmware/</t>
    </r>
    <r>
      <rPr>
        <rFont val="FreeSans"/>
        <color theme="1"/>
        <sz val="14.0"/>
      </rPr>
      <t>เครือข่าย</t>
    </r>
    <r>
      <rPr>
        <rFont val="Calibri"/>
        <color theme="1"/>
        <sz val="14.0"/>
      </rPr>
      <t>/</t>
    </r>
    <r>
      <rPr>
        <rFont val="FreeSans"/>
        <color theme="1"/>
        <sz val="14.0"/>
      </rPr>
      <t>แอป</t>
    </r>
  </si>
  <si>
    <t>ESBIT-SI-02(05)</t>
  </si>
  <si>
    <t>SI-02(05)</t>
  </si>
  <si>
    <t>Flaw Remediation | Automatic Software and Firmware Updates</t>
  </si>
  <si>
    <t>Enhances SI-02 (Flaw Remediation): configure and enforce 'Automatic Software and Firmware Updates' in addition to the base setting, keep it consistent across applicable systems and document approved exceptions. Base scope: Configure patch management, patch testing, remediation timelines and automated updates for OS, firmware, network devices and applications</t>
  </si>
  <si>
    <r>
      <rPr>
        <rFont val="FreeSans"/>
        <color theme="1"/>
        <sz val="14.0"/>
      </rPr>
      <t xml:space="preserve">ส่วนขยายของ </t>
    </r>
    <r>
      <rPr>
        <rFont val="Calibri"/>
        <color theme="1"/>
        <sz val="14.0"/>
      </rPr>
      <t xml:space="preserve">SI-02: </t>
    </r>
    <r>
      <rPr>
        <rFont val="FreeSans"/>
        <color theme="1"/>
        <sz val="14.0"/>
      </rPr>
      <t xml:space="preserve">กำหนดค่าและบังคับใช้ </t>
    </r>
    <r>
      <rPr>
        <rFont val="Calibri"/>
        <color theme="1"/>
        <sz val="14.0"/>
      </rPr>
      <t xml:space="preserve">'Automatic Software and Firmware Updates'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Patch Management </t>
    </r>
    <r>
      <rPr>
        <rFont val="FreeSans"/>
        <color theme="1"/>
        <sz val="14.0"/>
      </rPr>
      <t xml:space="preserve">การทดสอบ </t>
    </r>
    <r>
      <rPr>
        <rFont val="Calibri"/>
        <color theme="1"/>
        <sz val="14.0"/>
      </rPr>
      <t xml:space="preserve">Patch </t>
    </r>
    <r>
      <rPr>
        <rFont val="FreeSans"/>
        <color theme="1"/>
        <sz val="14.0"/>
      </rPr>
      <t xml:space="preserve">กรอบเวลาแก้ไข และการอัปเดตอัตโนมัติสำหรับ </t>
    </r>
    <r>
      <rPr>
        <rFont val="Calibri"/>
        <color theme="1"/>
        <sz val="14.0"/>
      </rPr>
      <t>OS/Firmware/</t>
    </r>
    <r>
      <rPr>
        <rFont val="FreeSans"/>
        <color theme="1"/>
        <sz val="14.0"/>
      </rPr>
      <t>เครือข่าย</t>
    </r>
    <r>
      <rPr>
        <rFont val="Calibri"/>
        <color theme="1"/>
        <sz val="14.0"/>
      </rPr>
      <t>/</t>
    </r>
    <r>
      <rPr>
        <rFont val="FreeSans"/>
        <color theme="1"/>
        <sz val="14.0"/>
      </rPr>
      <t>แอป</t>
    </r>
  </si>
  <si>
    <t>ESBIT-SI-02(06)</t>
  </si>
  <si>
    <t>SI-02(06)</t>
  </si>
  <si>
    <t>Flaw Remediation | Removal of Previous Versions of Software and Firmware</t>
  </si>
  <si>
    <t>Enhances SI-02 (Flaw Remediation): configure and enforce 'Removal of Previous Versions of Software and Firmware' in addition to the base setting, keep it consistent across applicable systems and document approved exceptions. Base scope: Configure patch management, patch testing, remediation timelines and automated updates for OS, firmware, network devices and applications</t>
  </si>
  <si>
    <r>
      <rPr>
        <rFont val="FreeSans"/>
        <color theme="1"/>
        <sz val="14.0"/>
      </rPr>
      <t xml:space="preserve">ส่วนขยายของ </t>
    </r>
    <r>
      <rPr>
        <rFont val="Calibri"/>
        <color theme="1"/>
        <sz val="14.0"/>
      </rPr>
      <t xml:space="preserve">SI-02: </t>
    </r>
    <r>
      <rPr>
        <rFont val="FreeSans"/>
        <color theme="1"/>
        <sz val="14.0"/>
      </rPr>
      <t xml:space="preserve">กำหนดค่าและบังคับใช้ </t>
    </r>
    <r>
      <rPr>
        <rFont val="Calibri"/>
        <color theme="1"/>
        <sz val="14.0"/>
      </rPr>
      <t xml:space="preserve">'Removal of Previous Versions of Software and Firmware'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Patch Management </t>
    </r>
    <r>
      <rPr>
        <rFont val="FreeSans"/>
        <color theme="1"/>
        <sz val="14.0"/>
      </rPr>
      <t xml:space="preserve">การทดสอบ </t>
    </r>
    <r>
      <rPr>
        <rFont val="Calibri"/>
        <color theme="1"/>
        <sz val="14.0"/>
      </rPr>
      <t xml:space="preserve">Patch </t>
    </r>
    <r>
      <rPr>
        <rFont val="FreeSans"/>
        <color theme="1"/>
        <sz val="14.0"/>
      </rPr>
      <t xml:space="preserve">กรอบเวลาแก้ไข และการอัปเดตอัตโนมัติสำหรับ </t>
    </r>
    <r>
      <rPr>
        <rFont val="Calibri"/>
        <color theme="1"/>
        <sz val="14.0"/>
      </rPr>
      <t>OS/Firmware/</t>
    </r>
    <r>
      <rPr>
        <rFont val="FreeSans"/>
        <color theme="1"/>
        <sz val="14.0"/>
      </rPr>
      <t>เครือข่าย</t>
    </r>
    <r>
      <rPr>
        <rFont val="Calibri"/>
        <color theme="1"/>
        <sz val="14.0"/>
      </rPr>
      <t>/</t>
    </r>
    <r>
      <rPr>
        <rFont val="FreeSans"/>
        <color theme="1"/>
        <sz val="14.0"/>
      </rPr>
      <t>แอป</t>
    </r>
  </si>
  <si>
    <t>ESBIT-SI-02(07)</t>
  </si>
  <si>
    <t>SI-02(07)</t>
  </si>
  <si>
    <t>Flaw Remediation | Root Cause Analysis</t>
  </si>
  <si>
    <t>Enhances SI-02 (Flaw Remediation): configure and enforce 'Root Cause Analysis' in addition to the base setting, keep it consistent across applicable systems and document approved exceptions. Base scope: Configure patch management, patch testing, remediation timelines and automated updates for OS, firmware, network devices and applications</t>
  </si>
  <si>
    <r>
      <rPr>
        <rFont val="FreeSans"/>
        <color theme="1"/>
        <sz val="14.0"/>
      </rPr>
      <t xml:space="preserve">ส่วนขยายของ </t>
    </r>
    <r>
      <rPr>
        <rFont val="Calibri"/>
        <color theme="1"/>
        <sz val="14.0"/>
      </rPr>
      <t xml:space="preserve">SI-02: </t>
    </r>
    <r>
      <rPr>
        <rFont val="FreeSans"/>
        <color theme="1"/>
        <sz val="14.0"/>
      </rPr>
      <t xml:space="preserve">กำหนดค่าและบังคับใช้ </t>
    </r>
    <r>
      <rPr>
        <rFont val="Calibri"/>
        <color theme="1"/>
        <sz val="14.0"/>
      </rPr>
      <t xml:space="preserve">'Root Cause Analysis'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Patch Management </t>
    </r>
    <r>
      <rPr>
        <rFont val="FreeSans"/>
        <color theme="1"/>
        <sz val="14.0"/>
      </rPr>
      <t xml:space="preserve">การทดสอบ </t>
    </r>
    <r>
      <rPr>
        <rFont val="Calibri"/>
        <color theme="1"/>
        <sz val="14.0"/>
      </rPr>
      <t xml:space="preserve">Patch </t>
    </r>
    <r>
      <rPr>
        <rFont val="FreeSans"/>
        <color theme="1"/>
        <sz val="14.0"/>
      </rPr>
      <t xml:space="preserve">กรอบเวลาแก้ไข และการอัปเดตอัตโนมัติสำหรับ </t>
    </r>
    <r>
      <rPr>
        <rFont val="Calibri"/>
        <color theme="1"/>
        <sz val="14.0"/>
      </rPr>
      <t>OS/Firmware/</t>
    </r>
    <r>
      <rPr>
        <rFont val="FreeSans"/>
        <color theme="1"/>
        <sz val="14.0"/>
      </rPr>
      <t>เครือข่าย</t>
    </r>
    <r>
      <rPr>
        <rFont val="Calibri"/>
        <color theme="1"/>
        <sz val="14.0"/>
      </rPr>
      <t>/</t>
    </r>
    <r>
      <rPr>
        <rFont val="FreeSans"/>
        <color theme="1"/>
        <sz val="14.0"/>
      </rPr>
      <t>แอป</t>
    </r>
  </si>
  <si>
    <t>ESBIT-SI-03</t>
  </si>
  <si>
    <t>SI-03</t>
  </si>
  <si>
    <t>Malicious Code Protection</t>
  </si>
  <si>
    <t>Deploy and configure anti-malware/EDR with real-time scan, signature updates and email/web filtering</t>
  </si>
  <si>
    <r>
      <rPr>
        <rFont val="FreeSans"/>
        <color theme="1"/>
        <sz val="14.0"/>
      </rPr>
      <t xml:space="preserve">ติดตั้งและตั้งค่า </t>
    </r>
    <r>
      <rPr>
        <rFont val="Calibri"/>
        <color theme="1"/>
        <sz val="14.0"/>
      </rPr>
      <t xml:space="preserve">Anti-malware/EDR (Real-time Scan, </t>
    </r>
    <r>
      <rPr>
        <rFont val="FreeSans"/>
        <color theme="1"/>
        <sz val="14.0"/>
      </rPr>
      <t xml:space="preserve">อัปเดต </t>
    </r>
    <r>
      <rPr>
        <rFont val="Calibri"/>
        <color theme="1"/>
        <sz val="14.0"/>
      </rPr>
      <t xml:space="preserve">Signature, </t>
    </r>
    <r>
      <rPr>
        <rFont val="FreeSans"/>
        <color theme="1"/>
        <sz val="14.0"/>
      </rPr>
      <t>กรองอีเมล</t>
    </r>
    <r>
      <rPr>
        <rFont val="Calibri"/>
        <color theme="1"/>
        <sz val="14.0"/>
      </rPr>
      <t>/</t>
    </r>
    <r>
      <rPr>
        <rFont val="FreeSans"/>
        <color theme="1"/>
        <sz val="14.0"/>
      </rPr>
      <t>เว็บ</t>
    </r>
    <r>
      <rPr>
        <rFont val="Calibri"/>
        <color theme="1"/>
        <sz val="14.0"/>
      </rPr>
      <t>)</t>
    </r>
  </si>
  <si>
    <t>Endpoint/Mobile, Infrastructure (Server/OS), Network</t>
  </si>
  <si>
    <t>ESBIT-SI-03(04)</t>
  </si>
  <si>
    <t>SI-03(04)</t>
  </si>
  <si>
    <t>Malicious Code Protection | Updates Only by Privileged Users</t>
  </si>
  <si>
    <t>Enhances SI-03 (Malicious Code Protection): configure and enforce 'Updates Only by Privileged Users' in addition to the base setting, keep it consistent across applicable systems and document approved exceptions. Base scope: Deploy and configure anti-malware/EDR with real-time scan, signature updates and email/web filtering</t>
  </si>
  <si>
    <r>
      <rPr>
        <rFont val="FreeSans"/>
        <color theme="1"/>
        <sz val="14.0"/>
      </rPr>
      <t xml:space="preserve">ส่วนขยายของ </t>
    </r>
    <r>
      <rPr>
        <rFont val="Calibri"/>
        <color theme="1"/>
        <sz val="14.0"/>
      </rPr>
      <t xml:space="preserve">SI-03: </t>
    </r>
    <r>
      <rPr>
        <rFont val="FreeSans"/>
        <color theme="1"/>
        <sz val="14.0"/>
      </rPr>
      <t xml:space="preserve">กำหนดค่าและบังคับใช้ </t>
    </r>
    <r>
      <rPr>
        <rFont val="Calibri"/>
        <color theme="1"/>
        <sz val="14.0"/>
      </rPr>
      <t xml:space="preserve">'Updates Only by Privileged Users'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ติดตั้งและตั้งค่า </t>
    </r>
    <r>
      <rPr>
        <rFont val="Calibri"/>
        <color theme="1"/>
        <sz val="14.0"/>
      </rPr>
      <t xml:space="preserve">Anti-malware/EDR (Real-time Scan, </t>
    </r>
    <r>
      <rPr>
        <rFont val="FreeSans"/>
        <color theme="1"/>
        <sz val="14.0"/>
      </rPr>
      <t xml:space="preserve">อัปเดต </t>
    </r>
    <r>
      <rPr>
        <rFont val="Calibri"/>
        <color theme="1"/>
        <sz val="14.0"/>
      </rPr>
      <t xml:space="preserve">Signature, </t>
    </r>
    <r>
      <rPr>
        <rFont val="FreeSans"/>
        <color theme="1"/>
        <sz val="14.0"/>
      </rPr>
      <t>กรองอีเมล</t>
    </r>
    <r>
      <rPr>
        <rFont val="Calibri"/>
        <color theme="1"/>
        <sz val="14.0"/>
      </rPr>
      <t>/</t>
    </r>
    <r>
      <rPr>
        <rFont val="FreeSans"/>
        <color theme="1"/>
        <sz val="14.0"/>
      </rPr>
      <t>เว็บ</t>
    </r>
    <r>
      <rPr>
        <rFont val="Calibri"/>
        <color theme="1"/>
        <sz val="14.0"/>
      </rPr>
      <t>)</t>
    </r>
  </si>
  <si>
    <t>ESBIT-SI-03(06)</t>
  </si>
  <si>
    <t>SI-03(06)</t>
  </si>
  <si>
    <t>Malicious Code Protection | Testing and Verification</t>
  </si>
  <si>
    <t>Enhances SI-03 (Malicious Code Protection): configure and enforce 'Testing and Verification' in addition to the base setting, keep it consistent across applicable systems and document approved exceptions. Base scope: Deploy and configure anti-malware/EDR with real-time scan, signature updates and email/web filtering</t>
  </si>
  <si>
    <r>
      <rPr>
        <rFont val="FreeSans"/>
        <color theme="1"/>
        <sz val="14.0"/>
      </rPr>
      <t xml:space="preserve">ส่วนขยายของ </t>
    </r>
    <r>
      <rPr>
        <rFont val="Calibri"/>
        <color theme="1"/>
        <sz val="14.0"/>
      </rPr>
      <t xml:space="preserve">SI-03: </t>
    </r>
    <r>
      <rPr>
        <rFont val="FreeSans"/>
        <color theme="1"/>
        <sz val="14.0"/>
      </rPr>
      <t xml:space="preserve">กำหนดค่าและบังคับใช้ </t>
    </r>
    <r>
      <rPr>
        <rFont val="Calibri"/>
        <color theme="1"/>
        <sz val="14.0"/>
      </rPr>
      <t xml:space="preserve">'Testing and Verification'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ติดตั้งและตั้งค่า </t>
    </r>
    <r>
      <rPr>
        <rFont val="Calibri"/>
        <color theme="1"/>
        <sz val="14.0"/>
      </rPr>
      <t xml:space="preserve">Anti-malware/EDR (Real-time Scan, </t>
    </r>
    <r>
      <rPr>
        <rFont val="FreeSans"/>
        <color theme="1"/>
        <sz val="14.0"/>
      </rPr>
      <t xml:space="preserve">อัปเดต </t>
    </r>
    <r>
      <rPr>
        <rFont val="Calibri"/>
        <color theme="1"/>
        <sz val="14.0"/>
      </rPr>
      <t xml:space="preserve">Signature, </t>
    </r>
    <r>
      <rPr>
        <rFont val="FreeSans"/>
        <color theme="1"/>
        <sz val="14.0"/>
      </rPr>
      <t>กรองอีเมล</t>
    </r>
    <r>
      <rPr>
        <rFont val="Calibri"/>
        <color theme="1"/>
        <sz val="14.0"/>
      </rPr>
      <t>/</t>
    </r>
    <r>
      <rPr>
        <rFont val="FreeSans"/>
        <color theme="1"/>
        <sz val="14.0"/>
      </rPr>
      <t>เว็บ</t>
    </r>
    <r>
      <rPr>
        <rFont val="Calibri"/>
        <color theme="1"/>
        <sz val="14.0"/>
      </rPr>
      <t>)</t>
    </r>
  </si>
  <si>
    <t>ESBIT-SI-03(08)</t>
  </si>
  <si>
    <t>SI-03(08)</t>
  </si>
  <si>
    <t>Malicious Code Protection | Detect Unauthorized Commands</t>
  </si>
  <si>
    <t>Enhances SI-03 (Malicious Code Protection): configure and enforce 'Detect Unauthorized Commands' in addition to the base setting, keep it consistent across applicable systems and document approved exceptions. Base scope: Deploy and configure anti-malware/EDR with real-time scan, signature updates and email/web filtering</t>
  </si>
  <si>
    <r>
      <rPr>
        <rFont val="FreeSans"/>
        <color theme="1"/>
        <sz val="14.0"/>
      </rPr>
      <t xml:space="preserve">ส่วนขยายของ </t>
    </r>
    <r>
      <rPr>
        <rFont val="Calibri"/>
        <color theme="1"/>
        <sz val="14.0"/>
      </rPr>
      <t xml:space="preserve">SI-03: </t>
    </r>
    <r>
      <rPr>
        <rFont val="FreeSans"/>
        <color theme="1"/>
        <sz val="14.0"/>
      </rPr>
      <t xml:space="preserve">กำหนดค่าและบังคับใช้ </t>
    </r>
    <r>
      <rPr>
        <rFont val="Calibri"/>
        <color theme="1"/>
        <sz val="14.0"/>
      </rPr>
      <t xml:space="preserve">'Detect Unauthorized Commands'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ติดตั้งและตั้งค่า </t>
    </r>
    <r>
      <rPr>
        <rFont val="Calibri"/>
        <color theme="1"/>
        <sz val="14.0"/>
      </rPr>
      <t xml:space="preserve">Anti-malware/EDR (Real-time Scan, </t>
    </r>
    <r>
      <rPr>
        <rFont val="FreeSans"/>
        <color theme="1"/>
        <sz val="14.0"/>
      </rPr>
      <t xml:space="preserve">อัปเดต </t>
    </r>
    <r>
      <rPr>
        <rFont val="Calibri"/>
        <color theme="1"/>
        <sz val="14.0"/>
      </rPr>
      <t xml:space="preserve">Signature, </t>
    </r>
    <r>
      <rPr>
        <rFont val="FreeSans"/>
        <color theme="1"/>
        <sz val="14.0"/>
      </rPr>
      <t>กรองอีเมล</t>
    </r>
    <r>
      <rPr>
        <rFont val="Calibri"/>
        <color theme="1"/>
        <sz val="14.0"/>
      </rPr>
      <t>/</t>
    </r>
    <r>
      <rPr>
        <rFont val="FreeSans"/>
        <color theme="1"/>
        <sz val="14.0"/>
      </rPr>
      <t>เว็บ</t>
    </r>
    <r>
      <rPr>
        <rFont val="Calibri"/>
        <color theme="1"/>
        <sz val="14.0"/>
      </rPr>
      <t>)</t>
    </r>
  </si>
  <si>
    <t>ESBIT-SI-03(10)</t>
  </si>
  <si>
    <t>SI-03(10)</t>
  </si>
  <si>
    <t>Malicious Code Protection | Malicious Code Analysis</t>
  </si>
  <si>
    <t>Enhances SI-03 (Malicious Code Protection): configure and enforce 'Malicious Code Analysis' in addition to the base setting, keep it consistent across applicable systems and document approved exceptions. Base scope: Deploy and configure anti-malware/EDR with real-time scan, signature updates and email/web filtering</t>
  </si>
  <si>
    <r>
      <rPr>
        <rFont val="FreeSans"/>
        <color theme="1"/>
        <sz val="14.0"/>
      </rPr>
      <t xml:space="preserve">ส่วนขยายของ </t>
    </r>
    <r>
      <rPr>
        <rFont val="Calibri"/>
        <color theme="1"/>
        <sz val="14.0"/>
      </rPr>
      <t xml:space="preserve">SI-03: </t>
    </r>
    <r>
      <rPr>
        <rFont val="FreeSans"/>
        <color theme="1"/>
        <sz val="14.0"/>
      </rPr>
      <t xml:space="preserve">กำหนดค่าและบังคับใช้ </t>
    </r>
    <r>
      <rPr>
        <rFont val="Calibri"/>
        <color theme="1"/>
        <sz val="14.0"/>
      </rPr>
      <t xml:space="preserve">'Malicious Code Analysis'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ติดตั้งและตั้งค่า </t>
    </r>
    <r>
      <rPr>
        <rFont val="Calibri"/>
        <color theme="1"/>
        <sz val="14.0"/>
      </rPr>
      <t xml:space="preserve">Anti-malware/EDR (Real-time Scan, </t>
    </r>
    <r>
      <rPr>
        <rFont val="FreeSans"/>
        <color theme="1"/>
        <sz val="14.0"/>
      </rPr>
      <t xml:space="preserve">อัปเดต </t>
    </r>
    <r>
      <rPr>
        <rFont val="Calibri"/>
        <color theme="1"/>
        <sz val="14.0"/>
      </rPr>
      <t xml:space="preserve">Signature, </t>
    </r>
    <r>
      <rPr>
        <rFont val="FreeSans"/>
        <color theme="1"/>
        <sz val="14.0"/>
      </rPr>
      <t>กรองอีเมล</t>
    </r>
    <r>
      <rPr>
        <rFont val="Calibri"/>
        <color theme="1"/>
        <sz val="14.0"/>
      </rPr>
      <t>/</t>
    </r>
    <r>
      <rPr>
        <rFont val="FreeSans"/>
        <color theme="1"/>
        <sz val="14.0"/>
      </rPr>
      <t>เว็บ</t>
    </r>
    <r>
      <rPr>
        <rFont val="Calibri"/>
        <color theme="1"/>
        <sz val="14.0"/>
      </rPr>
      <t>)</t>
    </r>
  </si>
  <si>
    <t>ESBIT-SI-04</t>
  </si>
  <si>
    <t>SI-04</t>
  </si>
  <si>
    <t>System Monitoring</t>
  </si>
  <si>
    <t>Configure IDS/IPS, NDR/EDR, SIEM monitoring and alerting for inbound/outbound traffic and host activity</t>
  </si>
  <si>
    <r>
      <rPr>
        <rFont val="FreeSans"/>
        <color theme="1"/>
        <sz val="14.0"/>
      </rPr>
      <t xml:space="preserve">ตั้งค่า </t>
    </r>
    <r>
      <rPr>
        <rFont val="Calibri"/>
        <color theme="1"/>
        <sz val="14.0"/>
      </rPr>
      <t xml:space="preserve">IDS/IPS, NDR/EDR, </t>
    </r>
    <r>
      <rPr>
        <rFont val="FreeSans"/>
        <color theme="1"/>
        <sz val="14.0"/>
      </rPr>
      <t xml:space="preserve">การเฝ้าระวังและแจ้งเตือนของ </t>
    </r>
    <r>
      <rPr>
        <rFont val="Calibri"/>
        <color theme="1"/>
        <sz val="14.0"/>
      </rPr>
      <t xml:space="preserve">SIEM </t>
    </r>
    <r>
      <rPr>
        <rFont val="FreeSans"/>
        <color theme="1"/>
        <sz val="14.0"/>
      </rPr>
      <t>สำหรับทราฟฟิกและกิจกรรมบนโฮสต์</t>
    </r>
  </si>
  <si>
    <t>Logging &amp; Monitoring, Network, Infrastructure (Server/OS)</t>
  </si>
  <si>
    <t>ESBIT-SI-04(01)</t>
  </si>
  <si>
    <t>SI-04(01)</t>
  </si>
  <si>
    <t>System Monitoring | System-wide Intrusion Detection System</t>
  </si>
  <si>
    <t>Enhances SI-04 (System Monitoring): configure and enforce 'System-wide Intrusion Detection System' in addition to the base setting, keep it consistent across applicable systems and document approved exceptions. Base scope: Configure IDS/IPS, NDR/EDR, SIEM monitoring and alerting for inbound/outbound traffic and host activity</t>
  </si>
  <si>
    <r>
      <rPr>
        <rFont val="FreeSans"/>
        <color theme="1"/>
        <sz val="14.0"/>
      </rPr>
      <t xml:space="preserve">ส่วนขยายของ </t>
    </r>
    <r>
      <rPr>
        <rFont val="Calibri"/>
        <color theme="1"/>
        <sz val="14.0"/>
      </rPr>
      <t xml:space="preserve">SI-04: </t>
    </r>
    <r>
      <rPr>
        <rFont val="FreeSans"/>
        <color theme="1"/>
        <sz val="14.0"/>
      </rPr>
      <t xml:space="preserve">กำหนดค่าและบังคับใช้ </t>
    </r>
    <r>
      <rPr>
        <rFont val="Calibri"/>
        <color theme="1"/>
        <sz val="14.0"/>
      </rPr>
      <t xml:space="preserve">'System-wide Intrusion Detection System'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IDS/IPS, NDR/EDR, </t>
    </r>
    <r>
      <rPr>
        <rFont val="FreeSans"/>
        <color theme="1"/>
        <sz val="14.0"/>
      </rPr>
      <t xml:space="preserve">การเฝ้าระวังและแจ้งเตือนของ </t>
    </r>
    <r>
      <rPr>
        <rFont val="Calibri"/>
        <color theme="1"/>
        <sz val="14.0"/>
      </rPr>
      <t xml:space="preserve">SIEM </t>
    </r>
    <r>
      <rPr>
        <rFont val="FreeSans"/>
        <color theme="1"/>
        <sz val="14.0"/>
      </rPr>
      <t>สำหรับทราฟฟิกและกิจกรรมบนโฮสต์</t>
    </r>
  </si>
  <si>
    <t>ESBIT-SI-04(02)</t>
  </si>
  <si>
    <t>SI-04(02)</t>
  </si>
  <si>
    <t>System Monitoring | Automated Tools and Mechanisms for Real-time Analysis</t>
  </si>
  <si>
    <t>Enhances SI-04 (System Monitoring): configure and enforce 'Automated Tools and Mechanisms for Real-time Analysis' in addition to the base setting, keep it consistent across applicable systems and document approved exceptions. Base scope: Configure IDS/IPS, NDR/EDR, SIEM monitoring and alerting for inbound/outbound traffic and host activity</t>
  </si>
  <si>
    <r>
      <rPr>
        <rFont val="FreeSans"/>
        <color theme="1"/>
        <sz val="14.0"/>
      </rPr>
      <t xml:space="preserve">ส่วนขยายของ </t>
    </r>
    <r>
      <rPr>
        <rFont val="Calibri"/>
        <color theme="1"/>
        <sz val="14.0"/>
      </rPr>
      <t xml:space="preserve">SI-04: </t>
    </r>
    <r>
      <rPr>
        <rFont val="FreeSans"/>
        <color theme="1"/>
        <sz val="14.0"/>
      </rPr>
      <t xml:space="preserve">กำหนดค่าและบังคับใช้ </t>
    </r>
    <r>
      <rPr>
        <rFont val="Calibri"/>
        <color theme="1"/>
        <sz val="14.0"/>
      </rPr>
      <t xml:space="preserve">'Automated Tools and Mechanisms for Real-time Analysis'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IDS/IPS, NDR/EDR, </t>
    </r>
    <r>
      <rPr>
        <rFont val="FreeSans"/>
        <color theme="1"/>
        <sz val="14.0"/>
      </rPr>
      <t xml:space="preserve">การเฝ้าระวังและแจ้งเตือนของ </t>
    </r>
    <r>
      <rPr>
        <rFont val="Calibri"/>
        <color theme="1"/>
        <sz val="14.0"/>
      </rPr>
      <t xml:space="preserve">SIEM </t>
    </r>
    <r>
      <rPr>
        <rFont val="FreeSans"/>
        <color theme="1"/>
        <sz val="14.0"/>
      </rPr>
      <t>สำหรับทราฟฟิกและกิจกรรมบนโฮสต์</t>
    </r>
  </si>
  <si>
    <t>ESBIT-SI-04(03)</t>
  </si>
  <si>
    <t>SI-04(03)</t>
  </si>
  <si>
    <t>System Monitoring | Automated Tool and Mechanism Integration</t>
  </si>
  <si>
    <t>Enhances SI-04 (System Monitoring): configure and enforce 'Automated Tool and Mechanism Integration' in addition to the base setting, keep it consistent across applicable systems and document approved exceptions. Base scope: Configure IDS/IPS, NDR/EDR, SIEM monitoring and alerting for inbound/outbound traffic and host activity</t>
  </si>
  <si>
    <r>
      <rPr>
        <rFont val="FreeSans"/>
        <color theme="1"/>
        <sz val="14.0"/>
      </rPr>
      <t xml:space="preserve">ส่วนขยายของ </t>
    </r>
    <r>
      <rPr>
        <rFont val="Calibri"/>
        <color theme="1"/>
        <sz val="14.0"/>
      </rPr>
      <t xml:space="preserve">SI-04: </t>
    </r>
    <r>
      <rPr>
        <rFont val="FreeSans"/>
        <color theme="1"/>
        <sz val="14.0"/>
      </rPr>
      <t xml:space="preserve">กำหนดค่าและบังคับใช้ </t>
    </r>
    <r>
      <rPr>
        <rFont val="Calibri"/>
        <color theme="1"/>
        <sz val="14.0"/>
      </rPr>
      <t xml:space="preserve">'Automated Tool and Mechanism Integration'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IDS/IPS, NDR/EDR, </t>
    </r>
    <r>
      <rPr>
        <rFont val="FreeSans"/>
        <color theme="1"/>
        <sz val="14.0"/>
      </rPr>
      <t xml:space="preserve">การเฝ้าระวังและแจ้งเตือนของ </t>
    </r>
    <r>
      <rPr>
        <rFont val="Calibri"/>
        <color theme="1"/>
        <sz val="14.0"/>
      </rPr>
      <t xml:space="preserve">SIEM </t>
    </r>
    <r>
      <rPr>
        <rFont val="FreeSans"/>
        <color theme="1"/>
        <sz val="14.0"/>
      </rPr>
      <t>สำหรับทราฟฟิกและกิจกรรมบนโฮสต์</t>
    </r>
  </si>
  <si>
    <t>ESBIT-SI-04(04)</t>
  </si>
  <si>
    <t>SI-04(04)</t>
  </si>
  <si>
    <t>System Monitoring | Inbound and Outbound Communications Traffic</t>
  </si>
  <si>
    <t>Enhances SI-04 (System Monitoring): configure and enforce 'Inbound and Outbound Communications Traffic' in addition to the base setting, keep it consistent across applicable systems and document approved exceptions. Base scope: Configure IDS/IPS, NDR/EDR, SIEM monitoring and alerting for inbound/outbound traffic and host activity</t>
  </si>
  <si>
    <r>
      <rPr>
        <rFont val="FreeSans"/>
        <color theme="1"/>
        <sz val="14.0"/>
      </rPr>
      <t xml:space="preserve">ส่วนขยายของ </t>
    </r>
    <r>
      <rPr>
        <rFont val="Calibri"/>
        <color theme="1"/>
        <sz val="14.0"/>
      </rPr>
      <t xml:space="preserve">SI-04: </t>
    </r>
    <r>
      <rPr>
        <rFont val="FreeSans"/>
        <color theme="1"/>
        <sz val="14.0"/>
      </rPr>
      <t xml:space="preserve">กำหนดค่าและบังคับใช้ </t>
    </r>
    <r>
      <rPr>
        <rFont val="Calibri"/>
        <color theme="1"/>
        <sz val="14.0"/>
      </rPr>
      <t xml:space="preserve">'Inbound and Outbound Communications Traffic'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IDS/IPS, NDR/EDR, </t>
    </r>
    <r>
      <rPr>
        <rFont val="FreeSans"/>
        <color theme="1"/>
        <sz val="14.0"/>
      </rPr>
      <t xml:space="preserve">การเฝ้าระวังและแจ้งเตือนของ </t>
    </r>
    <r>
      <rPr>
        <rFont val="Calibri"/>
        <color theme="1"/>
        <sz val="14.0"/>
      </rPr>
      <t xml:space="preserve">SIEM </t>
    </r>
    <r>
      <rPr>
        <rFont val="FreeSans"/>
        <color theme="1"/>
        <sz val="14.0"/>
      </rPr>
      <t>สำหรับทราฟฟิกและกิจกรรมบนโฮสต์</t>
    </r>
  </si>
  <si>
    <t>ESBIT-SI-04(05)</t>
  </si>
  <si>
    <t>SI-04(05)</t>
  </si>
  <si>
    <t>System Monitoring | System-generated Alerts</t>
  </si>
  <si>
    <t>Enhances SI-04 (System Monitoring): configure and enforce 'System-generated Alerts' in addition to the base setting, keep it consistent across applicable systems and document approved exceptions. Base scope: Configure IDS/IPS, NDR/EDR, SIEM monitoring and alerting for inbound/outbound traffic and host activity</t>
  </si>
  <si>
    <r>
      <rPr>
        <rFont val="FreeSans"/>
        <color theme="1"/>
        <sz val="14.0"/>
      </rPr>
      <t xml:space="preserve">ส่วนขยายของ </t>
    </r>
    <r>
      <rPr>
        <rFont val="Calibri"/>
        <color theme="1"/>
        <sz val="14.0"/>
      </rPr>
      <t xml:space="preserve">SI-04: </t>
    </r>
    <r>
      <rPr>
        <rFont val="FreeSans"/>
        <color theme="1"/>
        <sz val="14.0"/>
      </rPr>
      <t xml:space="preserve">กำหนดค่าและบังคับใช้ </t>
    </r>
    <r>
      <rPr>
        <rFont val="Calibri"/>
        <color theme="1"/>
        <sz val="14.0"/>
      </rPr>
      <t xml:space="preserve">'System-generated Alerts'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IDS/IPS, NDR/EDR, </t>
    </r>
    <r>
      <rPr>
        <rFont val="FreeSans"/>
        <color theme="1"/>
        <sz val="14.0"/>
      </rPr>
      <t xml:space="preserve">การเฝ้าระวังและแจ้งเตือนของ </t>
    </r>
    <r>
      <rPr>
        <rFont val="Calibri"/>
        <color theme="1"/>
        <sz val="14.0"/>
      </rPr>
      <t xml:space="preserve">SIEM </t>
    </r>
    <r>
      <rPr>
        <rFont val="FreeSans"/>
        <color theme="1"/>
        <sz val="14.0"/>
      </rPr>
      <t>สำหรับทราฟฟิกและกิจกรรมบนโฮสต์</t>
    </r>
  </si>
  <si>
    <t>ESBIT-SI-04(07)</t>
  </si>
  <si>
    <t>SI-04(07)</t>
  </si>
  <si>
    <t>System Monitoring | Automated Response to Suspicious Events</t>
  </si>
  <si>
    <t>Enhances SI-04 (System Monitoring): configure and enforce 'Automated Response to Suspicious Events' in addition to the base setting, keep it consistent across applicable systems and document approved exceptions. Base scope: Configure IDS/IPS, NDR/EDR, SIEM monitoring and alerting for inbound/outbound traffic and host activity</t>
  </si>
  <si>
    <r>
      <rPr>
        <rFont val="FreeSans"/>
        <color theme="1"/>
        <sz val="14.0"/>
      </rPr>
      <t xml:space="preserve">ส่วนขยายของ </t>
    </r>
    <r>
      <rPr>
        <rFont val="Calibri"/>
        <color theme="1"/>
        <sz val="14.0"/>
      </rPr>
      <t xml:space="preserve">SI-04: </t>
    </r>
    <r>
      <rPr>
        <rFont val="FreeSans"/>
        <color theme="1"/>
        <sz val="14.0"/>
      </rPr>
      <t xml:space="preserve">กำหนดค่าและบังคับใช้ </t>
    </r>
    <r>
      <rPr>
        <rFont val="Calibri"/>
        <color theme="1"/>
        <sz val="14.0"/>
      </rPr>
      <t xml:space="preserve">'Automated Response to Suspicious Events'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IDS/IPS, NDR/EDR, </t>
    </r>
    <r>
      <rPr>
        <rFont val="FreeSans"/>
        <color theme="1"/>
        <sz val="14.0"/>
      </rPr>
      <t xml:space="preserve">การเฝ้าระวังและแจ้งเตือนของ </t>
    </r>
    <r>
      <rPr>
        <rFont val="Calibri"/>
        <color theme="1"/>
        <sz val="14.0"/>
      </rPr>
      <t xml:space="preserve">SIEM </t>
    </r>
    <r>
      <rPr>
        <rFont val="FreeSans"/>
        <color theme="1"/>
        <sz val="14.0"/>
      </rPr>
      <t>สำหรับทราฟฟิกและกิจกรรมบนโฮสต์</t>
    </r>
  </si>
  <si>
    <t>ESBIT-SI-04(09)</t>
  </si>
  <si>
    <t>SI-04(09)</t>
  </si>
  <si>
    <t>System Monitoring | Testing of Monitoring Tools and Mechanisms</t>
  </si>
  <si>
    <t>Enhances SI-04 (System Monitoring): configure and enforce 'Testing of Monitoring Tools and Mechanisms' in addition to the base setting, keep it consistent across applicable systems and document approved exceptions. Base scope: Configure IDS/IPS, NDR/EDR, SIEM monitoring and alerting for inbound/outbound traffic and host activity</t>
  </si>
  <si>
    <r>
      <rPr>
        <rFont val="FreeSans"/>
        <color theme="1"/>
        <sz val="14.0"/>
      </rPr>
      <t xml:space="preserve">ส่วนขยายของ </t>
    </r>
    <r>
      <rPr>
        <rFont val="Calibri"/>
        <color theme="1"/>
        <sz val="14.0"/>
      </rPr>
      <t xml:space="preserve">SI-04: </t>
    </r>
    <r>
      <rPr>
        <rFont val="FreeSans"/>
        <color theme="1"/>
        <sz val="14.0"/>
      </rPr>
      <t xml:space="preserve">กำหนดค่าและบังคับใช้ </t>
    </r>
    <r>
      <rPr>
        <rFont val="Calibri"/>
        <color theme="1"/>
        <sz val="14.0"/>
      </rPr>
      <t xml:space="preserve">'Testing of Monitoring Tools and Mechanisms'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IDS/IPS, NDR/EDR, </t>
    </r>
    <r>
      <rPr>
        <rFont val="FreeSans"/>
        <color theme="1"/>
        <sz val="14.0"/>
      </rPr>
      <t xml:space="preserve">การเฝ้าระวังและแจ้งเตือนของ </t>
    </r>
    <r>
      <rPr>
        <rFont val="Calibri"/>
        <color theme="1"/>
        <sz val="14.0"/>
      </rPr>
      <t xml:space="preserve">SIEM </t>
    </r>
    <r>
      <rPr>
        <rFont val="FreeSans"/>
        <color theme="1"/>
        <sz val="14.0"/>
      </rPr>
      <t>สำหรับทราฟฟิกและกิจกรรมบนโฮสต์</t>
    </r>
  </si>
  <si>
    <t>ESBIT-SI-04(10)</t>
  </si>
  <si>
    <t>SI-04(10)</t>
  </si>
  <si>
    <t>System Monitoring | Visibility of Encrypted Communications</t>
  </si>
  <si>
    <t>Enhances SI-04 (System Monitoring): configure and enforce 'Visibility of Encrypted Communications' in addition to the base setting, keep it consistent across applicable systems and document approved exceptions. Base scope: Configure IDS/IPS, NDR/EDR, SIEM monitoring and alerting for inbound/outbound traffic and host activity</t>
  </si>
  <si>
    <r>
      <rPr>
        <rFont val="FreeSans"/>
        <color theme="1"/>
        <sz val="14.0"/>
      </rPr>
      <t xml:space="preserve">ส่วนขยายของ </t>
    </r>
    <r>
      <rPr>
        <rFont val="Calibri"/>
        <color theme="1"/>
        <sz val="14.0"/>
      </rPr>
      <t xml:space="preserve">SI-04: </t>
    </r>
    <r>
      <rPr>
        <rFont val="FreeSans"/>
        <color theme="1"/>
        <sz val="14.0"/>
      </rPr>
      <t xml:space="preserve">กำหนดค่าและบังคับใช้ </t>
    </r>
    <r>
      <rPr>
        <rFont val="Calibri"/>
        <color theme="1"/>
        <sz val="14.0"/>
      </rPr>
      <t xml:space="preserve">'Visibility of Encrypted Communications'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IDS/IPS, NDR/EDR, </t>
    </r>
    <r>
      <rPr>
        <rFont val="FreeSans"/>
        <color theme="1"/>
        <sz val="14.0"/>
      </rPr>
      <t xml:space="preserve">การเฝ้าระวังและแจ้งเตือนของ </t>
    </r>
    <r>
      <rPr>
        <rFont val="Calibri"/>
        <color theme="1"/>
        <sz val="14.0"/>
      </rPr>
      <t xml:space="preserve">SIEM </t>
    </r>
    <r>
      <rPr>
        <rFont val="FreeSans"/>
        <color theme="1"/>
        <sz val="14.0"/>
      </rPr>
      <t>สำหรับทราฟฟิกและกิจกรรมบนโฮสต์</t>
    </r>
  </si>
  <si>
    <t>ESBIT-SI-04(11)</t>
  </si>
  <si>
    <t>SI-04(11)</t>
  </si>
  <si>
    <t>System Monitoring | Analyze Communications Traffic Anomalies</t>
  </si>
  <si>
    <t>Enhances SI-04 (System Monitoring): configure and enforce 'Analyze Communications Traffic Anomalies' in addition to the base setting, keep it consistent across applicable systems and document approved exceptions. Base scope: Configure IDS/IPS, NDR/EDR, SIEM monitoring and alerting for inbound/outbound traffic and host activity</t>
  </si>
  <si>
    <r>
      <rPr>
        <rFont val="FreeSans"/>
        <color theme="1"/>
        <sz val="14.0"/>
      </rPr>
      <t xml:space="preserve">ส่วนขยายของ </t>
    </r>
    <r>
      <rPr>
        <rFont val="Calibri"/>
        <color theme="1"/>
        <sz val="14.0"/>
      </rPr>
      <t xml:space="preserve">SI-04: </t>
    </r>
    <r>
      <rPr>
        <rFont val="FreeSans"/>
        <color theme="1"/>
        <sz val="14.0"/>
      </rPr>
      <t xml:space="preserve">กำหนดค่าและบังคับใช้ </t>
    </r>
    <r>
      <rPr>
        <rFont val="Calibri"/>
        <color theme="1"/>
        <sz val="14.0"/>
      </rPr>
      <t xml:space="preserve">'Analyze Communications Traffic Anomalies'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IDS/IPS, NDR/EDR, </t>
    </r>
    <r>
      <rPr>
        <rFont val="FreeSans"/>
        <color theme="1"/>
        <sz val="14.0"/>
      </rPr>
      <t xml:space="preserve">การเฝ้าระวังและแจ้งเตือนของ </t>
    </r>
    <r>
      <rPr>
        <rFont val="Calibri"/>
        <color theme="1"/>
        <sz val="14.0"/>
      </rPr>
      <t xml:space="preserve">SIEM </t>
    </r>
    <r>
      <rPr>
        <rFont val="FreeSans"/>
        <color theme="1"/>
        <sz val="14.0"/>
      </rPr>
      <t>สำหรับทราฟฟิกและกิจกรรมบนโฮสต์</t>
    </r>
  </si>
  <si>
    <t>ESBIT-SI-04(12)</t>
  </si>
  <si>
    <t>SI-04(12)</t>
  </si>
  <si>
    <t>System Monitoring | Automated Organization-generated Alerts</t>
  </si>
  <si>
    <t>Enhances SI-04 (System Monitoring): configure and enforce 'Automated Organization-generated Alerts' in addition to the base setting, keep it consistent across applicable systems and document approved exceptions. Base scope: Configure IDS/IPS, NDR/EDR, SIEM monitoring and alerting for inbound/outbound traffic and host activity</t>
  </si>
  <si>
    <r>
      <rPr>
        <rFont val="FreeSans"/>
        <color theme="1"/>
        <sz val="14.0"/>
      </rPr>
      <t xml:space="preserve">ส่วนขยายของ </t>
    </r>
    <r>
      <rPr>
        <rFont val="Calibri"/>
        <color theme="1"/>
        <sz val="14.0"/>
      </rPr>
      <t xml:space="preserve">SI-04: </t>
    </r>
    <r>
      <rPr>
        <rFont val="FreeSans"/>
        <color theme="1"/>
        <sz val="14.0"/>
      </rPr>
      <t xml:space="preserve">กำหนดค่าและบังคับใช้ </t>
    </r>
    <r>
      <rPr>
        <rFont val="Calibri"/>
        <color theme="1"/>
        <sz val="14.0"/>
      </rPr>
      <t xml:space="preserve">'Automated Organization-generated Alerts'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IDS/IPS, NDR/EDR, </t>
    </r>
    <r>
      <rPr>
        <rFont val="FreeSans"/>
        <color theme="1"/>
        <sz val="14.0"/>
      </rPr>
      <t xml:space="preserve">การเฝ้าระวังและแจ้งเตือนของ </t>
    </r>
    <r>
      <rPr>
        <rFont val="Calibri"/>
        <color theme="1"/>
        <sz val="14.0"/>
      </rPr>
      <t xml:space="preserve">SIEM </t>
    </r>
    <r>
      <rPr>
        <rFont val="FreeSans"/>
        <color theme="1"/>
        <sz val="14.0"/>
      </rPr>
      <t>สำหรับทราฟฟิกและกิจกรรมบนโฮสต์</t>
    </r>
  </si>
  <si>
    <t>ESBIT-SI-04(13)</t>
  </si>
  <si>
    <t>SI-04(13)</t>
  </si>
  <si>
    <t>System Monitoring | Analyze Traffic and Event Patterns</t>
  </si>
  <si>
    <t>Enhances SI-04 (System Monitoring): configure and enforce 'Analyze Traffic and Event Patterns' in addition to the base setting, keep it consistent across applicable systems and document approved exceptions. Base scope: Configure IDS/IPS, NDR/EDR, SIEM monitoring and alerting for inbound/outbound traffic and host activity</t>
  </si>
  <si>
    <r>
      <rPr>
        <rFont val="FreeSans"/>
        <color theme="1"/>
        <sz val="14.0"/>
      </rPr>
      <t xml:space="preserve">ส่วนขยายของ </t>
    </r>
    <r>
      <rPr>
        <rFont val="Calibri"/>
        <color theme="1"/>
        <sz val="14.0"/>
      </rPr>
      <t xml:space="preserve">SI-04: </t>
    </r>
    <r>
      <rPr>
        <rFont val="FreeSans"/>
        <color theme="1"/>
        <sz val="14.0"/>
      </rPr>
      <t xml:space="preserve">กำหนดค่าและบังคับใช้ </t>
    </r>
    <r>
      <rPr>
        <rFont val="Calibri"/>
        <color theme="1"/>
        <sz val="14.0"/>
      </rPr>
      <t xml:space="preserve">'Analyze Traffic and Event Patterns'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IDS/IPS, NDR/EDR, </t>
    </r>
    <r>
      <rPr>
        <rFont val="FreeSans"/>
        <color theme="1"/>
        <sz val="14.0"/>
      </rPr>
      <t xml:space="preserve">การเฝ้าระวังและแจ้งเตือนของ </t>
    </r>
    <r>
      <rPr>
        <rFont val="Calibri"/>
        <color theme="1"/>
        <sz val="14.0"/>
      </rPr>
      <t xml:space="preserve">SIEM </t>
    </r>
    <r>
      <rPr>
        <rFont val="FreeSans"/>
        <color theme="1"/>
        <sz val="14.0"/>
      </rPr>
      <t>สำหรับทราฟฟิกและกิจกรรมบนโฮสต์</t>
    </r>
  </si>
  <si>
    <t>ESBIT-SI-04(14)</t>
  </si>
  <si>
    <t>SI-04(14)</t>
  </si>
  <si>
    <t>System Monitoring | Wireless Intrusion Detection</t>
  </si>
  <si>
    <t>Enhances SI-04 (System Monitoring): configure and enforce 'Wireless Intrusion Detection' in addition to the base setting, keep it consistent across applicable systems and document approved exceptions. Base scope: Configure IDS/IPS, NDR/EDR, SIEM monitoring and alerting for inbound/outbound traffic and host activity</t>
  </si>
  <si>
    <r>
      <rPr>
        <rFont val="FreeSans"/>
        <color theme="1"/>
        <sz val="14.0"/>
      </rPr>
      <t xml:space="preserve">ส่วนขยายของ </t>
    </r>
    <r>
      <rPr>
        <rFont val="Calibri"/>
        <color theme="1"/>
        <sz val="14.0"/>
      </rPr>
      <t xml:space="preserve">SI-04: </t>
    </r>
    <r>
      <rPr>
        <rFont val="FreeSans"/>
        <color theme="1"/>
        <sz val="14.0"/>
      </rPr>
      <t xml:space="preserve">กำหนดค่าและบังคับใช้ </t>
    </r>
    <r>
      <rPr>
        <rFont val="Calibri"/>
        <color theme="1"/>
        <sz val="14.0"/>
      </rPr>
      <t xml:space="preserve">'Wireless Intrusion Detection'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IDS/IPS, NDR/EDR, </t>
    </r>
    <r>
      <rPr>
        <rFont val="FreeSans"/>
        <color theme="1"/>
        <sz val="14.0"/>
      </rPr>
      <t xml:space="preserve">การเฝ้าระวังและแจ้งเตือนของ </t>
    </r>
    <r>
      <rPr>
        <rFont val="Calibri"/>
        <color theme="1"/>
        <sz val="14.0"/>
      </rPr>
      <t xml:space="preserve">SIEM </t>
    </r>
    <r>
      <rPr>
        <rFont val="FreeSans"/>
        <color theme="1"/>
        <sz val="14.0"/>
      </rPr>
      <t>สำหรับทราฟฟิกและกิจกรรมบนโฮสต์</t>
    </r>
  </si>
  <si>
    <t>ESBIT-SI-04(15)</t>
  </si>
  <si>
    <t>SI-04(15)</t>
  </si>
  <si>
    <t>System Monitoring | Wireless to Wireline Communications</t>
  </si>
  <si>
    <t>Enhances SI-04 (System Monitoring): configure and enforce 'Wireless to Wireline Communications' in addition to the base setting, keep it consistent across applicable systems and document approved exceptions. Base scope: Configure IDS/IPS, NDR/EDR, SIEM monitoring and alerting for inbound/outbound traffic and host activity</t>
  </si>
  <si>
    <r>
      <rPr>
        <rFont val="FreeSans"/>
        <color theme="1"/>
        <sz val="14.0"/>
      </rPr>
      <t xml:space="preserve">ส่วนขยายของ </t>
    </r>
    <r>
      <rPr>
        <rFont val="Calibri"/>
        <color theme="1"/>
        <sz val="14.0"/>
      </rPr>
      <t xml:space="preserve">SI-04: </t>
    </r>
    <r>
      <rPr>
        <rFont val="FreeSans"/>
        <color theme="1"/>
        <sz val="14.0"/>
      </rPr>
      <t xml:space="preserve">กำหนดค่าและบังคับใช้ </t>
    </r>
    <r>
      <rPr>
        <rFont val="Calibri"/>
        <color theme="1"/>
        <sz val="14.0"/>
      </rPr>
      <t xml:space="preserve">'Wireless to Wireline Communications'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IDS/IPS, NDR/EDR, </t>
    </r>
    <r>
      <rPr>
        <rFont val="FreeSans"/>
        <color theme="1"/>
        <sz val="14.0"/>
      </rPr>
      <t xml:space="preserve">การเฝ้าระวังและแจ้งเตือนของ </t>
    </r>
    <r>
      <rPr>
        <rFont val="Calibri"/>
        <color theme="1"/>
        <sz val="14.0"/>
      </rPr>
      <t xml:space="preserve">SIEM </t>
    </r>
    <r>
      <rPr>
        <rFont val="FreeSans"/>
        <color theme="1"/>
        <sz val="14.0"/>
      </rPr>
      <t>สำหรับทราฟฟิกและกิจกรรมบนโฮสต์</t>
    </r>
  </si>
  <si>
    <t>ESBIT-SI-04(16)</t>
  </si>
  <si>
    <t>SI-04(16)</t>
  </si>
  <si>
    <t>System Monitoring | Correlate Monitoring Information</t>
  </si>
  <si>
    <t>Enhances SI-04 (System Monitoring): configure and enforce 'Correlate Monitoring Information' in addition to the base setting, keep it consistent across applicable systems and document approved exceptions. Base scope: Configure IDS/IPS, NDR/EDR, SIEM monitoring and alerting for inbound/outbound traffic and host activity</t>
  </si>
  <si>
    <r>
      <rPr>
        <rFont val="FreeSans"/>
        <color theme="1"/>
        <sz val="14.0"/>
      </rPr>
      <t xml:space="preserve">ส่วนขยายของ </t>
    </r>
    <r>
      <rPr>
        <rFont val="Calibri"/>
        <color theme="1"/>
        <sz val="14.0"/>
      </rPr>
      <t xml:space="preserve">SI-04: </t>
    </r>
    <r>
      <rPr>
        <rFont val="FreeSans"/>
        <color theme="1"/>
        <sz val="14.0"/>
      </rPr>
      <t xml:space="preserve">กำหนดค่าและบังคับใช้ </t>
    </r>
    <r>
      <rPr>
        <rFont val="Calibri"/>
        <color theme="1"/>
        <sz val="14.0"/>
      </rPr>
      <t xml:space="preserve">'Correlate Monitoring Information'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IDS/IPS, NDR/EDR, </t>
    </r>
    <r>
      <rPr>
        <rFont val="FreeSans"/>
        <color theme="1"/>
        <sz val="14.0"/>
      </rPr>
      <t xml:space="preserve">การเฝ้าระวังและแจ้งเตือนของ </t>
    </r>
    <r>
      <rPr>
        <rFont val="Calibri"/>
        <color theme="1"/>
        <sz val="14.0"/>
      </rPr>
      <t xml:space="preserve">SIEM </t>
    </r>
    <r>
      <rPr>
        <rFont val="FreeSans"/>
        <color theme="1"/>
        <sz val="14.0"/>
      </rPr>
      <t>สำหรับทราฟฟิกและกิจกรรมบนโฮสต์</t>
    </r>
  </si>
  <si>
    <t>ESBIT-SI-04(17)</t>
  </si>
  <si>
    <t>SI-04(17)</t>
  </si>
  <si>
    <t>System Monitoring | Integrated Situational Awareness</t>
  </si>
  <si>
    <t>Enhances SI-04 (System Monitoring): configure and enforce 'Integrated Situational Awareness' in addition to the base setting, keep it consistent across applicable systems and document approved exceptions. Base scope: Configure IDS/IPS, NDR/EDR, SIEM monitoring and alerting for inbound/outbound traffic and host activity</t>
  </si>
  <si>
    <r>
      <rPr>
        <rFont val="FreeSans"/>
        <color theme="1"/>
        <sz val="14.0"/>
      </rPr>
      <t xml:space="preserve">ส่วนขยายของ </t>
    </r>
    <r>
      <rPr>
        <rFont val="Calibri"/>
        <color theme="1"/>
        <sz val="14.0"/>
      </rPr>
      <t xml:space="preserve">SI-04: </t>
    </r>
    <r>
      <rPr>
        <rFont val="FreeSans"/>
        <color theme="1"/>
        <sz val="14.0"/>
      </rPr>
      <t xml:space="preserve">กำหนดค่าและบังคับใช้ </t>
    </r>
    <r>
      <rPr>
        <rFont val="Calibri"/>
        <color theme="1"/>
        <sz val="14.0"/>
      </rPr>
      <t xml:space="preserve">'Integrated Situational Awareness'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IDS/IPS, NDR/EDR, </t>
    </r>
    <r>
      <rPr>
        <rFont val="FreeSans"/>
        <color theme="1"/>
        <sz val="14.0"/>
      </rPr>
      <t xml:space="preserve">การเฝ้าระวังและแจ้งเตือนของ </t>
    </r>
    <r>
      <rPr>
        <rFont val="Calibri"/>
        <color theme="1"/>
        <sz val="14.0"/>
      </rPr>
      <t xml:space="preserve">SIEM </t>
    </r>
    <r>
      <rPr>
        <rFont val="FreeSans"/>
        <color theme="1"/>
        <sz val="14.0"/>
      </rPr>
      <t>สำหรับทราฟฟิกและกิจกรรมบนโฮสต์</t>
    </r>
  </si>
  <si>
    <t>ESBIT-SI-04(18)</t>
  </si>
  <si>
    <t>SI-04(18)</t>
  </si>
  <si>
    <t>System Monitoring | Analyze Traffic and Covert Exfiltration</t>
  </si>
  <si>
    <t>Enhances SI-04 (System Monitoring): configure and enforce 'Analyze Traffic and Covert Exfiltration' in addition to the base setting, keep it consistent across applicable systems and document approved exceptions. Base scope: Configure IDS/IPS, NDR/EDR, SIEM monitoring and alerting for inbound/outbound traffic and host activity</t>
  </si>
  <si>
    <r>
      <rPr>
        <rFont val="FreeSans"/>
        <color theme="1"/>
        <sz val="14.0"/>
      </rPr>
      <t xml:space="preserve">ส่วนขยายของ </t>
    </r>
    <r>
      <rPr>
        <rFont val="Calibri"/>
        <color theme="1"/>
        <sz val="14.0"/>
      </rPr>
      <t xml:space="preserve">SI-04: </t>
    </r>
    <r>
      <rPr>
        <rFont val="FreeSans"/>
        <color theme="1"/>
        <sz val="14.0"/>
      </rPr>
      <t xml:space="preserve">กำหนดค่าและบังคับใช้ </t>
    </r>
    <r>
      <rPr>
        <rFont val="Calibri"/>
        <color theme="1"/>
        <sz val="14.0"/>
      </rPr>
      <t xml:space="preserve">'Analyze Traffic and Covert Exfiltration'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IDS/IPS, NDR/EDR, </t>
    </r>
    <r>
      <rPr>
        <rFont val="FreeSans"/>
        <color theme="1"/>
        <sz val="14.0"/>
      </rPr>
      <t xml:space="preserve">การเฝ้าระวังและแจ้งเตือนของ </t>
    </r>
    <r>
      <rPr>
        <rFont val="Calibri"/>
        <color theme="1"/>
        <sz val="14.0"/>
      </rPr>
      <t xml:space="preserve">SIEM </t>
    </r>
    <r>
      <rPr>
        <rFont val="FreeSans"/>
        <color theme="1"/>
        <sz val="14.0"/>
      </rPr>
      <t>สำหรับทราฟฟิกและกิจกรรมบนโฮสต์</t>
    </r>
  </si>
  <si>
    <t>ESBIT-SI-04(19)</t>
  </si>
  <si>
    <t>SI-04(19)</t>
  </si>
  <si>
    <t>System Monitoring | Risk for Individuals</t>
  </si>
  <si>
    <t>Enhances SI-04 (System Monitoring): configure and enforce 'Risk for Individuals' in addition to the base setting, keep it consistent across applicable systems and document approved exceptions. Base scope: Configure IDS/IPS, NDR/EDR, SIEM monitoring and alerting for inbound/outbound traffic and host activity</t>
  </si>
  <si>
    <r>
      <rPr>
        <rFont val="FreeSans"/>
        <color theme="1"/>
        <sz val="14.0"/>
      </rPr>
      <t xml:space="preserve">ส่วนขยายของ </t>
    </r>
    <r>
      <rPr>
        <rFont val="Calibri"/>
        <color theme="1"/>
        <sz val="14.0"/>
      </rPr>
      <t xml:space="preserve">SI-04: </t>
    </r>
    <r>
      <rPr>
        <rFont val="FreeSans"/>
        <color theme="1"/>
        <sz val="14.0"/>
      </rPr>
      <t xml:space="preserve">กำหนดค่าและบังคับใช้ </t>
    </r>
    <r>
      <rPr>
        <rFont val="Calibri"/>
        <color theme="1"/>
        <sz val="14.0"/>
      </rPr>
      <t xml:space="preserve">'Risk for Individuals'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IDS/IPS, NDR/EDR, </t>
    </r>
    <r>
      <rPr>
        <rFont val="FreeSans"/>
        <color theme="1"/>
        <sz val="14.0"/>
      </rPr>
      <t xml:space="preserve">การเฝ้าระวังและแจ้งเตือนของ </t>
    </r>
    <r>
      <rPr>
        <rFont val="Calibri"/>
        <color theme="1"/>
        <sz val="14.0"/>
      </rPr>
      <t xml:space="preserve">SIEM </t>
    </r>
    <r>
      <rPr>
        <rFont val="FreeSans"/>
        <color theme="1"/>
        <sz val="14.0"/>
      </rPr>
      <t>สำหรับทราฟฟิกและกิจกรรมบนโฮสต์</t>
    </r>
  </si>
  <si>
    <t>ESBIT-SI-04(20)</t>
  </si>
  <si>
    <t>SI-04(20)</t>
  </si>
  <si>
    <t>System Monitoring | Privileged Users</t>
  </si>
  <si>
    <t>Enhances SI-04 (System Monitoring): configure and enforce 'Privileged Users' in addition to the base setting, keep it consistent across applicable systems and document approved exceptions. Base scope: Configure IDS/IPS, NDR/EDR, SIEM monitoring and alerting for inbound/outbound traffic and host activity</t>
  </si>
  <si>
    <r>
      <rPr>
        <rFont val="FreeSans"/>
        <color theme="1"/>
        <sz val="14.0"/>
      </rPr>
      <t xml:space="preserve">ส่วนขยายของ </t>
    </r>
    <r>
      <rPr>
        <rFont val="Calibri"/>
        <color theme="1"/>
        <sz val="14.0"/>
      </rPr>
      <t xml:space="preserve">SI-04: </t>
    </r>
    <r>
      <rPr>
        <rFont val="FreeSans"/>
        <color theme="1"/>
        <sz val="14.0"/>
      </rPr>
      <t xml:space="preserve">กำหนดค่าและบังคับใช้ </t>
    </r>
    <r>
      <rPr>
        <rFont val="Calibri"/>
        <color theme="1"/>
        <sz val="14.0"/>
      </rPr>
      <t xml:space="preserve">'Privileged Users'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IDS/IPS, NDR/EDR, </t>
    </r>
    <r>
      <rPr>
        <rFont val="FreeSans"/>
        <color theme="1"/>
        <sz val="14.0"/>
      </rPr>
      <t xml:space="preserve">การเฝ้าระวังและแจ้งเตือนของ </t>
    </r>
    <r>
      <rPr>
        <rFont val="Calibri"/>
        <color theme="1"/>
        <sz val="14.0"/>
      </rPr>
      <t xml:space="preserve">SIEM </t>
    </r>
    <r>
      <rPr>
        <rFont val="FreeSans"/>
        <color theme="1"/>
        <sz val="14.0"/>
      </rPr>
      <t>สำหรับทราฟฟิกและกิจกรรมบนโฮสต์</t>
    </r>
  </si>
  <si>
    <t>ESBIT-SI-04(21)</t>
  </si>
  <si>
    <t>SI-04(21)</t>
  </si>
  <si>
    <t>System Monitoring | Probationary Periods</t>
  </si>
  <si>
    <t>Enhances SI-04 (System Monitoring): configure and enforce 'Probationary Periods' in addition to the base setting, keep it consistent across applicable systems and document approved exceptions. Base scope: Configure IDS/IPS, NDR/EDR, SIEM monitoring and alerting for inbound/outbound traffic and host activity</t>
  </si>
  <si>
    <r>
      <rPr>
        <rFont val="FreeSans"/>
        <color theme="1"/>
        <sz val="14.0"/>
      </rPr>
      <t xml:space="preserve">ส่วนขยายของ </t>
    </r>
    <r>
      <rPr>
        <rFont val="Calibri"/>
        <color theme="1"/>
        <sz val="14.0"/>
      </rPr>
      <t xml:space="preserve">SI-04: </t>
    </r>
    <r>
      <rPr>
        <rFont val="FreeSans"/>
        <color theme="1"/>
        <sz val="14.0"/>
      </rPr>
      <t xml:space="preserve">กำหนดค่าและบังคับใช้ </t>
    </r>
    <r>
      <rPr>
        <rFont val="Calibri"/>
        <color theme="1"/>
        <sz val="14.0"/>
      </rPr>
      <t xml:space="preserve">'Probationary Periods'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IDS/IPS, NDR/EDR, </t>
    </r>
    <r>
      <rPr>
        <rFont val="FreeSans"/>
        <color theme="1"/>
        <sz val="14.0"/>
      </rPr>
      <t xml:space="preserve">การเฝ้าระวังและแจ้งเตือนของ </t>
    </r>
    <r>
      <rPr>
        <rFont val="Calibri"/>
        <color theme="1"/>
        <sz val="14.0"/>
      </rPr>
      <t xml:space="preserve">SIEM </t>
    </r>
    <r>
      <rPr>
        <rFont val="FreeSans"/>
        <color theme="1"/>
        <sz val="14.0"/>
      </rPr>
      <t>สำหรับทราฟฟิกและกิจกรรมบนโฮสต์</t>
    </r>
  </si>
  <si>
    <t>ESBIT-SI-04(22)</t>
  </si>
  <si>
    <t>SI-04(22)</t>
  </si>
  <si>
    <t>System Monitoring | Unauthorized Network Services</t>
  </si>
  <si>
    <t>Enhances SI-04 (System Monitoring): configure and enforce 'Unauthorized Network Services' in addition to the base setting, keep it consistent across applicable systems and document approved exceptions. Base scope: Configure IDS/IPS, NDR/EDR, SIEM monitoring and alerting for inbound/outbound traffic and host activity</t>
  </si>
  <si>
    <r>
      <rPr>
        <rFont val="FreeSans"/>
        <color theme="1"/>
        <sz val="14.0"/>
      </rPr>
      <t xml:space="preserve">ส่วนขยายของ </t>
    </r>
    <r>
      <rPr>
        <rFont val="Calibri"/>
        <color theme="1"/>
        <sz val="14.0"/>
      </rPr>
      <t xml:space="preserve">SI-04: </t>
    </r>
    <r>
      <rPr>
        <rFont val="FreeSans"/>
        <color theme="1"/>
        <sz val="14.0"/>
      </rPr>
      <t xml:space="preserve">กำหนดค่าและบังคับใช้ </t>
    </r>
    <r>
      <rPr>
        <rFont val="Calibri"/>
        <color theme="1"/>
        <sz val="14.0"/>
      </rPr>
      <t xml:space="preserve">'Unauthorized Network Services'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IDS/IPS, NDR/EDR, </t>
    </r>
    <r>
      <rPr>
        <rFont val="FreeSans"/>
        <color theme="1"/>
        <sz val="14.0"/>
      </rPr>
      <t xml:space="preserve">การเฝ้าระวังและแจ้งเตือนของ </t>
    </r>
    <r>
      <rPr>
        <rFont val="Calibri"/>
        <color theme="1"/>
        <sz val="14.0"/>
      </rPr>
      <t xml:space="preserve">SIEM </t>
    </r>
    <r>
      <rPr>
        <rFont val="FreeSans"/>
        <color theme="1"/>
        <sz val="14.0"/>
      </rPr>
      <t>สำหรับทราฟฟิกและกิจกรรมบนโฮสต์</t>
    </r>
  </si>
  <si>
    <t>ESBIT-SI-04(23)</t>
  </si>
  <si>
    <t>SI-04(23)</t>
  </si>
  <si>
    <t>System Monitoring | Host-based Devices</t>
  </si>
  <si>
    <t>Enhances SI-04 (System Monitoring): configure and enforce 'Host-based Devices' in addition to the base setting, keep it consistent across applicable systems and document approved exceptions. Base scope: Configure IDS/IPS, NDR/EDR, SIEM monitoring and alerting for inbound/outbound traffic and host activity</t>
  </si>
  <si>
    <r>
      <rPr>
        <rFont val="FreeSans"/>
        <color theme="1"/>
        <sz val="14.0"/>
      </rPr>
      <t xml:space="preserve">ส่วนขยายของ </t>
    </r>
    <r>
      <rPr>
        <rFont val="Calibri"/>
        <color theme="1"/>
        <sz val="14.0"/>
      </rPr>
      <t xml:space="preserve">SI-04: </t>
    </r>
    <r>
      <rPr>
        <rFont val="FreeSans"/>
        <color theme="1"/>
        <sz val="14.0"/>
      </rPr>
      <t xml:space="preserve">กำหนดค่าและบังคับใช้ </t>
    </r>
    <r>
      <rPr>
        <rFont val="Calibri"/>
        <color theme="1"/>
        <sz val="14.0"/>
      </rPr>
      <t xml:space="preserve">'Host-based Devices'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IDS/IPS, NDR/EDR, </t>
    </r>
    <r>
      <rPr>
        <rFont val="FreeSans"/>
        <color theme="1"/>
        <sz val="14.0"/>
      </rPr>
      <t xml:space="preserve">การเฝ้าระวังและแจ้งเตือนของ </t>
    </r>
    <r>
      <rPr>
        <rFont val="Calibri"/>
        <color theme="1"/>
        <sz val="14.0"/>
      </rPr>
      <t xml:space="preserve">SIEM </t>
    </r>
    <r>
      <rPr>
        <rFont val="FreeSans"/>
        <color theme="1"/>
        <sz val="14.0"/>
      </rPr>
      <t>สำหรับทราฟฟิกและกิจกรรมบนโฮสต์</t>
    </r>
  </si>
  <si>
    <t>ESBIT-SI-04(24)</t>
  </si>
  <si>
    <t>SI-04(24)</t>
  </si>
  <si>
    <t>System Monitoring | Indicators of Compromise</t>
  </si>
  <si>
    <t>Enhances SI-04 (System Monitoring): configure and enforce 'Indicators of Compromise' in addition to the base setting, keep it consistent across applicable systems and document approved exceptions. Base scope: Configure IDS/IPS, NDR/EDR, SIEM monitoring and alerting for inbound/outbound traffic and host activity</t>
  </si>
  <si>
    <r>
      <rPr>
        <rFont val="FreeSans"/>
        <color theme="1"/>
        <sz val="14.0"/>
      </rPr>
      <t xml:space="preserve">ส่วนขยายของ </t>
    </r>
    <r>
      <rPr>
        <rFont val="Calibri"/>
        <color theme="1"/>
        <sz val="14.0"/>
      </rPr>
      <t xml:space="preserve">SI-04: </t>
    </r>
    <r>
      <rPr>
        <rFont val="FreeSans"/>
        <color theme="1"/>
        <sz val="14.0"/>
      </rPr>
      <t xml:space="preserve">กำหนดค่าและบังคับใช้ </t>
    </r>
    <r>
      <rPr>
        <rFont val="Calibri"/>
        <color theme="1"/>
        <sz val="14.0"/>
      </rPr>
      <t xml:space="preserve">'Indicators of Compromise'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IDS/IPS, NDR/EDR, </t>
    </r>
    <r>
      <rPr>
        <rFont val="FreeSans"/>
        <color theme="1"/>
        <sz val="14.0"/>
      </rPr>
      <t xml:space="preserve">การเฝ้าระวังและแจ้งเตือนของ </t>
    </r>
    <r>
      <rPr>
        <rFont val="Calibri"/>
        <color theme="1"/>
        <sz val="14.0"/>
      </rPr>
      <t xml:space="preserve">SIEM </t>
    </r>
    <r>
      <rPr>
        <rFont val="FreeSans"/>
        <color theme="1"/>
        <sz val="14.0"/>
      </rPr>
      <t>สำหรับทราฟฟิกและกิจกรรมบนโฮสต์</t>
    </r>
  </si>
  <si>
    <t>ESBIT-SI-04(25)</t>
  </si>
  <si>
    <t>SI-04(25)</t>
  </si>
  <si>
    <t>System Monitoring | Optimize Network Traffic Analysis</t>
  </si>
  <si>
    <t>Enhances SI-04 (System Monitoring): configure and enforce 'Optimize Network Traffic Analysis' in addition to the base setting, keep it consistent across applicable systems and document approved exceptions. Base scope: Configure IDS/IPS, NDR/EDR, SIEM monitoring and alerting for inbound/outbound traffic and host activity</t>
  </si>
  <si>
    <r>
      <rPr>
        <rFont val="FreeSans"/>
        <color theme="1"/>
        <sz val="14.0"/>
      </rPr>
      <t xml:space="preserve">ส่วนขยายของ </t>
    </r>
    <r>
      <rPr>
        <rFont val="Calibri"/>
        <color theme="1"/>
        <sz val="14.0"/>
      </rPr>
      <t xml:space="preserve">SI-04: </t>
    </r>
    <r>
      <rPr>
        <rFont val="FreeSans"/>
        <color theme="1"/>
        <sz val="14.0"/>
      </rPr>
      <t xml:space="preserve">กำหนดค่าและบังคับใช้ </t>
    </r>
    <r>
      <rPr>
        <rFont val="Calibri"/>
        <color theme="1"/>
        <sz val="14.0"/>
      </rPr>
      <t xml:space="preserve">'Optimize Network Traffic Analysis'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IDS/IPS, NDR/EDR, </t>
    </r>
    <r>
      <rPr>
        <rFont val="FreeSans"/>
        <color theme="1"/>
        <sz val="14.0"/>
      </rPr>
      <t xml:space="preserve">การเฝ้าระวังและแจ้งเตือนของ </t>
    </r>
    <r>
      <rPr>
        <rFont val="Calibri"/>
        <color theme="1"/>
        <sz val="14.0"/>
      </rPr>
      <t xml:space="preserve">SIEM </t>
    </r>
    <r>
      <rPr>
        <rFont val="FreeSans"/>
        <color theme="1"/>
        <sz val="14.0"/>
      </rPr>
      <t>สำหรับทราฟฟิกและกิจกรรมบนโฮสต์</t>
    </r>
  </si>
  <si>
    <t>ESBIT-SI-05</t>
  </si>
  <si>
    <t>SI-05</t>
  </si>
  <si>
    <t>Security Alerts, Advisories, and Directives</t>
  </si>
  <si>
    <t>Subscribe to vendor and CERT advisories and configure automated alert distribution to system owners</t>
  </si>
  <si>
    <r>
      <rPr>
        <rFont val="FreeSans"/>
        <color theme="1"/>
        <sz val="14.0"/>
      </rPr>
      <t>ติดตามประกาศจากผู้ผลิต</t>
    </r>
    <r>
      <rPr>
        <rFont val="Calibri"/>
        <color theme="1"/>
        <sz val="14.0"/>
      </rPr>
      <t xml:space="preserve">/CERT </t>
    </r>
    <r>
      <rPr>
        <rFont val="FreeSans"/>
        <color theme="1"/>
        <sz val="14.0"/>
      </rPr>
      <t>และตั้งค่าการแจ้งเตือนอัตโนมัติถึงเจ้าของระบบ</t>
    </r>
  </si>
  <si>
    <t>Governance/Process, Infrastructure (Server/OS)</t>
  </si>
  <si>
    <t>ESBIT-SI-05(01)</t>
  </si>
  <si>
    <t>SI-05(01)</t>
  </si>
  <si>
    <t>Security Alerts, Advisories, and Directives | Automated Alerts and Advisories</t>
  </si>
  <si>
    <t>Enhances SI-05 (Security Alerts, Advisories, and Directives): configure and enforce 'Automated Alerts and Advisories' in addition to the base setting, keep it consistent across applicable systems and document approved exceptions. Base scope: Subscribe to vendor and CERT advisories and configure automated alert distribution to system owners</t>
  </si>
  <si>
    <r>
      <rPr>
        <rFont val="FreeSans"/>
        <color theme="1"/>
        <sz val="14.0"/>
      </rPr>
      <t xml:space="preserve">ส่วนขยายของ </t>
    </r>
    <r>
      <rPr>
        <rFont val="Calibri"/>
        <color theme="1"/>
        <sz val="14.0"/>
      </rPr>
      <t xml:space="preserve">SI-05: </t>
    </r>
    <r>
      <rPr>
        <rFont val="FreeSans"/>
        <color theme="1"/>
        <sz val="14.0"/>
      </rPr>
      <t xml:space="preserve">กำหนดค่าและบังคับใช้ </t>
    </r>
    <r>
      <rPr>
        <rFont val="Calibri"/>
        <color theme="1"/>
        <sz val="14.0"/>
      </rPr>
      <t xml:space="preserve">'Automated Alerts and Advisories'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ติดตามประกาศจากผู้ผลิต</t>
    </r>
    <r>
      <rPr>
        <rFont val="Calibri"/>
        <color theme="1"/>
        <sz val="14.0"/>
      </rPr>
      <t xml:space="preserve">/CERT </t>
    </r>
    <r>
      <rPr>
        <rFont val="FreeSans"/>
        <color theme="1"/>
        <sz val="14.0"/>
      </rPr>
      <t>และตั้งค่าการแจ้งเตือนอัตโนมัติถึงเจ้าของระบบ</t>
    </r>
  </si>
  <si>
    <t>ESBIT-SI-06</t>
  </si>
  <si>
    <t>SI-06</t>
  </si>
  <si>
    <t>Security and Privacy Function Verification</t>
  </si>
  <si>
    <t>Configure verification that security functions operate correctly at startup and on defined events</t>
  </si>
  <si>
    <t>ตั้งค่าการตรวจสอบว่าฟังก์ชันความปลอดภัยทำงานถูกต้องเมื่อเริ่มระบบและตามเหตุการณ์</t>
  </si>
  <si>
    <t>ESBIT-SI-06(02)</t>
  </si>
  <si>
    <t>SI-06(02)</t>
  </si>
  <si>
    <t>Security and Privacy Function Verification | Automation Support for Distributed Testing</t>
  </si>
  <si>
    <t>Enhances SI-06 (Security and Privacy Function Verification): configure and enforce 'Automation Support for Distributed Testing' in addition to the base setting, keep it consistent across applicable systems and document approved exceptions. Base scope: Configure verification that security functions operate correctly at startup and on defined events</t>
  </si>
  <si>
    <r>
      <rPr>
        <rFont val="FreeSans"/>
        <color theme="1"/>
        <sz val="14.0"/>
      </rPr>
      <t xml:space="preserve">ส่วนขยายของ </t>
    </r>
    <r>
      <rPr>
        <rFont val="Calibri"/>
        <color theme="1"/>
        <sz val="14.0"/>
      </rPr>
      <t xml:space="preserve">SI-06: </t>
    </r>
    <r>
      <rPr>
        <rFont val="FreeSans"/>
        <color theme="1"/>
        <sz val="14.0"/>
      </rPr>
      <t xml:space="preserve">กำหนดค่าและบังคับใช้ </t>
    </r>
    <r>
      <rPr>
        <rFont val="Calibri"/>
        <color theme="1"/>
        <sz val="14.0"/>
      </rPr>
      <t xml:space="preserve">'Automation Support for Distributed Testing'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ตั้งค่าการตรวจสอบว่าฟังก์ชันความปลอดภัยทำงานถูกต้องเมื่อเริ่มระบบและตามเหตุการณ์</t>
    </r>
  </si>
  <si>
    <t>ESBIT-SI-06(03)</t>
  </si>
  <si>
    <t>SI-06(03)</t>
  </si>
  <si>
    <t>Security and Privacy Function Verification | Report Verification Results</t>
  </si>
  <si>
    <t>Enhances SI-06 (Security and Privacy Function Verification): configure and enforce 'Report Verification Results' in addition to the base setting, keep it consistent across applicable systems and document approved exceptions. Base scope: Configure verification that security functions operate correctly at startup and on defined events</t>
  </si>
  <si>
    <r>
      <rPr>
        <rFont val="FreeSans"/>
        <color theme="1"/>
        <sz val="14.0"/>
      </rPr>
      <t xml:space="preserve">ส่วนขยายของ </t>
    </r>
    <r>
      <rPr>
        <rFont val="Calibri"/>
        <color theme="1"/>
        <sz val="14.0"/>
      </rPr>
      <t xml:space="preserve">SI-06: </t>
    </r>
    <r>
      <rPr>
        <rFont val="FreeSans"/>
        <color theme="1"/>
        <sz val="14.0"/>
      </rPr>
      <t xml:space="preserve">กำหนดค่าและบังคับใช้ </t>
    </r>
    <r>
      <rPr>
        <rFont val="Calibri"/>
        <color theme="1"/>
        <sz val="14.0"/>
      </rPr>
      <t xml:space="preserve">'Report Verification Results'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ตั้งค่าการตรวจสอบว่าฟังก์ชันความปลอดภัยทำงานถูกต้องเมื่อเริ่มระบบและตามเหตุการณ์</t>
    </r>
  </si>
  <si>
    <t>ESBIT-SI-07</t>
  </si>
  <si>
    <t>SI-07</t>
  </si>
  <si>
    <t>Software, Firmware, and Information Integrity</t>
  </si>
  <si>
    <t>Enable file integrity monitoring, secure boot, code signing and firmware integrity checks</t>
  </si>
  <si>
    <r>
      <rPr>
        <rFont val="FreeSans"/>
        <color theme="1"/>
        <sz val="14.0"/>
      </rPr>
      <t xml:space="preserve">เปิดใช้ </t>
    </r>
    <r>
      <rPr>
        <rFont val="Calibri"/>
        <color theme="1"/>
        <sz val="14.0"/>
      </rPr>
      <t xml:space="preserve">File Integrity Monitoring, Secure Boot, Code Signing </t>
    </r>
    <r>
      <rPr>
        <rFont val="FreeSans"/>
        <color theme="1"/>
        <sz val="14.0"/>
      </rPr>
      <t xml:space="preserve">และตรวจ </t>
    </r>
    <r>
      <rPr>
        <rFont val="Calibri"/>
        <color theme="1"/>
        <sz val="14.0"/>
      </rPr>
      <t xml:space="preserve">Integrity </t>
    </r>
    <r>
      <rPr>
        <rFont val="FreeSans"/>
        <color theme="1"/>
        <sz val="14.0"/>
      </rPr>
      <t xml:space="preserve">ของ </t>
    </r>
    <r>
      <rPr>
        <rFont val="Calibri"/>
        <color theme="1"/>
        <sz val="14.0"/>
      </rPr>
      <t>Firmware</t>
    </r>
  </si>
  <si>
    <t>ESBIT-SI-07(01)</t>
  </si>
  <si>
    <t>SI-07(01)</t>
  </si>
  <si>
    <t>Software, Firmware, and Information Integrity | Integrity Checks</t>
  </si>
  <si>
    <t>Enhances SI-07 (Software, Firmware, and Information Integrity): configure and enforce 'Integrity Checks' in addition to the base setting, keep it consistent across applicable systems and document approved exceptions. Base scope: Enable file integrity monitoring, secure boot, code signing and firmware integrity checks</t>
  </si>
  <si>
    <r>
      <rPr>
        <rFont val="FreeSans"/>
        <color theme="1"/>
        <sz val="14.0"/>
      </rPr>
      <t xml:space="preserve">ส่วนขยายของ </t>
    </r>
    <r>
      <rPr>
        <rFont val="Calibri"/>
        <color theme="1"/>
        <sz val="14.0"/>
      </rPr>
      <t xml:space="preserve">SI-07: </t>
    </r>
    <r>
      <rPr>
        <rFont val="FreeSans"/>
        <color theme="1"/>
        <sz val="14.0"/>
      </rPr>
      <t xml:space="preserve">กำหนดค่าและบังคับใช้ </t>
    </r>
    <r>
      <rPr>
        <rFont val="Calibri"/>
        <color theme="1"/>
        <sz val="14.0"/>
      </rPr>
      <t xml:space="preserve">'Integrity Checks'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เปิดใช้ </t>
    </r>
    <r>
      <rPr>
        <rFont val="Calibri"/>
        <color theme="1"/>
        <sz val="14.0"/>
      </rPr>
      <t xml:space="preserve">File Integrity Monitoring, Secure Boot, Code Signing </t>
    </r>
    <r>
      <rPr>
        <rFont val="FreeSans"/>
        <color theme="1"/>
        <sz val="14.0"/>
      </rPr>
      <t xml:space="preserve">และตรวจ </t>
    </r>
    <r>
      <rPr>
        <rFont val="Calibri"/>
        <color theme="1"/>
        <sz val="14.0"/>
      </rPr>
      <t xml:space="preserve">Integrity </t>
    </r>
    <r>
      <rPr>
        <rFont val="FreeSans"/>
        <color theme="1"/>
        <sz val="14.0"/>
      </rPr>
      <t xml:space="preserve">ของ </t>
    </r>
    <r>
      <rPr>
        <rFont val="Calibri"/>
        <color theme="1"/>
        <sz val="14.0"/>
      </rPr>
      <t>Firmware</t>
    </r>
  </si>
  <si>
    <t>ESBIT-SI-07(02)</t>
  </si>
  <si>
    <t>SI-07(02)</t>
  </si>
  <si>
    <t>Software, Firmware, and Information Integrity | Automated Notifications of Integrity Violations</t>
  </si>
  <si>
    <t>Enhances SI-07 (Software, Firmware, and Information Integrity): configure and enforce 'Automated Notifications of Integrity Violations' in addition to the base setting, keep it consistent across applicable systems and document approved exceptions. Base scope: Enable file integrity monitoring, secure boot, code signing and firmware integrity checks</t>
  </si>
  <si>
    <r>
      <rPr>
        <rFont val="FreeSans"/>
        <color theme="1"/>
        <sz val="14.0"/>
      </rPr>
      <t xml:space="preserve">ส่วนขยายของ </t>
    </r>
    <r>
      <rPr>
        <rFont val="Calibri"/>
        <color theme="1"/>
        <sz val="14.0"/>
      </rPr>
      <t xml:space="preserve">SI-07: </t>
    </r>
    <r>
      <rPr>
        <rFont val="FreeSans"/>
        <color theme="1"/>
        <sz val="14.0"/>
      </rPr>
      <t xml:space="preserve">กำหนดค่าและบังคับใช้ </t>
    </r>
    <r>
      <rPr>
        <rFont val="Calibri"/>
        <color theme="1"/>
        <sz val="14.0"/>
      </rPr>
      <t xml:space="preserve">'Automated Notifications of Integrity Violations'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เปิดใช้ </t>
    </r>
    <r>
      <rPr>
        <rFont val="Calibri"/>
        <color theme="1"/>
        <sz val="14.0"/>
      </rPr>
      <t xml:space="preserve">File Integrity Monitoring, Secure Boot, Code Signing </t>
    </r>
    <r>
      <rPr>
        <rFont val="FreeSans"/>
        <color theme="1"/>
        <sz val="14.0"/>
      </rPr>
      <t xml:space="preserve">และตรวจ </t>
    </r>
    <r>
      <rPr>
        <rFont val="Calibri"/>
        <color theme="1"/>
        <sz val="14.0"/>
      </rPr>
      <t xml:space="preserve">Integrity </t>
    </r>
    <r>
      <rPr>
        <rFont val="FreeSans"/>
        <color theme="1"/>
        <sz val="14.0"/>
      </rPr>
      <t xml:space="preserve">ของ </t>
    </r>
    <r>
      <rPr>
        <rFont val="Calibri"/>
        <color theme="1"/>
        <sz val="14.0"/>
      </rPr>
      <t>Firmware</t>
    </r>
  </si>
  <si>
    <t>ESBIT-SI-07(03)</t>
  </si>
  <si>
    <t>SI-07(03)</t>
  </si>
  <si>
    <t>Software, Firmware, and Information Integrity | Centrally Managed Integrity Tools</t>
  </si>
  <si>
    <t>Enhances SI-07 (Software, Firmware, and Information Integrity): configure and enforce 'Centrally Managed Integrity Tools' in addition to the base setting, keep it consistent across applicable systems and document approved exceptions. Base scope: Enable file integrity monitoring, secure boot, code signing and firmware integrity checks</t>
  </si>
  <si>
    <r>
      <rPr>
        <rFont val="FreeSans"/>
        <color theme="1"/>
        <sz val="14.0"/>
      </rPr>
      <t xml:space="preserve">ส่วนขยายของ </t>
    </r>
    <r>
      <rPr>
        <rFont val="Calibri"/>
        <color theme="1"/>
        <sz val="14.0"/>
      </rPr>
      <t xml:space="preserve">SI-07: </t>
    </r>
    <r>
      <rPr>
        <rFont val="FreeSans"/>
        <color theme="1"/>
        <sz val="14.0"/>
      </rPr>
      <t xml:space="preserve">กำหนดค่าและบังคับใช้ </t>
    </r>
    <r>
      <rPr>
        <rFont val="Calibri"/>
        <color theme="1"/>
        <sz val="14.0"/>
      </rPr>
      <t xml:space="preserve">'Centrally Managed Integrity Tools'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เปิดใช้ </t>
    </r>
    <r>
      <rPr>
        <rFont val="Calibri"/>
        <color theme="1"/>
        <sz val="14.0"/>
      </rPr>
      <t xml:space="preserve">File Integrity Monitoring, Secure Boot, Code Signing </t>
    </r>
    <r>
      <rPr>
        <rFont val="FreeSans"/>
        <color theme="1"/>
        <sz val="14.0"/>
      </rPr>
      <t xml:space="preserve">และตรวจ </t>
    </r>
    <r>
      <rPr>
        <rFont val="Calibri"/>
        <color theme="1"/>
        <sz val="14.0"/>
      </rPr>
      <t xml:space="preserve">Integrity </t>
    </r>
    <r>
      <rPr>
        <rFont val="FreeSans"/>
        <color theme="1"/>
        <sz val="14.0"/>
      </rPr>
      <t xml:space="preserve">ของ </t>
    </r>
    <r>
      <rPr>
        <rFont val="Calibri"/>
        <color theme="1"/>
        <sz val="14.0"/>
      </rPr>
      <t>Firmware</t>
    </r>
  </si>
  <si>
    <t>ESBIT-SI-07(05)</t>
  </si>
  <si>
    <t>SI-07(05)</t>
  </si>
  <si>
    <t>Software, Firmware, and Information Integrity | Automated Response to Integrity Violations</t>
  </si>
  <si>
    <t>Enhances SI-07 (Software, Firmware, and Information Integrity): configure and enforce 'Automated Response to Integrity Violations' in addition to the base setting, keep it consistent across applicable systems and document approved exceptions. Base scope: Enable file integrity monitoring, secure boot, code signing and firmware integrity checks</t>
  </si>
  <si>
    <r>
      <rPr>
        <rFont val="FreeSans"/>
        <color theme="1"/>
        <sz val="14.0"/>
      </rPr>
      <t xml:space="preserve">ส่วนขยายของ </t>
    </r>
    <r>
      <rPr>
        <rFont val="Calibri"/>
        <color theme="1"/>
        <sz val="14.0"/>
      </rPr>
      <t xml:space="preserve">SI-07: </t>
    </r>
    <r>
      <rPr>
        <rFont val="FreeSans"/>
        <color theme="1"/>
        <sz val="14.0"/>
      </rPr>
      <t xml:space="preserve">กำหนดค่าและบังคับใช้ </t>
    </r>
    <r>
      <rPr>
        <rFont val="Calibri"/>
        <color theme="1"/>
        <sz val="14.0"/>
      </rPr>
      <t xml:space="preserve">'Automated Response to Integrity Violations'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เปิดใช้ </t>
    </r>
    <r>
      <rPr>
        <rFont val="Calibri"/>
        <color theme="1"/>
        <sz val="14.0"/>
      </rPr>
      <t xml:space="preserve">File Integrity Monitoring, Secure Boot, Code Signing </t>
    </r>
    <r>
      <rPr>
        <rFont val="FreeSans"/>
        <color theme="1"/>
        <sz val="14.0"/>
      </rPr>
      <t xml:space="preserve">และตรวจ </t>
    </r>
    <r>
      <rPr>
        <rFont val="Calibri"/>
        <color theme="1"/>
        <sz val="14.0"/>
      </rPr>
      <t xml:space="preserve">Integrity </t>
    </r>
    <r>
      <rPr>
        <rFont val="FreeSans"/>
        <color theme="1"/>
        <sz val="14.0"/>
      </rPr>
      <t xml:space="preserve">ของ </t>
    </r>
    <r>
      <rPr>
        <rFont val="Calibri"/>
        <color theme="1"/>
        <sz val="14.0"/>
      </rPr>
      <t>Firmware</t>
    </r>
  </si>
  <si>
    <t>ESBIT-SI-07(06)</t>
  </si>
  <si>
    <t>SI-07(06)</t>
  </si>
  <si>
    <t>Software, Firmware, and Information Integrity | Cryptographic Protection</t>
  </si>
  <si>
    <t>Enhances SI-07 (Software, Firmware, and Information Integrity): configure and enforce 'Cryptographic Protection' in addition to the base setting, keep it consistent across applicable systems and document approved exceptions. Base scope: Enable file integrity monitoring, secure boot, code signing and firmware integrity checks</t>
  </si>
  <si>
    <r>
      <rPr>
        <rFont val="FreeSans"/>
        <color theme="1"/>
        <sz val="14.0"/>
      </rPr>
      <t xml:space="preserve">ส่วนขยายของ </t>
    </r>
    <r>
      <rPr>
        <rFont val="Calibri"/>
        <color theme="1"/>
        <sz val="14.0"/>
      </rPr>
      <t xml:space="preserve">SI-07: </t>
    </r>
    <r>
      <rPr>
        <rFont val="FreeSans"/>
        <color theme="1"/>
        <sz val="14.0"/>
      </rPr>
      <t xml:space="preserve">กำหนดค่าและบังคับใช้ </t>
    </r>
    <r>
      <rPr>
        <rFont val="Calibri"/>
        <color theme="1"/>
        <sz val="14.0"/>
      </rPr>
      <t xml:space="preserve">'Cryptographic Protection'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เปิดใช้ </t>
    </r>
    <r>
      <rPr>
        <rFont val="Calibri"/>
        <color theme="1"/>
        <sz val="14.0"/>
      </rPr>
      <t xml:space="preserve">File Integrity Monitoring, Secure Boot, Code Signing </t>
    </r>
    <r>
      <rPr>
        <rFont val="FreeSans"/>
        <color theme="1"/>
        <sz val="14.0"/>
      </rPr>
      <t xml:space="preserve">และตรวจ </t>
    </r>
    <r>
      <rPr>
        <rFont val="Calibri"/>
        <color theme="1"/>
        <sz val="14.0"/>
      </rPr>
      <t xml:space="preserve">Integrity </t>
    </r>
    <r>
      <rPr>
        <rFont val="FreeSans"/>
        <color theme="1"/>
        <sz val="14.0"/>
      </rPr>
      <t xml:space="preserve">ของ </t>
    </r>
    <r>
      <rPr>
        <rFont val="Calibri"/>
        <color theme="1"/>
        <sz val="14.0"/>
      </rPr>
      <t>Firmware</t>
    </r>
  </si>
  <si>
    <t>ESBIT-SI-07(07)</t>
  </si>
  <si>
    <t>SI-07(07)</t>
  </si>
  <si>
    <t>Software, Firmware, and Information Integrity | Integration of Detection and Response</t>
  </si>
  <si>
    <t>Enhances SI-07 (Software, Firmware, and Information Integrity): configure and enforce 'Integration of Detection and Response' in addition to the base setting, keep it consistent across applicable systems and document approved exceptions. Base scope: Enable file integrity monitoring, secure boot, code signing and firmware integrity checks</t>
  </si>
  <si>
    <r>
      <rPr>
        <rFont val="FreeSans"/>
        <color theme="1"/>
        <sz val="14.0"/>
      </rPr>
      <t xml:space="preserve">ส่วนขยายของ </t>
    </r>
    <r>
      <rPr>
        <rFont val="Calibri"/>
        <color theme="1"/>
        <sz val="14.0"/>
      </rPr>
      <t xml:space="preserve">SI-07: </t>
    </r>
    <r>
      <rPr>
        <rFont val="FreeSans"/>
        <color theme="1"/>
        <sz val="14.0"/>
      </rPr>
      <t xml:space="preserve">กำหนดค่าและบังคับใช้ </t>
    </r>
    <r>
      <rPr>
        <rFont val="Calibri"/>
        <color theme="1"/>
        <sz val="14.0"/>
      </rPr>
      <t xml:space="preserve">'Integration of Detection and Response'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เปิดใช้ </t>
    </r>
    <r>
      <rPr>
        <rFont val="Calibri"/>
        <color theme="1"/>
        <sz val="14.0"/>
      </rPr>
      <t xml:space="preserve">File Integrity Monitoring, Secure Boot, Code Signing </t>
    </r>
    <r>
      <rPr>
        <rFont val="FreeSans"/>
        <color theme="1"/>
        <sz val="14.0"/>
      </rPr>
      <t xml:space="preserve">และตรวจ </t>
    </r>
    <r>
      <rPr>
        <rFont val="Calibri"/>
        <color theme="1"/>
        <sz val="14.0"/>
      </rPr>
      <t xml:space="preserve">Integrity </t>
    </r>
    <r>
      <rPr>
        <rFont val="FreeSans"/>
        <color theme="1"/>
        <sz val="14.0"/>
      </rPr>
      <t xml:space="preserve">ของ </t>
    </r>
    <r>
      <rPr>
        <rFont val="Calibri"/>
        <color theme="1"/>
        <sz val="14.0"/>
      </rPr>
      <t>Firmware</t>
    </r>
  </si>
  <si>
    <t>ESBIT-SI-07(08)</t>
  </si>
  <si>
    <t>SI-07(08)</t>
  </si>
  <si>
    <t>Software, Firmware, and Information Integrity | Auditing Capability for Significant Events</t>
  </si>
  <si>
    <t>Enhances SI-07 (Software, Firmware, and Information Integrity): configure and enforce 'Auditing Capability for Significant Events' in addition to the base setting, keep it consistent across applicable systems and document approved exceptions. Base scope: Enable file integrity monitoring, secure boot, code signing and firmware integrity checks</t>
  </si>
  <si>
    <r>
      <rPr>
        <rFont val="FreeSans"/>
        <color theme="1"/>
        <sz val="14.0"/>
      </rPr>
      <t xml:space="preserve">ส่วนขยายของ </t>
    </r>
    <r>
      <rPr>
        <rFont val="Calibri"/>
        <color theme="1"/>
        <sz val="14.0"/>
      </rPr>
      <t xml:space="preserve">SI-07: </t>
    </r>
    <r>
      <rPr>
        <rFont val="FreeSans"/>
        <color theme="1"/>
        <sz val="14.0"/>
      </rPr>
      <t xml:space="preserve">กำหนดค่าและบังคับใช้ </t>
    </r>
    <r>
      <rPr>
        <rFont val="Calibri"/>
        <color theme="1"/>
        <sz val="14.0"/>
      </rPr>
      <t xml:space="preserve">'Auditing Capability for Significant Events'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เปิดใช้ </t>
    </r>
    <r>
      <rPr>
        <rFont val="Calibri"/>
        <color theme="1"/>
        <sz val="14.0"/>
      </rPr>
      <t xml:space="preserve">File Integrity Monitoring, Secure Boot, Code Signing </t>
    </r>
    <r>
      <rPr>
        <rFont val="FreeSans"/>
        <color theme="1"/>
        <sz val="14.0"/>
      </rPr>
      <t xml:space="preserve">และตรวจ </t>
    </r>
    <r>
      <rPr>
        <rFont val="Calibri"/>
        <color theme="1"/>
        <sz val="14.0"/>
      </rPr>
      <t xml:space="preserve">Integrity </t>
    </r>
    <r>
      <rPr>
        <rFont val="FreeSans"/>
        <color theme="1"/>
        <sz val="14.0"/>
      </rPr>
      <t xml:space="preserve">ของ </t>
    </r>
    <r>
      <rPr>
        <rFont val="Calibri"/>
        <color theme="1"/>
        <sz val="14.0"/>
      </rPr>
      <t>Firmware</t>
    </r>
  </si>
  <si>
    <t>ESBIT-SI-07(09)</t>
  </si>
  <si>
    <t>SI-07(09)</t>
  </si>
  <si>
    <t>Software, Firmware, and Information Integrity | Verify Boot Process</t>
  </si>
  <si>
    <t>Enhances SI-07 (Software, Firmware, and Information Integrity): configure and enforce 'Verify Boot Process' in addition to the base setting, keep it consistent across applicable systems and document approved exceptions. Base scope: Enable file integrity monitoring, secure boot, code signing and firmware integrity checks</t>
  </si>
  <si>
    <r>
      <rPr>
        <rFont val="FreeSans"/>
        <color theme="1"/>
        <sz val="14.0"/>
      </rPr>
      <t xml:space="preserve">ส่วนขยายของ </t>
    </r>
    <r>
      <rPr>
        <rFont val="Calibri"/>
        <color theme="1"/>
        <sz val="14.0"/>
      </rPr>
      <t xml:space="preserve">SI-07: </t>
    </r>
    <r>
      <rPr>
        <rFont val="FreeSans"/>
        <color theme="1"/>
        <sz val="14.0"/>
      </rPr>
      <t xml:space="preserve">กำหนดค่าและบังคับใช้ </t>
    </r>
    <r>
      <rPr>
        <rFont val="Calibri"/>
        <color theme="1"/>
        <sz val="14.0"/>
      </rPr>
      <t xml:space="preserve">'Verify Boot Process'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เปิดใช้ </t>
    </r>
    <r>
      <rPr>
        <rFont val="Calibri"/>
        <color theme="1"/>
        <sz val="14.0"/>
      </rPr>
      <t xml:space="preserve">File Integrity Monitoring, Secure Boot, Code Signing </t>
    </r>
    <r>
      <rPr>
        <rFont val="FreeSans"/>
        <color theme="1"/>
        <sz val="14.0"/>
      </rPr>
      <t xml:space="preserve">และตรวจ </t>
    </r>
    <r>
      <rPr>
        <rFont val="Calibri"/>
        <color theme="1"/>
        <sz val="14.0"/>
      </rPr>
      <t xml:space="preserve">Integrity </t>
    </r>
    <r>
      <rPr>
        <rFont val="FreeSans"/>
        <color theme="1"/>
        <sz val="14.0"/>
      </rPr>
      <t xml:space="preserve">ของ </t>
    </r>
    <r>
      <rPr>
        <rFont val="Calibri"/>
        <color theme="1"/>
        <sz val="14.0"/>
      </rPr>
      <t>Firmware</t>
    </r>
  </si>
  <si>
    <t>ESBIT-SI-07(10)</t>
  </si>
  <si>
    <t>SI-07(10)</t>
  </si>
  <si>
    <t>Software, Firmware, and Information Integrity | Protection of Boot Firmware</t>
  </si>
  <si>
    <t>Enhances SI-07 (Software, Firmware, and Information Integrity): configure and enforce 'Protection of Boot Firmware' in addition to the base setting, keep it consistent across applicable systems and document approved exceptions. Base scope: Enable file integrity monitoring, secure boot, code signing and firmware integrity checks</t>
  </si>
  <si>
    <r>
      <rPr>
        <rFont val="FreeSans"/>
        <color theme="1"/>
        <sz val="14.0"/>
      </rPr>
      <t xml:space="preserve">ส่วนขยายของ </t>
    </r>
    <r>
      <rPr>
        <rFont val="Calibri"/>
        <color theme="1"/>
        <sz val="14.0"/>
      </rPr>
      <t xml:space="preserve">SI-07: </t>
    </r>
    <r>
      <rPr>
        <rFont val="FreeSans"/>
        <color theme="1"/>
        <sz val="14.0"/>
      </rPr>
      <t xml:space="preserve">กำหนดค่าและบังคับใช้ </t>
    </r>
    <r>
      <rPr>
        <rFont val="Calibri"/>
        <color theme="1"/>
        <sz val="14.0"/>
      </rPr>
      <t xml:space="preserve">'Protection of Boot Firmware'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เปิดใช้ </t>
    </r>
    <r>
      <rPr>
        <rFont val="Calibri"/>
        <color theme="1"/>
        <sz val="14.0"/>
      </rPr>
      <t xml:space="preserve">File Integrity Monitoring, Secure Boot, Code Signing </t>
    </r>
    <r>
      <rPr>
        <rFont val="FreeSans"/>
        <color theme="1"/>
        <sz val="14.0"/>
      </rPr>
      <t xml:space="preserve">และตรวจ </t>
    </r>
    <r>
      <rPr>
        <rFont val="Calibri"/>
        <color theme="1"/>
        <sz val="14.0"/>
      </rPr>
      <t xml:space="preserve">Integrity </t>
    </r>
    <r>
      <rPr>
        <rFont val="FreeSans"/>
        <color theme="1"/>
        <sz val="14.0"/>
      </rPr>
      <t xml:space="preserve">ของ </t>
    </r>
    <r>
      <rPr>
        <rFont val="Calibri"/>
        <color theme="1"/>
        <sz val="14.0"/>
      </rPr>
      <t>Firmware</t>
    </r>
  </si>
  <si>
    <t>ESBIT-SI-07(11)</t>
  </si>
  <si>
    <t>SI-07(11)</t>
  </si>
  <si>
    <t>Software, Firmware, and Information Integrity | Confined Environments with Limited Privileges</t>
  </si>
  <si>
    <t>Enhances SI-07 (Software, Firmware, and Information Integrity): configure and enforce 'Confined Environments with Limited Privileges' in addition to the base setting, keep it consistent across applicable systems and document approved exceptions. Base scope: Enable file integrity monitoring, secure boot, code signing and firmware integrity checks</t>
  </si>
  <si>
    <r>
      <rPr>
        <rFont val="FreeSans"/>
        <color theme="1"/>
        <sz val="14.0"/>
      </rPr>
      <t xml:space="preserve">ส่วนขยายของ </t>
    </r>
    <r>
      <rPr>
        <rFont val="Calibri"/>
        <color theme="1"/>
        <sz val="14.0"/>
      </rPr>
      <t xml:space="preserve">SI-07: </t>
    </r>
    <r>
      <rPr>
        <rFont val="FreeSans"/>
        <color theme="1"/>
        <sz val="14.0"/>
      </rPr>
      <t xml:space="preserve">กำหนดค่าและบังคับใช้ </t>
    </r>
    <r>
      <rPr>
        <rFont val="Calibri"/>
        <color theme="1"/>
        <sz val="14.0"/>
      </rPr>
      <t xml:space="preserve">'Confined Environments with Limited Privileges'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เปิดใช้ </t>
    </r>
    <r>
      <rPr>
        <rFont val="Calibri"/>
        <color theme="1"/>
        <sz val="14.0"/>
      </rPr>
      <t xml:space="preserve">File Integrity Monitoring, Secure Boot, Code Signing </t>
    </r>
    <r>
      <rPr>
        <rFont val="FreeSans"/>
        <color theme="1"/>
        <sz val="14.0"/>
      </rPr>
      <t xml:space="preserve">และตรวจ </t>
    </r>
    <r>
      <rPr>
        <rFont val="Calibri"/>
        <color theme="1"/>
        <sz val="14.0"/>
      </rPr>
      <t xml:space="preserve">Integrity </t>
    </r>
    <r>
      <rPr>
        <rFont val="FreeSans"/>
        <color theme="1"/>
        <sz val="14.0"/>
      </rPr>
      <t xml:space="preserve">ของ </t>
    </r>
    <r>
      <rPr>
        <rFont val="Calibri"/>
        <color theme="1"/>
        <sz val="14.0"/>
      </rPr>
      <t>Firmware</t>
    </r>
  </si>
  <si>
    <t>ESBIT-SI-07(12)</t>
  </si>
  <si>
    <t>SI-07(12)</t>
  </si>
  <si>
    <t>Software, Firmware, and Information Integrity | Integrity Verification</t>
  </si>
  <si>
    <t>Enhances SI-07 (Software, Firmware, and Information Integrity): configure and enforce 'Integrity Verification' in addition to the base setting, keep it consistent across applicable systems and document approved exceptions. Base scope: Enable file integrity monitoring, secure boot, code signing and firmware integrity checks</t>
  </si>
  <si>
    <r>
      <rPr>
        <rFont val="FreeSans"/>
        <color theme="1"/>
        <sz val="14.0"/>
      </rPr>
      <t xml:space="preserve">ส่วนขยายของ </t>
    </r>
    <r>
      <rPr>
        <rFont val="Calibri"/>
        <color theme="1"/>
        <sz val="14.0"/>
      </rPr>
      <t xml:space="preserve">SI-07: </t>
    </r>
    <r>
      <rPr>
        <rFont val="FreeSans"/>
        <color theme="1"/>
        <sz val="14.0"/>
      </rPr>
      <t xml:space="preserve">กำหนดค่าและบังคับใช้ </t>
    </r>
    <r>
      <rPr>
        <rFont val="Calibri"/>
        <color theme="1"/>
        <sz val="14.0"/>
      </rPr>
      <t xml:space="preserve">'Integrity Verification'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เปิดใช้ </t>
    </r>
    <r>
      <rPr>
        <rFont val="Calibri"/>
        <color theme="1"/>
        <sz val="14.0"/>
      </rPr>
      <t xml:space="preserve">File Integrity Monitoring, Secure Boot, Code Signing </t>
    </r>
    <r>
      <rPr>
        <rFont val="FreeSans"/>
        <color theme="1"/>
        <sz val="14.0"/>
      </rPr>
      <t xml:space="preserve">และตรวจ </t>
    </r>
    <r>
      <rPr>
        <rFont val="Calibri"/>
        <color theme="1"/>
        <sz val="14.0"/>
      </rPr>
      <t xml:space="preserve">Integrity </t>
    </r>
    <r>
      <rPr>
        <rFont val="FreeSans"/>
        <color theme="1"/>
        <sz val="14.0"/>
      </rPr>
      <t xml:space="preserve">ของ </t>
    </r>
    <r>
      <rPr>
        <rFont val="Calibri"/>
        <color theme="1"/>
        <sz val="14.0"/>
      </rPr>
      <t>Firmware</t>
    </r>
  </si>
  <si>
    <t>ESBIT-SI-07(13)</t>
  </si>
  <si>
    <t>SI-07(13)</t>
  </si>
  <si>
    <t>Software, Firmware, and Information Integrity | Code Execution in Protected Environments</t>
  </si>
  <si>
    <t>Enhances SI-07 (Software, Firmware, and Information Integrity): configure and enforce 'Code Execution in Protected Environments' in addition to the base setting, keep it consistent across applicable systems and document approved exceptions. Base scope: Enable file integrity monitoring, secure boot, code signing and firmware integrity checks</t>
  </si>
  <si>
    <r>
      <rPr>
        <rFont val="FreeSans"/>
        <color theme="1"/>
        <sz val="14.0"/>
      </rPr>
      <t xml:space="preserve">ส่วนขยายของ </t>
    </r>
    <r>
      <rPr>
        <rFont val="Calibri"/>
        <color theme="1"/>
        <sz val="14.0"/>
      </rPr>
      <t xml:space="preserve">SI-07: </t>
    </r>
    <r>
      <rPr>
        <rFont val="FreeSans"/>
        <color theme="1"/>
        <sz val="14.0"/>
      </rPr>
      <t xml:space="preserve">กำหนดค่าและบังคับใช้ </t>
    </r>
    <r>
      <rPr>
        <rFont val="Calibri"/>
        <color theme="1"/>
        <sz val="14.0"/>
      </rPr>
      <t xml:space="preserve">'Code Execution in Protected Environments'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เปิดใช้ </t>
    </r>
    <r>
      <rPr>
        <rFont val="Calibri"/>
        <color theme="1"/>
        <sz val="14.0"/>
      </rPr>
      <t xml:space="preserve">File Integrity Monitoring, Secure Boot, Code Signing </t>
    </r>
    <r>
      <rPr>
        <rFont val="FreeSans"/>
        <color theme="1"/>
        <sz val="14.0"/>
      </rPr>
      <t xml:space="preserve">และตรวจ </t>
    </r>
    <r>
      <rPr>
        <rFont val="Calibri"/>
        <color theme="1"/>
        <sz val="14.0"/>
      </rPr>
      <t xml:space="preserve">Integrity </t>
    </r>
    <r>
      <rPr>
        <rFont val="FreeSans"/>
        <color theme="1"/>
        <sz val="14.0"/>
      </rPr>
      <t xml:space="preserve">ของ </t>
    </r>
    <r>
      <rPr>
        <rFont val="Calibri"/>
        <color theme="1"/>
        <sz val="14.0"/>
      </rPr>
      <t>Firmware</t>
    </r>
  </si>
  <si>
    <t>ESBIT-SI-07(14)</t>
  </si>
  <si>
    <t>SI-07(14)</t>
  </si>
  <si>
    <t>Software, Firmware, and Information Integrity | Binary or Machine Executable Code</t>
  </si>
  <si>
    <t>Enhances SI-07 (Software, Firmware, and Information Integrity): configure and enforce 'Binary or Machine Executable Code' in addition to the base setting, keep it consistent across applicable systems and document approved exceptions. Base scope: Enable file integrity monitoring, secure boot, code signing and firmware integrity checks</t>
  </si>
  <si>
    <r>
      <rPr>
        <rFont val="FreeSans"/>
        <color theme="1"/>
        <sz val="14.0"/>
      </rPr>
      <t xml:space="preserve">ส่วนขยายของ </t>
    </r>
    <r>
      <rPr>
        <rFont val="Calibri"/>
        <color theme="1"/>
        <sz val="14.0"/>
      </rPr>
      <t xml:space="preserve">SI-07: </t>
    </r>
    <r>
      <rPr>
        <rFont val="FreeSans"/>
        <color theme="1"/>
        <sz val="14.0"/>
      </rPr>
      <t xml:space="preserve">กำหนดค่าและบังคับใช้ </t>
    </r>
    <r>
      <rPr>
        <rFont val="Calibri"/>
        <color theme="1"/>
        <sz val="14.0"/>
      </rPr>
      <t xml:space="preserve">'Binary or Machine Executable Code'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เปิดใช้ </t>
    </r>
    <r>
      <rPr>
        <rFont val="Calibri"/>
        <color theme="1"/>
        <sz val="14.0"/>
      </rPr>
      <t xml:space="preserve">File Integrity Monitoring, Secure Boot, Code Signing </t>
    </r>
    <r>
      <rPr>
        <rFont val="FreeSans"/>
        <color theme="1"/>
        <sz val="14.0"/>
      </rPr>
      <t xml:space="preserve">และตรวจ </t>
    </r>
    <r>
      <rPr>
        <rFont val="Calibri"/>
        <color theme="1"/>
        <sz val="14.0"/>
      </rPr>
      <t xml:space="preserve">Integrity </t>
    </r>
    <r>
      <rPr>
        <rFont val="FreeSans"/>
        <color theme="1"/>
        <sz val="14.0"/>
      </rPr>
      <t xml:space="preserve">ของ </t>
    </r>
    <r>
      <rPr>
        <rFont val="Calibri"/>
        <color theme="1"/>
        <sz val="14.0"/>
      </rPr>
      <t>Firmware</t>
    </r>
  </si>
  <si>
    <t>ESBIT-SI-07(15)</t>
  </si>
  <si>
    <t>SI-07(15)</t>
  </si>
  <si>
    <t>Software, Firmware, and Information Integrity | Code Authentication</t>
  </si>
  <si>
    <t>Enhances SI-07 (Software, Firmware, and Information Integrity): configure and enforce 'Code Authentication' in addition to the base setting, keep it consistent across applicable systems and document approved exceptions. Base scope: Enable file integrity monitoring, secure boot, code signing and firmware integrity checks</t>
  </si>
  <si>
    <r>
      <rPr>
        <rFont val="FreeSans"/>
        <color theme="1"/>
        <sz val="14.0"/>
      </rPr>
      <t xml:space="preserve">ส่วนขยายของ </t>
    </r>
    <r>
      <rPr>
        <rFont val="Calibri"/>
        <color theme="1"/>
        <sz val="14.0"/>
      </rPr>
      <t xml:space="preserve">SI-07: </t>
    </r>
    <r>
      <rPr>
        <rFont val="FreeSans"/>
        <color theme="1"/>
        <sz val="14.0"/>
      </rPr>
      <t xml:space="preserve">กำหนดค่าและบังคับใช้ </t>
    </r>
    <r>
      <rPr>
        <rFont val="Calibri"/>
        <color theme="1"/>
        <sz val="14.0"/>
      </rPr>
      <t xml:space="preserve">'Code Authentication'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เปิดใช้ </t>
    </r>
    <r>
      <rPr>
        <rFont val="Calibri"/>
        <color theme="1"/>
        <sz val="14.0"/>
      </rPr>
      <t xml:space="preserve">File Integrity Monitoring, Secure Boot, Code Signing </t>
    </r>
    <r>
      <rPr>
        <rFont val="FreeSans"/>
        <color theme="1"/>
        <sz val="14.0"/>
      </rPr>
      <t xml:space="preserve">และตรวจ </t>
    </r>
    <r>
      <rPr>
        <rFont val="Calibri"/>
        <color theme="1"/>
        <sz val="14.0"/>
      </rPr>
      <t xml:space="preserve">Integrity </t>
    </r>
    <r>
      <rPr>
        <rFont val="FreeSans"/>
        <color theme="1"/>
        <sz val="14.0"/>
      </rPr>
      <t xml:space="preserve">ของ </t>
    </r>
    <r>
      <rPr>
        <rFont val="Calibri"/>
        <color theme="1"/>
        <sz val="14.0"/>
      </rPr>
      <t>Firmware</t>
    </r>
  </si>
  <si>
    <t>ESBIT-SI-07(16)</t>
  </si>
  <si>
    <t>SI-07(16)</t>
  </si>
  <si>
    <t>Software, Firmware, and Information Integrity | Time Limit on Process Execution Without Supervision</t>
  </si>
  <si>
    <t>Enhances SI-07 (Software, Firmware, and Information Integrity): configure and enforce 'Time Limit on Process Execution Without Supervision' in addition to the base setting, keep it consistent across applicable systems and document approved exceptions. Base scope: Enable file integrity monitoring, secure boot, code signing and firmware integrity checks</t>
  </si>
  <si>
    <r>
      <rPr>
        <rFont val="FreeSans"/>
        <color theme="1"/>
        <sz val="14.0"/>
      </rPr>
      <t xml:space="preserve">ส่วนขยายของ </t>
    </r>
    <r>
      <rPr>
        <rFont val="Calibri"/>
        <color theme="1"/>
        <sz val="14.0"/>
      </rPr>
      <t xml:space="preserve">SI-07: </t>
    </r>
    <r>
      <rPr>
        <rFont val="FreeSans"/>
        <color theme="1"/>
        <sz val="14.0"/>
      </rPr>
      <t xml:space="preserve">กำหนดค่าและบังคับใช้ </t>
    </r>
    <r>
      <rPr>
        <rFont val="Calibri"/>
        <color theme="1"/>
        <sz val="14.0"/>
      </rPr>
      <t xml:space="preserve">'Time Limit on Process Execution Without Supervision'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เปิดใช้ </t>
    </r>
    <r>
      <rPr>
        <rFont val="Calibri"/>
        <color theme="1"/>
        <sz val="14.0"/>
      </rPr>
      <t xml:space="preserve">File Integrity Monitoring, Secure Boot, Code Signing </t>
    </r>
    <r>
      <rPr>
        <rFont val="FreeSans"/>
        <color theme="1"/>
        <sz val="14.0"/>
      </rPr>
      <t xml:space="preserve">และตรวจ </t>
    </r>
    <r>
      <rPr>
        <rFont val="Calibri"/>
        <color theme="1"/>
        <sz val="14.0"/>
      </rPr>
      <t xml:space="preserve">Integrity </t>
    </r>
    <r>
      <rPr>
        <rFont val="FreeSans"/>
        <color theme="1"/>
        <sz val="14.0"/>
      </rPr>
      <t xml:space="preserve">ของ </t>
    </r>
    <r>
      <rPr>
        <rFont val="Calibri"/>
        <color theme="1"/>
        <sz val="14.0"/>
      </rPr>
      <t>Firmware</t>
    </r>
  </si>
  <si>
    <t>ESBIT-SI-07(17)</t>
  </si>
  <si>
    <t>SI-07(17)</t>
  </si>
  <si>
    <t>Software, Firmware, and Information Integrity | Runtime Application Self-protection</t>
  </si>
  <si>
    <t>Enhances SI-07 (Software, Firmware, and Information Integrity): configure and enforce 'Runtime Application Self-protection' in addition to the base setting, keep it consistent across applicable systems and document approved exceptions. Base scope: Enable file integrity monitoring, secure boot, code signing and firmware integrity checks</t>
  </si>
  <si>
    <r>
      <rPr>
        <rFont val="FreeSans"/>
        <color theme="1"/>
        <sz val="14.0"/>
      </rPr>
      <t xml:space="preserve">ส่วนขยายของ </t>
    </r>
    <r>
      <rPr>
        <rFont val="Calibri"/>
        <color theme="1"/>
        <sz val="14.0"/>
      </rPr>
      <t xml:space="preserve">SI-07: </t>
    </r>
    <r>
      <rPr>
        <rFont val="FreeSans"/>
        <color theme="1"/>
        <sz val="14.0"/>
      </rPr>
      <t xml:space="preserve">กำหนดค่าและบังคับใช้ </t>
    </r>
    <r>
      <rPr>
        <rFont val="Calibri"/>
        <color theme="1"/>
        <sz val="14.0"/>
      </rPr>
      <t xml:space="preserve">'Runtime Application Self-protection'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เปิดใช้ </t>
    </r>
    <r>
      <rPr>
        <rFont val="Calibri"/>
        <color theme="1"/>
        <sz val="14.0"/>
      </rPr>
      <t xml:space="preserve">File Integrity Monitoring, Secure Boot, Code Signing </t>
    </r>
    <r>
      <rPr>
        <rFont val="FreeSans"/>
        <color theme="1"/>
        <sz val="14.0"/>
      </rPr>
      <t xml:space="preserve">และตรวจ </t>
    </r>
    <r>
      <rPr>
        <rFont val="Calibri"/>
        <color theme="1"/>
        <sz val="14.0"/>
      </rPr>
      <t xml:space="preserve">Integrity </t>
    </r>
    <r>
      <rPr>
        <rFont val="FreeSans"/>
        <color theme="1"/>
        <sz val="14.0"/>
      </rPr>
      <t xml:space="preserve">ของ </t>
    </r>
    <r>
      <rPr>
        <rFont val="Calibri"/>
        <color theme="1"/>
        <sz val="14.0"/>
      </rPr>
      <t>Firmware</t>
    </r>
  </si>
  <si>
    <t>ESBIT-SI-08</t>
  </si>
  <si>
    <t>SI-08</t>
  </si>
  <si>
    <t>Spam Protection</t>
  </si>
  <si>
    <t>Configure email gateway anti-spam and anti-phishing with automatic rule updates</t>
  </si>
  <si>
    <r>
      <rPr>
        <rFont val="FreeSans"/>
        <color theme="1"/>
        <sz val="14.0"/>
      </rPr>
      <t xml:space="preserve">ตั้งค่า </t>
    </r>
    <r>
      <rPr>
        <rFont val="Calibri"/>
        <color theme="1"/>
        <sz val="14.0"/>
      </rPr>
      <t xml:space="preserve">Email Gateway </t>
    </r>
    <r>
      <rPr>
        <rFont val="FreeSans"/>
        <color theme="1"/>
        <sz val="14.0"/>
      </rPr>
      <t>ป้องกันสแปม</t>
    </r>
    <r>
      <rPr>
        <rFont val="Calibri"/>
        <color theme="1"/>
        <sz val="14.0"/>
      </rPr>
      <t>/</t>
    </r>
    <r>
      <rPr>
        <rFont val="FreeSans"/>
        <color theme="1"/>
        <sz val="14.0"/>
      </rPr>
      <t>ฟิชชิงพร้อมอัปเดตกฎอัตโนมัติ</t>
    </r>
  </si>
  <si>
    <t>ESBIT-SI-08(01)</t>
  </si>
  <si>
    <t>SI-08(01)</t>
  </si>
  <si>
    <t>Spam Protection | Central Management</t>
  </si>
  <si>
    <t>Enhances SI-08 (Spam Protection): configure and enforce 'Central Management' in addition to the base setting, keep it consistent across applicable systems and document approved exceptions. Base scope: Configure email gateway anti-spam and anti-phishing with automatic rule updates</t>
  </si>
  <si>
    <r>
      <rPr>
        <rFont val="FreeSans"/>
        <color theme="1"/>
        <sz val="14.0"/>
      </rPr>
      <t xml:space="preserve">ส่วนขยายของ </t>
    </r>
    <r>
      <rPr>
        <rFont val="Calibri"/>
        <color theme="1"/>
        <sz val="14.0"/>
      </rPr>
      <t xml:space="preserve">SI-08: </t>
    </r>
    <r>
      <rPr>
        <rFont val="FreeSans"/>
        <color theme="1"/>
        <sz val="14.0"/>
      </rPr>
      <t xml:space="preserve">กำหนดค่าและบังคับใช้ </t>
    </r>
    <r>
      <rPr>
        <rFont val="Calibri"/>
        <color theme="1"/>
        <sz val="14.0"/>
      </rPr>
      <t xml:space="preserve">'Central Management'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Email Gateway </t>
    </r>
    <r>
      <rPr>
        <rFont val="FreeSans"/>
        <color theme="1"/>
        <sz val="14.0"/>
      </rPr>
      <t>ป้องกันสแปม</t>
    </r>
    <r>
      <rPr>
        <rFont val="Calibri"/>
        <color theme="1"/>
        <sz val="14.0"/>
      </rPr>
      <t>/</t>
    </r>
    <r>
      <rPr>
        <rFont val="FreeSans"/>
        <color theme="1"/>
        <sz val="14.0"/>
      </rPr>
      <t>ฟิชชิงพร้อมอัปเดตกฎอัตโนมัติ</t>
    </r>
  </si>
  <si>
    <t>ESBIT-SI-08(02)</t>
  </si>
  <si>
    <t>SI-08(02)</t>
  </si>
  <si>
    <t>Spam Protection | Automatic Updates</t>
  </si>
  <si>
    <t>Enhances SI-08 (Spam Protection): configure and enforce 'Automatic Updates' in addition to the base setting, keep it consistent across applicable systems and document approved exceptions. Base scope: Configure email gateway anti-spam and anti-phishing with automatic rule updates</t>
  </si>
  <si>
    <r>
      <rPr>
        <rFont val="FreeSans"/>
        <color theme="1"/>
        <sz val="14.0"/>
      </rPr>
      <t xml:space="preserve">ส่วนขยายของ </t>
    </r>
    <r>
      <rPr>
        <rFont val="Calibri"/>
        <color theme="1"/>
        <sz val="14.0"/>
      </rPr>
      <t xml:space="preserve">SI-08: </t>
    </r>
    <r>
      <rPr>
        <rFont val="FreeSans"/>
        <color theme="1"/>
        <sz val="14.0"/>
      </rPr>
      <t xml:space="preserve">กำหนดค่าและบังคับใช้ </t>
    </r>
    <r>
      <rPr>
        <rFont val="Calibri"/>
        <color theme="1"/>
        <sz val="14.0"/>
      </rPr>
      <t xml:space="preserve">'Automatic Updates'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Email Gateway </t>
    </r>
    <r>
      <rPr>
        <rFont val="FreeSans"/>
        <color theme="1"/>
        <sz val="14.0"/>
      </rPr>
      <t>ป้องกันสแปม</t>
    </r>
    <r>
      <rPr>
        <rFont val="Calibri"/>
        <color theme="1"/>
        <sz val="14.0"/>
      </rPr>
      <t>/</t>
    </r>
    <r>
      <rPr>
        <rFont val="FreeSans"/>
        <color theme="1"/>
        <sz val="14.0"/>
      </rPr>
      <t>ฟิชชิงพร้อมอัปเดตกฎอัตโนมัติ</t>
    </r>
  </si>
  <si>
    <t>ESBIT-SI-08(03)</t>
  </si>
  <si>
    <t>SI-08(03)</t>
  </si>
  <si>
    <t>Spam Protection | Continuous Learning Capabilities</t>
  </si>
  <si>
    <t>Enhances SI-08 (Spam Protection): configure and enforce 'Continuous Learning Capabilities' in addition to the base setting, keep it consistent across applicable systems and document approved exceptions. Base scope: Configure email gateway anti-spam and anti-phishing with automatic rule updates</t>
  </si>
  <si>
    <r>
      <rPr>
        <rFont val="FreeSans"/>
        <color theme="1"/>
        <sz val="14.0"/>
      </rPr>
      <t xml:space="preserve">ส่วนขยายของ </t>
    </r>
    <r>
      <rPr>
        <rFont val="Calibri"/>
        <color theme="1"/>
        <sz val="14.0"/>
      </rPr>
      <t xml:space="preserve">SI-08: </t>
    </r>
    <r>
      <rPr>
        <rFont val="FreeSans"/>
        <color theme="1"/>
        <sz val="14.0"/>
      </rPr>
      <t xml:space="preserve">กำหนดค่าและบังคับใช้ </t>
    </r>
    <r>
      <rPr>
        <rFont val="Calibri"/>
        <color theme="1"/>
        <sz val="14.0"/>
      </rPr>
      <t xml:space="preserve">'Continuous Learning Capabilities'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Email Gateway </t>
    </r>
    <r>
      <rPr>
        <rFont val="FreeSans"/>
        <color theme="1"/>
        <sz val="14.0"/>
      </rPr>
      <t>ป้องกันสแปม</t>
    </r>
    <r>
      <rPr>
        <rFont val="Calibri"/>
        <color theme="1"/>
        <sz val="14.0"/>
      </rPr>
      <t>/</t>
    </r>
    <r>
      <rPr>
        <rFont val="FreeSans"/>
        <color theme="1"/>
        <sz val="14.0"/>
      </rPr>
      <t>ฟิชชิงพร้อมอัปเดตกฎอัตโนมัติ</t>
    </r>
  </si>
  <si>
    <t>ESBIT-SI-10</t>
  </si>
  <si>
    <t>SI-10</t>
  </si>
  <si>
    <t>Information Input Validation</t>
  </si>
  <si>
    <t>Configure input validation, parameterized queries and WAF rules against injection and malformed input</t>
  </si>
  <si>
    <r>
      <rPr>
        <rFont val="FreeSans"/>
        <color theme="1"/>
        <sz val="14.0"/>
      </rPr>
      <t xml:space="preserve">ตั้งค่า </t>
    </r>
    <r>
      <rPr>
        <rFont val="Calibri"/>
        <color theme="1"/>
        <sz val="14.0"/>
      </rPr>
      <t xml:space="preserve">Input Validation, Parameterized Query </t>
    </r>
    <r>
      <rPr>
        <rFont val="FreeSans"/>
        <color theme="1"/>
        <sz val="14.0"/>
      </rPr>
      <t xml:space="preserve">และ </t>
    </r>
    <r>
      <rPr>
        <rFont val="Calibri"/>
        <color theme="1"/>
        <sz val="14.0"/>
      </rPr>
      <t xml:space="preserve">WAF </t>
    </r>
    <r>
      <rPr>
        <rFont val="FreeSans"/>
        <color theme="1"/>
        <sz val="14.0"/>
      </rPr>
      <t xml:space="preserve">ป้องกัน </t>
    </r>
    <r>
      <rPr>
        <rFont val="Calibri"/>
        <color theme="1"/>
        <sz val="14.0"/>
      </rPr>
      <t xml:space="preserve">Injection </t>
    </r>
    <r>
      <rPr>
        <rFont val="FreeSans"/>
        <color theme="1"/>
        <sz val="14.0"/>
      </rPr>
      <t>และข้อมูลผิดรูป</t>
    </r>
  </si>
  <si>
    <t>Application/Software, Database</t>
  </si>
  <si>
    <t>ESBIT-SI-10(01)</t>
  </si>
  <si>
    <t>SI-10(01)</t>
  </si>
  <si>
    <t>Information Input Validation | Manual Override</t>
  </si>
  <si>
    <t>Enhances SI-10 (Information Input Validation): configure and enforce 'Manual Override' in addition to the base setting, keep it consistent across applicable systems and document approved exceptions. Base scope: Configure input validation, parameterized queries and WAF rules against injection and malformed input</t>
  </si>
  <si>
    <r>
      <rPr>
        <rFont val="FreeSans"/>
        <color theme="1"/>
        <sz val="14.0"/>
      </rPr>
      <t xml:space="preserve">ส่วนขยายของ </t>
    </r>
    <r>
      <rPr>
        <rFont val="Calibri"/>
        <color theme="1"/>
        <sz val="14.0"/>
      </rPr>
      <t xml:space="preserve">SI-10: </t>
    </r>
    <r>
      <rPr>
        <rFont val="FreeSans"/>
        <color theme="1"/>
        <sz val="14.0"/>
      </rPr>
      <t xml:space="preserve">กำหนดค่าและบังคับใช้ </t>
    </r>
    <r>
      <rPr>
        <rFont val="Calibri"/>
        <color theme="1"/>
        <sz val="14.0"/>
      </rPr>
      <t xml:space="preserve">'Manual Override'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Input Validation, Parameterized Query </t>
    </r>
    <r>
      <rPr>
        <rFont val="FreeSans"/>
        <color theme="1"/>
        <sz val="14.0"/>
      </rPr>
      <t xml:space="preserve">และ </t>
    </r>
    <r>
      <rPr>
        <rFont val="Calibri"/>
        <color theme="1"/>
        <sz val="14.0"/>
      </rPr>
      <t xml:space="preserve">WAF </t>
    </r>
    <r>
      <rPr>
        <rFont val="FreeSans"/>
        <color theme="1"/>
        <sz val="14.0"/>
      </rPr>
      <t xml:space="preserve">ป้องกัน </t>
    </r>
    <r>
      <rPr>
        <rFont val="Calibri"/>
        <color theme="1"/>
        <sz val="14.0"/>
      </rPr>
      <t xml:space="preserve">Injection </t>
    </r>
    <r>
      <rPr>
        <rFont val="FreeSans"/>
        <color theme="1"/>
        <sz val="14.0"/>
      </rPr>
      <t>และข้อมูลผิดรูป</t>
    </r>
  </si>
  <si>
    <t>ESBIT-SI-10(02)</t>
  </si>
  <si>
    <t>SI-10(02)</t>
  </si>
  <si>
    <t>Information Input Validation | Review and Resolve Errors</t>
  </si>
  <si>
    <t>Enhances SI-10 (Information Input Validation): configure and enforce 'Review and Resolve Errors' in addition to the base setting, keep it consistent across applicable systems and document approved exceptions. Base scope: Configure input validation, parameterized queries and WAF rules against injection and malformed input</t>
  </si>
  <si>
    <r>
      <rPr>
        <rFont val="FreeSans"/>
        <color theme="1"/>
        <sz val="14.0"/>
      </rPr>
      <t xml:space="preserve">ส่วนขยายของ </t>
    </r>
    <r>
      <rPr>
        <rFont val="Calibri"/>
        <color theme="1"/>
        <sz val="14.0"/>
      </rPr>
      <t xml:space="preserve">SI-10: </t>
    </r>
    <r>
      <rPr>
        <rFont val="FreeSans"/>
        <color theme="1"/>
        <sz val="14.0"/>
      </rPr>
      <t xml:space="preserve">กำหนดค่าและบังคับใช้ </t>
    </r>
    <r>
      <rPr>
        <rFont val="Calibri"/>
        <color theme="1"/>
        <sz val="14.0"/>
      </rPr>
      <t xml:space="preserve">'Review and Resolve Errors'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Input Validation, Parameterized Query </t>
    </r>
    <r>
      <rPr>
        <rFont val="FreeSans"/>
        <color theme="1"/>
        <sz val="14.0"/>
      </rPr>
      <t xml:space="preserve">และ </t>
    </r>
    <r>
      <rPr>
        <rFont val="Calibri"/>
        <color theme="1"/>
        <sz val="14.0"/>
      </rPr>
      <t xml:space="preserve">WAF </t>
    </r>
    <r>
      <rPr>
        <rFont val="FreeSans"/>
        <color theme="1"/>
        <sz val="14.0"/>
      </rPr>
      <t xml:space="preserve">ป้องกัน </t>
    </r>
    <r>
      <rPr>
        <rFont val="Calibri"/>
        <color theme="1"/>
        <sz val="14.0"/>
      </rPr>
      <t xml:space="preserve">Injection </t>
    </r>
    <r>
      <rPr>
        <rFont val="FreeSans"/>
        <color theme="1"/>
        <sz val="14.0"/>
      </rPr>
      <t>และข้อมูลผิดรูป</t>
    </r>
  </si>
  <si>
    <t>ESBIT-SI-10(03)</t>
  </si>
  <si>
    <t>SI-10(03)</t>
  </si>
  <si>
    <t>Information Input Validation | Predictable Behavior</t>
  </si>
  <si>
    <t>Enhances SI-10 (Information Input Validation): configure and enforce 'Predictable Behavior' in addition to the base setting, keep it consistent across applicable systems and document approved exceptions. Base scope: Configure input validation, parameterized queries and WAF rules against injection and malformed input</t>
  </si>
  <si>
    <r>
      <rPr>
        <rFont val="FreeSans"/>
        <color theme="1"/>
        <sz val="14.0"/>
      </rPr>
      <t xml:space="preserve">ส่วนขยายของ </t>
    </r>
    <r>
      <rPr>
        <rFont val="Calibri"/>
        <color theme="1"/>
        <sz val="14.0"/>
      </rPr>
      <t xml:space="preserve">SI-10: </t>
    </r>
    <r>
      <rPr>
        <rFont val="FreeSans"/>
        <color theme="1"/>
        <sz val="14.0"/>
      </rPr>
      <t xml:space="preserve">กำหนดค่าและบังคับใช้ </t>
    </r>
    <r>
      <rPr>
        <rFont val="Calibri"/>
        <color theme="1"/>
        <sz val="14.0"/>
      </rPr>
      <t xml:space="preserve">'Predictable Behavior'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Input Validation, Parameterized Query </t>
    </r>
    <r>
      <rPr>
        <rFont val="FreeSans"/>
        <color theme="1"/>
        <sz val="14.0"/>
      </rPr>
      <t xml:space="preserve">และ </t>
    </r>
    <r>
      <rPr>
        <rFont val="Calibri"/>
        <color theme="1"/>
        <sz val="14.0"/>
      </rPr>
      <t xml:space="preserve">WAF </t>
    </r>
    <r>
      <rPr>
        <rFont val="FreeSans"/>
        <color theme="1"/>
        <sz val="14.0"/>
      </rPr>
      <t xml:space="preserve">ป้องกัน </t>
    </r>
    <r>
      <rPr>
        <rFont val="Calibri"/>
        <color theme="1"/>
        <sz val="14.0"/>
      </rPr>
      <t xml:space="preserve">Injection </t>
    </r>
    <r>
      <rPr>
        <rFont val="FreeSans"/>
        <color theme="1"/>
        <sz val="14.0"/>
      </rPr>
      <t>และข้อมูลผิดรูป</t>
    </r>
  </si>
  <si>
    <t>ESBIT-SI-10(04)</t>
  </si>
  <si>
    <t>SI-10(04)</t>
  </si>
  <si>
    <t>Information Input Validation | Timing Interactions</t>
  </si>
  <si>
    <t>Enhances SI-10 (Information Input Validation): configure and enforce 'Timing Interactions' in addition to the base setting, keep it consistent across applicable systems and document approved exceptions. Base scope: Configure input validation, parameterized queries and WAF rules against injection and malformed input</t>
  </si>
  <si>
    <r>
      <rPr>
        <rFont val="FreeSans"/>
        <color theme="1"/>
        <sz val="14.0"/>
      </rPr>
      <t xml:space="preserve">ส่วนขยายของ </t>
    </r>
    <r>
      <rPr>
        <rFont val="Calibri"/>
        <color theme="1"/>
        <sz val="14.0"/>
      </rPr>
      <t xml:space="preserve">SI-10: </t>
    </r>
    <r>
      <rPr>
        <rFont val="FreeSans"/>
        <color theme="1"/>
        <sz val="14.0"/>
      </rPr>
      <t xml:space="preserve">กำหนดค่าและบังคับใช้ </t>
    </r>
    <r>
      <rPr>
        <rFont val="Calibri"/>
        <color theme="1"/>
        <sz val="14.0"/>
      </rPr>
      <t xml:space="preserve">'Timing Interactions'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Input Validation, Parameterized Query </t>
    </r>
    <r>
      <rPr>
        <rFont val="FreeSans"/>
        <color theme="1"/>
        <sz val="14.0"/>
      </rPr>
      <t xml:space="preserve">และ </t>
    </r>
    <r>
      <rPr>
        <rFont val="Calibri"/>
        <color theme="1"/>
        <sz val="14.0"/>
      </rPr>
      <t xml:space="preserve">WAF </t>
    </r>
    <r>
      <rPr>
        <rFont val="FreeSans"/>
        <color theme="1"/>
        <sz val="14.0"/>
      </rPr>
      <t xml:space="preserve">ป้องกัน </t>
    </r>
    <r>
      <rPr>
        <rFont val="Calibri"/>
        <color theme="1"/>
        <sz val="14.0"/>
      </rPr>
      <t xml:space="preserve">Injection </t>
    </r>
    <r>
      <rPr>
        <rFont val="FreeSans"/>
        <color theme="1"/>
        <sz val="14.0"/>
      </rPr>
      <t>และข้อมูลผิดรูป</t>
    </r>
  </si>
  <si>
    <t>ESBIT-SI-10(05)</t>
  </si>
  <si>
    <t>SI-10(05)</t>
  </si>
  <si>
    <t>Information Input Validation | Restrict Inputs to Trusted Sources and Approved Formats</t>
  </si>
  <si>
    <t>Enhances SI-10 (Information Input Validation): configure and enforce 'Restrict Inputs to Trusted Sources and Approved Formats' in addition to the base setting, keep it consistent across applicable systems and document approved exceptions. Base scope: Configure input validation, parameterized queries and WAF rules against injection and malformed input</t>
  </si>
  <si>
    <r>
      <rPr>
        <rFont val="FreeSans"/>
        <color theme="1"/>
        <sz val="14.0"/>
      </rPr>
      <t xml:space="preserve">ส่วนขยายของ </t>
    </r>
    <r>
      <rPr>
        <rFont val="Calibri"/>
        <color theme="1"/>
        <sz val="14.0"/>
      </rPr>
      <t xml:space="preserve">SI-10: </t>
    </r>
    <r>
      <rPr>
        <rFont val="FreeSans"/>
        <color theme="1"/>
        <sz val="14.0"/>
      </rPr>
      <t xml:space="preserve">กำหนดค่าและบังคับใช้ </t>
    </r>
    <r>
      <rPr>
        <rFont val="Calibri"/>
        <color theme="1"/>
        <sz val="14.0"/>
      </rPr>
      <t xml:space="preserve">'Restrict Inputs to Trusted Sources and Approved Formats'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Input Validation, Parameterized Query </t>
    </r>
    <r>
      <rPr>
        <rFont val="FreeSans"/>
        <color theme="1"/>
        <sz val="14.0"/>
      </rPr>
      <t xml:space="preserve">และ </t>
    </r>
    <r>
      <rPr>
        <rFont val="Calibri"/>
        <color theme="1"/>
        <sz val="14.0"/>
      </rPr>
      <t xml:space="preserve">WAF </t>
    </r>
    <r>
      <rPr>
        <rFont val="FreeSans"/>
        <color theme="1"/>
        <sz val="14.0"/>
      </rPr>
      <t xml:space="preserve">ป้องกัน </t>
    </r>
    <r>
      <rPr>
        <rFont val="Calibri"/>
        <color theme="1"/>
        <sz val="14.0"/>
      </rPr>
      <t xml:space="preserve">Injection </t>
    </r>
    <r>
      <rPr>
        <rFont val="FreeSans"/>
        <color theme="1"/>
        <sz val="14.0"/>
      </rPr>
      <t>และข้อมูลผิดรูป</t>
    </r>
  </si>
  <si>
    <t>ESBIT-SI-10(06)</t>
  </si>
  <si>
    <t>SI-10(06)</t>
  </si>
  <si>
    <t>Information Input Validation | Injection Prevention</t>
  </si>
  <si>
    <t>Enhances SI-10 (Information Input Validation): configure and enforce 'Injection Prevention' in addition to the base setting, keep it consistent across applicable systems and document approved exceptions. Base scope: Configure input validation, parameterized queries and WAF rules against injection and malformed input</t>
  </si>
  <si>
    <r>
      <rPr>
        <rFont val="FreeSans"/>
        <color theme="1"/>
        <sz val="14.0"/>
      </rPr>
      <t xml:space="preserve">ส่วนขยายของ </t>
    </r>
    <r>
      <rPr>
        <rFont val="Calibri"/>
        <color theme="1"/>
        <sz val="14.0"/>
      </rPr>
      <t xml:space="preserve">SI-10: </t>
    </r>
    <r>
      <rPr>
        <rFont val="FreeSans"/>
        <color theme="1"/>
        <sz val="14.0"/>
      </rPr>
      <t xml:space="preserve">กำหนดค่าและบังคับใช้ </t>
    </r>
    <r>
      <rPr>
        <rFont val="Calibri"/>
        <color theme="1"/>
        <sz val="14.0"/>
      </rPr>
      <t xml:space="preserve">'Injection Prevention'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 xml:space="preserve">Input Validation, Parameterized Query </t>
    </r>
    <r>
      <rPr>
        <rFont val="FreeSans"/>
        <color theme="1"/>
        <sz val="14.0"/>
      </rPr>
      <t xml:space="preserve">และ </t>
    </r>
    <r>
      <rPr>
        <rFont val="Calibri"/>
        <color theme="1"/>
        <sz val="14.0"/>
      </rPr>
      <t xml:space="preserve">WAF </t>
    </r>
    <r>
      <rPr>
        <rFont val="FreeSans"/>
        <color theme="1"/>
        <sz val="14.0"/>
      </rPr>
      <t xml:space="preserve">ป้องกัน </t>
    </r>
    <r>
      <rPr>
        <rFont val="Calibri"/>
        <color theme="1"/>
        <sz val="14.0"/>
      </rPr>
      <t xml:space="preserve">Injection </t>
    </r>
    <r>
      <rPr>
        <rFont val="FreeSans"/>
        <color theme="1"/>
        <sz val="14.0"/>
      </rPr>
      <t>และข้อมูลผิดรูป</t>
    </r>
  </si>
  <si>
    <t>ESBIT-SI-11</t>
  </si>
  <si>
    <t>SI-11</t>
  </si>
  <si>
    <t>Error Handling</t>
  </si>
  <si>
    <t>Configure generic error messages that do not expose system details and log detailed errors internally</t>
  </si>
  <si>
    <r>
      <rPr>
        <rFont val="FreeSans"/>
        <color theme="1"/>
        <sz val="14.0"/>
      </rPr>
      <t xml:space="preserve">ตั้งค่าข้อความ </t>
    </r>
    <r>
      <rPr>
        <rFont val="Calibri"/>
        <color theme="1"/>
        <sz val="14.0"/>
      </rPr>
      <t xml:space="preserve">Error </t>
    </r>
    <r>
      <rPr>
        <rFont val="FreeSans"/>
        <color theme="1"/>
        <sz val="14.0"/>
      </rPr>
      <t>ทั่วไปไม่เปิดเผยรายละเอียดระบบ และบันทึกรายละเอียดภายใน</t>
    </r>
  </si>
  <si>
    <t>ESBIT-SI-12</t>
  </si>
  <si>
    <t>SI-12</t>
  </si>
  <si>
    <t>Information Management and Retention</t>
  </si>
  <si>
    <t>Configure data retention, archiving and deletion schedules for information handled by systems</t>
  </si>
  <si>
    <r>
      <rPr>
        <rFont val="FreeSans"/>
        <color theme="1"/>
        <sz val="14.0"/>
      </rPr>
      <t xml:space="preserve">ตั้งค่าระยะเวลาเก็บ ตารางลบ และ </t>
    </r>
    <r>
      <rPr>
        <rFont val="Calibri"/>
        <color theme="1"/>
        <sz val="14.0"/>
      </rPr>
      <t xml:space="preserve">Archive </t>
    </r>
    <r>
      <rPr>
        <rFont val="FreeSans"/>
        <color theme="1"/>
        <sz val="14.0"/>
      </rPr>
      <t>ข้อมูลของระบบ</t>
    </r>
  </si>
  <si>
    <t>ESBIT-SI-12(01)</t>
  </si>
  <si>
    <t>SI-12(01)</t>
  </si>
  <si>
    <t>Information Management and Retention | Limit Personally Identifiable Information Elements</t>
  </si>
  <si>
    <t>Enhances SI-12 (Information Management and Retention): configure and enforce 'Limit Personally Identifiable Information Elements' in addition to the base setting, keep it consistent across applicable systems and document approved exceptions. Base scope: Configure data retention, archiving and deletion schedules for information handled by systems</t>
  </si>
  <si>
    <r>
      <rPr>
        <rFont val="FreeSans"/>
        <color theme="1"/>
        <sz val="14.0"/>
      </rPr>
      <t xml:space="preserve">ส่วนขยายของ </t>
    </r>
    <r>
      <rPr>
        <rFont val="Calibri"/>
        <color theme="1"/>
        <sz val="14.0"/>
      </rPr>
      <t xml:space="preserve">SI-12: </t>
    </r>
    <r>
      <rPr>
        <rFont val="FreeSans"/>
        <color theme="1"/>
        <sz val="14.0"/>
      </rPr>
      <t xml:space="preserve">กำหนดค่าและบังคับใช้ </t>
    </r>
    <r>
      <rPr>
        <rFont val="Calibri"/>
        <color theme="1"/>
        <sz val="14.0"/>
      </rPr>
      <t xml:space="preserve">'Limit Personally Identifiable Information Elements'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ตั้งค่าระยะเวลาเก็บ ตารางลบ และ </t>
    </r>
    <r>
      <rPr>
        <rFont val="Calibri"/>
        <color theme="1"/>
        <sz val="14.0"/>
      </rPr>
      <t xml:space="preserve">Archive </t>
    </r>
    <r>
      <rPr>
        <rFont val="FreeSans"/>
        <color theme="1"/>
        <sz val="14.0"/>
      </rPr>
      <t>ข้อมูลของระบบ</t>
    </r>
  </si>
  <si>
    <t>ESBIT-SI-12(02)</t>
  </si>
  <si>
    <t>SI-12(02)</t>
  </si>
  <si>
    <t>Information Management and Retention | Minimize Personally Identifiable Information in Testing, Training, and Research</t>
  </si>
  <si>
    <t>Enhances SI-12 (Information Management and Retention): configure and enforce 'Minimize Personally Identifiable Information in Testing, Training, and Research' in addition to the base setting, keep it consistent across applicable systems and document approved exceptions. Base scope: Configure data retention, archiving and deletion schedules for information handled by systems</t>
  </si>
  <si>
    <r>
      <rPr>
        <rFont val="FreeSans"/>
        <color theme="1"/>
        <sz val="14.0"/>
      </rPr>
      <t xml:space="preserve">ส่วนขยายของ </t>
    </r>
    <r>
      <rPr>
        <rFont val="Calibri"/>
        <color theme="1"/>
        <sz val="14.0"/>
      </rPr>
      <t xml:space="preserve">SI-12: </t>
    </r>
    <r>
      <rPr>
        <rFont val="FreeSans"/>
        <color theme="1"/>
        <sz val="14.0"/>
      </rPr>
      <t xml:space="preserve">กำหนดค่าและบังคับใช้ </t>
    </r>
    <r>
      <rPr>
        <rFont val="Calibri"/>
        <color theme="1"/>
        <sz val="14.0"/>
      </rPr>
      <t xml:space="preserve">'Minimize Personally Identifiable Information in Testing, Training, and Research'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ตั้งค่าระยะเวลาเก็บ ตารางลบ และ </t>
    </r>
    <r>
      <rPr>
        <rFont val="Calibri"/>
        <color theme="1"/>
        <sz val="14.0"/>
      </rPr>
      <t xml:space="preserve">Archive </t>
    </r>
    <r>
      <rPr>
        <rFont val="FreeSans"/>
        <color theme="1"/>
        <sz val="14.0"/>
      </rPr>
      <t>ข้อมูลของระบบ</t>
    </r>
  </si>
  <si>
    <t>ESBIT-SI-12(03)</t>
  </si>
  <si>
    <t>SI-12(03)</t>
  </si>
  <si>
    <t>Information Management and Retention | Information Disposal</t>
  </si>
  <si>
    <t>Enhances SI-12 (Information Management and Retention): configure and enforce 'Information Disposal' in addition to the base setting, keep it consistent across applicable systems and document approved exceptions. Base scope: Configure data retention, archiving and deletion schedules for information handled by systems</t>
  </si>
  <si>
    <r>
      <rPr>
        <rFont val="FreeSans"/>
        <color theme="1"/>
        <sz val="14.0"/>
      </rPr>
      <t xml:space="preserve">ส่วนขยายของ </t>
    </r>
    <r>
      <rPr>
        <rFont val="Calibri"/>
        <color theme="1"/>
        <sz val="14.0"/>
      </rPr>
      <t xml:space="preserve">SI-12: </t>
    </r>
    <r>
      <rPr>
        <rFont val="FreeSans"/>
        <color theme="1"/>
        <sz val="14.0"/>
      </rPr>
      <t xml:space="preserve">กำหนดค่าและบังคับใช้ </t>
    </r>
    <r>
      <rPr>
        <rFont val="Calibri"/>
        <color theme="1"/>
        <sz val="14.0"/>
      </rPr>
      <t xml:space="preserve">'Information Disposal'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ตั้งค่าระยะเวลาเก็บ ตารางลบ และ </t>
    </r>
    <r>
      <rPr>
        <rFont val="Calibri"/>
        <color theme="1"/>
        <sz val="14.0"/>
      </rPr>
      <t xml:space="preserve">Archive </t>
    </r>
    <r>
      <rPr>
        <rFont val="FreeSans"/>
        <color theme="1"/>
        <sz val="14.0"/>
      </rPr>
      <t>ข้อมูลของระบบ</t>
    </r>
  </si>
  <si>
    <t>ESBIT-SI-13</t>
  </si>
  <si>
    <t>SI-13</t>
  </si>
  <si>
    <t>Predictable Failure Prevention</t>
  </si>
  <si>
    <t>Monitor component health and replace before predicted failure</t>
  </si>
  <si>
    <t>เฝ้าระวังสุขภาพคอมโพเนนต์และเปลี่ยนก่อนความล้มเหลว</t>
  </si>
  <si>
    <t>ESBIT-SI-13(01)</t>
  </si>
  <si>
    <t>SI-13(01)</t>
  </si>
  <si>
    <t>Predictable Failure Prevention | Transferring Component Responsibilities</t>
  </si>
  <si>
    <t>Enhances SI-13 (Predictable Failure Prevention): configure and enforce 'Transferring Component Responsibilities' in addition to the base setting, keep it consistent across applicable systems and document approved exceptions. Base scope: Monitor component health and replace before predicted failure</t>
  </si>
  <si>
    <r>
      <rPr>
        <rFont val="FreeSans"/>
        <color theme="1"/>
        <sz val="14.0"/>
      </rPr>
      <t xml:space="preserve">ส่วนขยายของ </t>
    </r>
    <r>
      <rPr>
        <rFont val="Calibri"/>
        <color theme="1"/>
        <sz val="14.0"/>
      </rPr>
      <t xml:space="preserve">SI-13: </t>
    </r>
    <r>
      <rPr>
        <rFont val="FreeSans"/>
        <color theme="1"/>
        <sz val="14.0"/>
      </rPr>
      <t xml:space="preserve">กำหนดค่าและบังคับใช้ </t>
    </r>
    <r>
      <rPr>
        <rFont val="Calibri"/>
        <color theme="1"/>
        <sz val="14.0"/>
      </rPr>
      <t xml:space="preserve">'Transferring Component Responsibilities'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เฝ้าระวังสุขภาพคอมโพเนนต์และเปลี่ยนก่อนความล้มเหลว</t>
    </r>
  </si>
  <si>
    <t>ESBIT-SI-13(03)</t>
  </si>
  <si>
    <t>SI-13(03)</t>
  </si>
  <si>
    <t>Predictable Failure Prevention | Manual Transfer Between Components</t>
  </si>
  <si>
    <t>Enhances SI-13 (Predictable Failure Prevention): configure and enforce 'Manual Transfer Between Components' in addition to the base setting, keep it consistent across applicable systems and document approved exceptions. Base scope: Monitor component health and replace before predicted failure</t>
  </si>
  <si>
    <r>
      <rPr>
        <rFont val="FreeSans"/>
        <color theme="1"/>
        <sz val="14.0"/>
      </rPr>
      <t xml:space="preserve">ส่วนขยายของ </t>
    </r>
    <r>
      <rPr>
        <rFont val="Calibri"/>
        <color theme="1"/>
        <sz val="14.0"/>
      </rPr>
      <t xml:space="preserve">SI-13: </t>
    </r>
    <r>
      <rPr>
        <rFont val="FreeSans"/>
        <color theme="1"/>
        <sz val="14.0"/>
      </rPr>
      <t xml:space="preserve">กำหนดค่าและบังคับใช้ </t>
    </r>
    <r>
      <rPr>
        <rFont val="Calibri"/>
        <color theme="1"/>
        <sz val="14.0"/>
      </rPr>
      <t xml:space="preserve">'Manual Transfer Between Components'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เฝ้าระวังสุขภาพคอมโพเนนต์และเปลี่ยนก่อนความล้มเหลว</t>
    </r>
  </si>
  <si>
    <t>ESBIT-SI-13(04)</t>
  </si>
  <si>
    <t>SI-13(04)</t>
  </si>
  <si>
    <t>Predictable Failure Prevention | Standby Component Installation and Notification</t>
  </si>
  <si>
    <t>Enhances SI-13 (Predictable Failure Prevention): configure and enforce 'Standby Component Installation and Notification' in addition to the base setting, keep it consistent across applicable systems and document approved exceptions. Base scope: Monitor component health and replace before predicted failure</t>
  </si>
  <si>
    <r>
      <rPr>
        <rFont val="FreeSans"/>
        <color theme="1"/>
        <sz val="14.0"/>
      </rPr>
      <t xml:space="preserve">ส่วนขยายของ </t>
    </r>
    <r>
      <rPr>
        <rFont val="Calibri"/>
        <color theme="1"/>
        <sz val="14.0"/>
      </rPr>
      <t xml:space="preserve">SI-13: </t>
    </r>
    <r>
      <rPr>
        <rFont val="FreeSans"/>
        <color theme="1"/>
        <sz val="14.0"/>
      </rPr>
      <t xml:space="preserve">กำหนดค่าและบังคับใช้ </t>
    </r>
    <r>
      <rPr>
        <rFont val="Calibri"/>
        <color theme="1"/>
        <sz val="14.0"/>
      </rPr>
      <t xml:space="preserve">'Standby Component Installation and Notification'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เฝ้าระวังสุขภาพคอมโพเนนต์และเปลี่ยนก่อนความล้มเหลว</t>
    </r>
  </si>
  <si>
    <t>ESBIT-SI-13(05)</t>
  </si>
  <si>
    <t>SI-13(05)</t>
  </si>
  <si>
    <t>Predictable Failure Prevention | Failover Capability</t>
  </si>
  <si>
    <t>Enhances SI-13 (Predictable Failure Prevention): configure and enforce 'Failover Capability' in addition to the base setting, keep it consistent across applicable systems and document approved exceptions. Base scope: Monitor component health and replace before predicted failure</t>
  </si>
  <si>
    <r>
      <rPr>
        <rFont val="FreeSans"/>
        <color theme="1"/>
        <sz val="14.0"/>
      </rPr>
      <t xml:space="preserve">ส่วนขยายของ </t>
    </r>
    <r>
      <rPr>
        <rFont val="Calibri"/>
        <color theme="1"/>
        <sz val="14.0"/>
      </rPr>
      <t xml:space="preserve">SI-13: </t>
    </r>
    <r>
      <rPr>
        <rFont val="FreeSans"/>
        <color theme="1"/>
        <sz val="14.0"/>
      </rPr>
      <t xml:space="preserve">กำหนดค่าและบังคับใช้ </t>
    </r>
    <r>
      <rPr>
        <rFont val="Calibri"/>
        <color theme="1"/>
        <sz val="14.0"/>
      </rPr>
      <t xml:space="preserve">'Failover Capability'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เฝ้าระวังสุขภาพคอมโพเนนต์และเปลี่ยนก่อนความล้มเหลว</t>
    </r>
  </si>
  <si>
    <t>ESBIT-SI-14</t>
  </si>
  <si>
    <t>SI-14</t>
  </si>
  <si>
    <t>Non-persistence</t>
  </si>
  <si>
    <t>Use non-persistent or refreshed system components and connections</t>
  </si>
  <si>
    <r>
      <rPr>
        <rFont val="FreeSans"/>
        <color theme="1"/>
        <sz val="14.0"/>
      </rPr>
      <t>ใช้คอมโพเนนต์</t>
    </r>
    <r>
      <rPr>
        <rFont val="Calibri"/>
        <color theme="1"/>
        <sz val="14.0"/>
      </rPr>
      <t>/</t>
    </r>
    <r>
      <rPr>
        <rFont val="FreeSans"/>
        <color theme="1"/>
        <sz val="14.0"/>
      </rPr>
      <t>การเชื่อมต่อแบบไม่ถาวรและรีเฟรชสม่ำเสมอ</t>
    </r>
  </si>
  <si>
    <t>ESBIT-SI-14(01)</t>
  </si>
  <si>
    <t>SI-14(01)</t>
  </si>
  <si>
    <t>Non-persistence | Refresh from Trusted Sources</t>
  </si>
  <si>
    <t>Enhances SI-14 (Non-persistence): configure and enforce 'Refresh from Trusted Sources' in addition to the base setting, keep it consistent across applicable systems and document approved exceptions. Base scope: Use non-persistent or refreshed system components and connections</t>
  </si>
  <si>
    <r>
      <rPr>
        <rFont val="FreeSans"/>
        <color theme="1"/>
        <sz val="14.0"/>
      </rPr>
      <t xml:space="preserve">ส่วนขยายของ </t>
    </r>
    <r>
      <rPr>
        <rFont val="Calibri"/>
        <color theme="1"/>
        <sz val="14.0"/>
      </rPr>
      <t xml:space="preserve">SI-14: </t>
    </r>
    <r>
      <rPr>
        <rFont val="FreeSans"/>
        <color theme="1"/>
        <sz val="14.0"/>
      </rPr>
      <t xml:space="preserve">กำหนดค่าและบังคับใช้ </t>
    </r>
    <r>
      <rPr>
        <rFont val="Calibri"/>
        <color theme="1"/>
        <sz val="14.0"/>
      </rPr>
      <t xml:space="preserve">'Refresh from Trusted Sources'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ใช้คอมโพเนนต์</t>
    </r>
    <r>
      <rPr>
        <rFont val="Calibri"/>
        <color theme="1"/>
        <sz val="14.0"/>
      </rPr>
      <t>/</t>
    </r>
    <r>
      <rPr>
        <rFont val="FreeSans"/>
        <color theme="1"/>
        <sz val="14.0"/>
      </rPr>
      <t>การเชื่อมต่อแบบไม่ถาวรและรีเฟรชสม่ำเสมอ</t>
    </r>
  </si>
  <si>
    <t>ESBIT-SI-14(02)</t>
  </si>
  <si>
    <t>SI-14(02)</t>
  </si>
  <si>
    <t>Non-persistence | Non-persistent Information</t>
  </si>
  <si>
    <t>Enhances SI-14 (Non-persistence): configure and enforce 'Non-persistent Information' in addition to the base setting, keep it consistent across applicable systems and document approved exceptions. Base scope: Use non-persistent or refreshed system components and connections</t>
  </si>
  <si>
    <r>
      <rPr>
        <rFont val="FreeSans"/>
        <color theme="1"/>
        <sz val="14.0"/>
      </rPr>
      <t xml:space="preserve">ส่วนขยายของ </t>
    </r>
    <r>
      <rPr>
        <rFont val="Calibri"/>
        <color theme="1"/>
        <sz val="14.0"/>
      </rPr>
      <t xml:space="preserve">SI-14: </t>
    </r>
    <r>
      <rPr>
        <rFont val="FreeSans"/>
        <color theme="1"/>
        <sz val="14.0"/>
      </rPr>
      <t xml:space="preserve">กำหนดค่าและบังคับใช้ </t>
    </r>
    <r>
      <rPr>
        <rFont val="Calibri"/>
        <color theme="1"/>
        <sz val="14.0"/>
      </rPr>
      <t xml:space="preserve">'Non-persistent Information'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ใช้คอมโพเนนต์</t>
    </r>
    <r>
      <rPr>
        <rFont val="Calibri"/>
        <color theme="1"/>
        <sz val="14.0"/>
      </rPr>
      <t>/</t>
    </r>
    <r>
      <rPr>
        <rFont val="FreeSans"/>
        <color theme="1"/>
        <sz val="14.0"/>
      </rPr>
      <t>การเชื่อมต่อแบบไม่ถาวรและรีเฟรชสม่ำเสมอ</t>
    </r>
  </si>
  <si>
    <t>ESBIT-SI-14(03)</t>
  </si>
  <si>
    <t>SI-14(03)</t>
  </si>
  <si>
    <t>Non-persistence | Non-persistent Connectivity</t>
  </si>
  <si>
    <t>Enhances SI-14 (Non-persistence): configure and enforce 'Non-persistent Connectivity' in addition to the base setting, keep it consistent across applicable systems and document approved exceptions. Base scope: Use non-persistent or refreshed system components and connections</t>
  </si>
  <si>
    <r>
      <rPr>
        <rFont val="FreeSans"/>
        <color theme="1"/>
        <sz val="14.0"/>
      </rPr>
      <t xml:space="preserve">ส่วนขยายของ </t>
    </r>
    <r>
      <rPr>
        <rFont val="Calibri"/>
        <color theme="1"/>
        <sz val="14.0"/>
      </rPr>
      <t xml:space="preserve">SI-14: </t>
    </r>
    <r>
      <rPr>
        <rFont val="FreeSans"/>
        <color theme="1"/>
        <sz val="14.0"/>
      </rPr>
      <t xml:space="preserve">กำหนดค่าและบังคับใช้ </t>
    </r>
    <r>
      <rPr>
        <rFont val="Calibri"/>
        <color theme="1"/>
        <sz val="14.0"/>
      </rPr>
      <t xml:space="preserve">'Non-persistent Connectivity'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ใช้คอมโพเนนต์</t>
    </r>
    <r>
      <rPr>
        <rFont val="Calibri"/>
        <color theme="1"/>
        <sz val="14.0"/>
      </rPr>
      <t>/</t>
    </r>
    <r>
      <rPr>
        <rFont val="FreeSans"/>
        <color theme="1"/>
        <sz val="14.0"/>
      </rPr>
      <t>การเชื่อมต่อแบบไม่ถาวรและรีเฟรชสม่ำเสมอ</t>
    </r>
  </si>
  <si>
    <t>ESBIT-SI-15</t>
  </si>
  <si>
    <t>SI-15</t>
  </si>
  <si>
    <t>Information Output Filtering</t>
  </si>
  <si>
    <t>Validate and filter system output to prevent data leakage</t>
  </si>
  <si>
    <t>ตรวจสอบและกรองผลลัพธ์จากระบบเพื่อป้องกันข้อมูลรั่ว</t>
  </si>
  <si>
    <t>ESBIT-SI-16</t>
  </si>
  <si>
    <t>SI-16</t>
  </si>
  <si>
    <t>Memory Protection</t>
  </si>
  <si>
    <t>Enable DEP/NX, ASLR and memory protection features on operating systems</t>
  </si>
  <si>
    <r>
      <rPr>
        <rFont val="FreeSans"/>
        <color theme="1"/>
        <sz val="14.0"/>
      </rPr>
      <t xml:space="preserve">เปิดใช้ </t>
    </r>
    <r>
      <rPr>
        <rFont val="Calibri"/>
        <color theme="1"/>
        <sz val="14.0"/>
      </rPr>
      <t xml:space="preserve">DEP/NX, ASLR </t>
    </r>
    <r>
      <rPr>
        <rFont val="FreeSans"/>
        <color theme="1"/>
        <sz val="14.0"/>
      </rPr>
      <t xml:space="preserve">และคุณสมบัติป้องกันหน่วยความจำบน </t>
    </r>
    <r>
      <rPr>
        <rFont val="Calibri"/>
        <color theme="1"/>
        <sz val="14.0"/>
      </rPr>
      <t>OS</t>
    </r>
  </si>
  <si>
    <t>ESBIT-SI-17</t>
  </si>
  <si>
    <t>SI-17</t>
  </si>
  <si>
    <t>Fail-safe Procedures</t>
  </si>
  <si>
    <t>Implement defined fail-safe procedures upon failure conditions</t>
  </si>
  <si>
    <r>
      <rPr>
        <rFont val="FreeSans"/>
        <color theme="1"/>
        <sz val="14.0"/>
      </rPr>
      <t xml:space="preserve">กำหนดขั้นตอน </t>
    </r>
    <r>
      <rPr>
        <rFont val="Calibri"/>
        <color theme="1"/>
        <sz val="14.0"/>
      </rPr>
      <t xml:space="preserve">Fail-safe </t>
    </r>
    <r>
      <rPr>
        <rFont val="FreeSans"/>
        <color theme="1"/>
        <sz val="14.0"/>
      </rPr>
      <t>เมื่อเกิดความล้มเหลว</t>
    </r>
  </si>
  <si>
    <t>ESBIT-SI-18</t>
  </si>
  <si>
    <t>SI-18</t>
  </si>
  <si>
    <t>Personally Identifiable Information Quality Operations</t>
  </si>
  <si>
    <t>Not a direct configuration item - maintaining accuracy and relevance of PII</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</si>
  <si>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การรักษาความถูกต้องของ </t>
    </r>
    <r>
      <rPr>
        <rFont val="Calibri"/>
        <color theme="1"/>
        <sz val="14.0"/>
      </rPr>
      <t>PII</t>
    </r>
  </si>
  <si>
    <t>ESBIT-SI-18(01)</t>
  </si>
  <si>
    <t>SI-18(01)</t>
  </si>
  <si>
    <t>Personally Identifiable Information Quality Operations | Automation Support</t>
  </si>
  <si>
    <t>Not a direct configuration item - enhancement of SI-18 (Personally Identifiable Information Quality Operations): 'Automation Support'; maintaining accuracy and relevance of PII.</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</si>
  <si>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SI-18: 'Automation Support' - </t>
    </r>
    <r>
      <rPr>
        <rFont val="FreeSans"/>
        <color theme="1"/>
        <sz val="14.0"/>
      </rPr>
      <t xml:space="preserve">การรักษาความถูกต้องของ </t>
    </r>
    <r>
      <rPr>
        <rFont val="Calibri"/>
        <color theme="1"/>
        <sz val="14.0"/>
      </rPr>
      <t>PII</t>
    </r>
  </si>
  <si>
    <t>ESBIT-SI-18(02)</t>
  </si>
  <si>
    <t>SI-18(02)</t>
  </si>
  <si>
    <t>Personally Identifiable Information Quality Operations | Data Tags</t>
  </si>
  <si>
    <t>Not a direct configuration item - enhancement of SI-18 (Personally Identifiable Information Quality Operations): 'Data Tags'; maintaining accuracy and relevance of PII.</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</si>
  <si>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SI-18: 'Data Tags' - </t>
    </r>
    <r>
      <rPr>
        <rFont val="FreeSans"/>
        <color theme="1"/>
        <sz val="14.0"/>
      </rPr>
      <t xml:space="preserve">การรักษาความถูกต้องของ </t>
    </r>
    <r>
      <rPr>
        <rFont val="Calibri"/>
        <color theme="1"/>
        <sz val="14.0"/>
      </rPr>
      <t>PII</t>
    </r>
  </si>
  <si>
    <t>ESBIT-SI-18(03)</t>
  </si>
  <si>
    <t>SI-18(03)</t>
  </si>
  <si>
    <t>Personally Identifiable Information Quality Operations | Collection</t>
  </si>
  <si>
    <t>Not a direct configuration item - enhancement of SI-18 (Personally Identifiable Information Quality Operations): 'Collection'; maintaining accuracy and relevance of PII.</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</si>
  <si>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SI-18: 'Collection' - </t>
    </r>
    <r>
      <rPr>
        <rFont val="FreeSans"/>
        <color theme="1"/>
        <sz val="14.0"/>
      </rPr>
      <t xml:space="preserve">การรักษาความถูกต้องของ </t>
    </r>
    <r>
      <rPr>
        <rFont val="Calibri"/>
        <color theme="1"/>
        <sz val="14.0"/>
      </rPr>
      <t>PII</t>
    </r>
  </si>
  <si>
    <t>ESBIT-SI-18(04)</t>
  </si>
  <si>
    <t>SI-18(04)</t>
  </si>
  <si>
    <t>Personally Identifiable Information Quality Operations | Individual Requests</t>
  </si>
  <si>
    <t>Not a direct configuration item - enhancement of SI-18 (Personally Identifiable Information Quality Operations): 'Individual Requests'; maintaining accuracy and relevance of PII.</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</si>
  <si>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SI-18: 'Individual Requests' - </t>
    </r>
    <r>
      <rPr>
        <rFont val="FreeSans"/>
        <color theme="1"/>
        <sz val="14.0"/>
      </rPr>
      <t xml:space="preserve">การรักษาความถูกต้องของ </t>
    </r>
    <r>
      <rPr>
        <rFont val="Calibri"/>
        <color theme="1"/>
        <sz val="14.0"/>
      </rPr>
      <t>PII</t>
    </r>
  </si>
  <si>
    <t>ESBIT-SI-18(05)</t>
  </si>
  <si>
    <t>SI-18(05)</t>
  </si>
  <si>
    <t>Personally Identifiable Information Quality Operations | Notice of Correction or Deletion</t>
  </si>
  <si>
    <t>Not a direct configuration item - enhancement of SI-18 (Personally Identifiable Information Quality Operations): 'Notice of Correction or Deletion'; maintaining accuracy and relevance of PII.</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</si>
  <si>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SI-18: 'Notice of Correction or Deletion' - </t>
    </r>
    <r>
      <rPr>
        <rFont val="FreeSans"/>
        <color theme="1"/>
        <sz val="14.0"/>
      </rPr>
      <t xml:space="preserve">การรักษาความถูกต้องของ </t>
    </r>
    <r>
      <rPr>
        <rFont val="Calibri"/>
        <color theme="1"/>
        <sz val="14.0"/>
      </rPr>
      <t>PII</t>
    </r>
  </si>
  <si>
    <t>ESBIT-SI-19</t>
  </si>
  <si>
    <t>SI-19</t>
  </si>
  <si>
    <t>De-identification</t>
  </si>
  <si>
    <t>Apply de-identification (masking, hashing, tokenization) to datasets</t>
  </si>
  <si>
    <r>
      <rPr>
        <rFont val="FreeSans"/>
        <color theme="1"/>
        <sz val="14.0"/>
      </rPr>
      <t xml:space="preserve">ใช้การลบเอกลักษณ์ </t>
    </r>
    <r>
      <rPr>
        <rFont val="Calibri"/>
        <color theme="1"/>
        <sz val="14.0"/>
      </rPr>
      <t xml:space="preserve">(Masking, Hashing, Tokenization) </t>
    </r>
    <r>
      <rPr>
        <rFont val="FreeSans"/>
        <color theme="1"/>
        <sz val="14.0"/>
      </rPr>
      <t>กับชุดข้อมูล</t>
    </r>
  </si>
  <si>
    <t>ESBIT-SI-19(01)</t>
  </si>
  <si>
    <t>SI-19(01)</t>
  </si>
  <si>
    <t>De-identification | Collection</t>
  </si>
  <si>
    <t>Enhances SI-19 (De-identification): configure and enforce 'Collection' in addition to the base setting, keep it consistent across applicable systems and document approved exceptions. Base scope: Apply de-identification (masking, hashing, tokenization) to datasets</t>
  </si>
  <si>
    <r>
      <rPr>
        <rFont val="FreeSans"/>
        <color theme="1"/>
        <sz val="14.0"/>
      </rPr>
      <t xml:space="preserve">ส่วนขยายของ </t>
    </r>
    <r>
      <rPr>
        <rFont val="Calibri"/>
        <color theme="1"/>
        <sz val="14.0"/>
      </rPr>
      <t xml:space="preserve">SI-19: </t>
    </r>
    <r>
      <rPr>
        <rFont val="FreeSans"/>
        <color theme="1"/>
        <sz val="14.0"/>
      </rPr>
      <t xml:space="preserve">กำหนดค่าและบังคับใช้ </t>
    </r>
    <r>
      <rPr>
        <rFont val="Calibri"/>
        <color theme="1"/>
        <sz val="14.0"/>
      </rPr>
      <t xml:space="preserve">'Collection'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ใช้การลบเอกลักษณ์ </t>
    </r>
    <r>
      <rPr>
        <rFont val="Calibri"/>
        <color theme="1"/>
        <sz val="14.0"/>
      </rPr>
      <t xml:space="preserve">(Masking, Hashing, Tokenization) </t>
    </r>
    <r>
      <rPr>
        <rFont val="FreeSans"/>
        <color theme="1"/>
        <sz val="14.0"/>
      </rPr>
      <t>กับชุดข้อมูล</t>
    </r>
  </si>
  <si>
    <t>ESBIT-SI-19(02)</t>
  </si>
  <si>
    <t>SI-19(02)</t>
  </si>
  <si>
    <t>De-identification | Archiving</t>
  </si>
  <si>
    <t>Enhances SI-19 (De-identification): configure and enforce 'Archiving' in addition to the base setting, keep it consistent across applicable systems and document approved exceptions. Base scope: Apply de-identification (masking, hashing, tokenization) to datasets</t>
  </si>
  <si>
    <r>
      <rPr>
        <rFont val="FreeSans"/>
        <color theme="1"/>
        <sz val="14.0"/>
      </rPr>
      <t xml:space="preserve">ส่วนขยายของ </t>
    </r>
    <r>
      <rPr>
        <rFont val="Calibri"/>
        <color theme="1"/>
        <sz val="14.0"/>
      </rPr>
      <t xml:space="preserve">SI-19: </t>
    </r>
    <r>
      <rPr>
        <rFont val="FreeSans"/>
        <color theme="1"/>
        <sz val="14.0"/>
      </rPr>
      <t xml:space="preserve">กำหนดค่าและบังคับใช้ </t>
    </r>
    <r>
      <rPr>
        <rFont val="Calibri"/>
        <color theme="1"/>
        <sz val="14.0"/>
      </rPr>
      <t xml:space="preserve">'Archiving'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ใช้การลบเอกลักษณ์ </t>
    </r>
    <r>
      <rPr>
        <rFont val="Calibri"/>
        <color theme="1"/>
        <sz val="14.0"/>
      </rPr>
      <t xml:space="preserve">(Masking, Hashing, Tokenization) </t>
    </r>
    <r>
      <rPr>
        <rFont val="FreeSans"/>
        <color theme="1"/>
        <sz val="14.0"/>
      </rPr>
      <t>กับชุดข้อมูล</t>
    </r>
  </si>
  <si>
    <t>ESBIT-SI-19(03)</t>
  </si>
  <si>
    <t>SI-19(03)</t>
  </si>
  <si>
    <t>De-identification | Release</t>
  </si>
  <si>
    <t>Enhances SI-19 (De-identification): configure and enforce 'Release' in addition to the base setting, keep it consistent across applicable systems and document approved exceptions. Base scope: Apply de-identification (masking, hashing, tokenization) to datasets</t>
  </si>
  <si>
    <r>
      <rPr>
        <rFont val="FreeSans"/>
        <color theme="1"/>
        <sz val="14.0"/>
      </rPr>
      <t xml:space="preserve">ส่วนขยายของ </t>
    </r>
    <r>
      <rPr>
        <rFont val="Calibri"/>
        <color theme="1"/>
        <sz val="14.0"/>
      </rPr>
      <t xml:space="preserve">SI-19: </t>
    </r>
    <r>
      <rPr>
        <rFont val="FreeSans"/>
        <color theme="1"/>
        <sz val="14.0"/>
      </rPr>
      <t xml:space="preserve">กำหนดค่าและบังคับใช้ </t>
    </r>
    <r>
      <rPr>
        <rFont val="Calibri"/>
        <color theme="1"/>
        <sz val="14.0"/>
      </rPr>
      <t xml:space="preserve">'Release'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ใช้การลบเอกลักษณ์ </t>
    </r>
    <r>
      <rPr>
        <rFont val="Calibri"/>
        <color theme="1"/>
        <sz val="14.0"/>
      </rPr>
      <t xml:space="preserve">(Masking, Hashing, Tokenization) </t>
    </r>
    <r>
      <rPr>
        <rFont val="FreeSans"/>
        <color theme="1"/>
        <sz val="14.0"/>
      </rPr>
      <t>กับชุดข้อมูล</t>
    </r>
  </si>
  <si>
    <t>ESBIT-SI-19(04)</t>
  </si>
  <si>
    <t>SI-19(04)</t>
  </si>
  <si>
    <t>De-identification | Removal, Masking, Encryption, Hashing, or Replacement of Direct Identifiers</t>
  </si>
  <si>
    <t>Enhances SI-19 (De-identification): configure and enforce 'Removal, Masking, Encryption, Hashing, or Replacement of Direct Identifiers' in addition to the base setting, keep it consistent across applicable systems and document approved exceptions. Base scope: Apply de-identification (masking, hashing, tokenization) to datasets</t>
  </si>
  <si>
    <r>
      <rPr>
        <rFont val="FreeSans"/>
        <color theme="1"/>
        <sz val="14.0"/>
      </rPr>
      <t xml:space="preserve">ส่วนขยายของ </t>
    </r>
    <r>
      <rPr>
        <rFont val="Calibri"/>
        <color theme="1"/>
        <sz val="14.0"/>
      </rPr>
      <t xml:space="preserve">SI-19: </t>
    </r>
    <r>
      <rPr>
        <rFont val="FreeSans"/>
        <color theme="1"/>
        <sz val="14.0"/>
      </rPr>
      <t xml:space="preserve">กำหนดค่าและบังคับใช้ </t>
    </r>
    <r>
      <rPr>
        <rFont val="Calibri"/>
        <color theme="1"/>
        <sz val="14.0"/>
      </rPr>
      <t xml:space="preserve">'Removal, Masking, Encryption, Hashing, or Replacement of Direct Identifiers'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ใช้การลบเอกลักษณ์ </t>
    </r>
    <r>
      <rPr>
        <rFont val="Calibri"/>
        <color theme="1"/>
        <sz val="14.0"/>
      </rPr>
      <t xml:space="preserve">(Masking, Hashing, Tokenization) </t>
    </r>
    <r>
      <rPr>
        <rFont val="FreeSans"/>
        <color theme="1"/>
        <sz val="14.0"/>
      </rPr>
      <t>กับชุดข้อมูล</t>
    </r>
  </si>
  <si>
    <t>ESBIT-SI-19(05)</t>
  </si>
  <si>
    <t>SI-19(05)</t>
  </si>
  <si>
    <t>De-identification | Statistical Disclosure Control</t>
  </si>
  <si>
    <t>Enhances SI-19 (De-identification): configure and enforce 'Statistical Disclosure Control' in addition to the base setting, keep it consistent across applicable systems and document approved exceptions. Base scope: Apply de-identification (masking, hashing, tokenization) to datasets</t>
  </si>
  <si>
    <r>
      <rPr>
        <rFont val="FreeSans"/>
        <color theme="1"/>
        <sz val="14.0"/>
      </rPr>
      <t xml:space="preserve">ส่วนขยายของ </t>
    </r>
    <r>
      <rPr>
        <rFont val="Calibri"/>
        <color theme="1"/>
        <sz val="14.0"/>
      </rPr>
      <t xml:space="preserve">SI-19: </t>
    </r>
    <r>
      <rPr>
        <rFont val="FreeSans"/>
        <color theme="1"/>
        <sz val="14.0"/>
      </rPr>
      <t xml:space="preserve">กำหนดค่าและบังคับใช้ </t>
    </r>
    <r>
      <rPr>
        <rFont val="Calibri"/>
        <color theme="1"/>
        <sz val="14.0"/>
      </rPr>
      <t xml:space="preserve">'Statistical Disclosure Control'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ใช้การลบเอกลักษณ์ </t>
    </r>
    <r>
      <rPr>
        <rFont val="Calibri"/>
        <color theme="1"/>
        <sz val="14.0"/>
      </rPr>
      <t xml:space="preserve">(Masking, Hashing, Tokenization) </t>
    </r>
    <r>
      <rPr>
        <rFont val="FreeSans"/>
        <color theme="1"/>
        <sz val="14.0"/>
      </rPr>
      <t>กับชุดข้อมูล</t>
    </r>
  </si>
  <si>
    <t>ESBIT-SI-19(06)</t>
  </si>
  <si>
    <t>SI-19(06)</t>
  </si>
  <si>
    <t>De-identification | Differential Privacy</t>
  </si>
  <si>
    <t>Enhances SI-19 (De-identification): configure and enforce 'Differential Privacy' in addition to the base setting, keep it consistent across applicable systems and document approved exceptions. Base scope: Apply de-identification (masking, hashing, tokenization) to datasets</t>
  </si>
  <si>
    <r>
      <rPr>
        <rFont val="FreeSans"/>
        <color theme="1"/>
        <sz val="14.0"/>
      </rPr>
      <t xml:space="preserve">ส่วนขยายของ </t>
    </r>
    <r>
      <rPr>
        <rFont val="Calibri"/>
        <color theme="1"/>
        <sz val="14.0"/>
      </rPr>
      <t xml:space="preserve">SI-19: </t>
    </r>
    <r>
      <rPr>
        <rFont val="FreeSans"/>
        <color theme="1"/>
        <sz val="14.0"/>
      </rPr>
      <t xml:space="preserve">กำหนดค่าและบังคับใช้ </t>
    </r>
    <r>
      <rPr>
        <rFont val="Calibri"/>
        <color theme="1"/>
        <sz val="14.0"/>
      </rPr>
      <t xml:space="preserve">'Differential Privacy'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ใช้การลบเอกลักษณ์ </t>
    </r>
    <r>
      <rPr>
        <rFont val="Calibri"/>
        <color theme="1"/>
        <sz val="14.0"/>
      </rPr>
      <t xml:space="preserve">(Masking, Hashing, Tokenization) </t>
    </r>
    <r>
      <rPr>
        <rFont val="FreeSans"/>
        <color theme="1"/>
        <sz val="14.0"/>
      </rPr>
      <t>กับชุดข้อมูล</t>
    </r>
  </si>
  <si>
    <t>ESBIT-SI-19(07)</t>
  </si>
  <si>
    <t>SI-19(07)</t>
  </si>
  <si>
    <t>De-identification | Validated Algorithms and Software</t>
  </si>
  <si>
    <t>Enhances SI-19 (De-identification): configure and enforce 'Validated Algorithms and Software' in addition to the base setting, keep it consistent across applicable systems and document approved exceptions. Base scope: Apply de-identification (masking, hashing, tokenization) to datasets</t>
  </si>
  <si>
    <r>
      <rPr>
        <rFont val="FreeSans"/>
        <color theme="1"/>
        <sz val="14.0"/>
      </rPr>
      <t xml:space="preserve">ส่วนขยายของ </t>
    </r>
    <r>
      <rPr>
        <rFont val="Calibri"/>
        <color theme="1"/>
        <sz val="14.0"/>
      </rPr>
      <t xml:space="preserve">SI-19: </t>
    </r>
    <r>
      <rPr>
        <rFont val="FreeSans"/>
        <color theme="1"/>
        <sz val="14.0"/>
      </rPr>
      <t xml:space="preserve">กำหนดค่าและบังคับใช้ </t>
    </r>
    <r>
      <rPr>
        <rFont val="Calibri"/>
        <color theme="1"/>
        <sz val="14.0"/>
      </rPr>
      <t xml:space="preserve">'Validated Algorithms and Software'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ใช้การลบเอกลักษณ์ </t>
    </r>
    <r>
      <rPr>
        <rFont val="Calibri"/>
        <color theme="1"/>
        <sz val="14.0"/>
      </rPr>
      <t xml:space="preserve">(Masking, Hashing, Tokenization) </t>
    </r>
    <r>
      <rPr>
        <rFont val="FreeSans"/>
        <color theme="1"/>
        <sz val="14.0"/>
      </rPr>
      <t>กับชุดข้อมูล</t>
    </r>
  </si>
  <si>
    <t>ESBIT-SI-19(08)</t>
  </si>
  <si>
    <t>SI-19(08)</t>
  </si>
  <si>
    <t>De-identification | Motivated Intruder</t>
  </si>
  <si>
    <t>Enhances SI-19 (De-identification): configure and enforce 'Motivated Intruder' in addition to the base setting, keep it consistent across applicable systems and document approved exceptions. Base scope: Apply de-identification (masking, hashing, tokenization) to datasets</t>
  </si>
  <si>
    <r>
      <rPr>
        <rFont val="FreeSans"/>
        <color theme="1"/>
        <sz val="14.0"/>
      </rPr>
      <t xml:space="preserve">ส่วนขยายของ </t>
    </r>
    <r>
      <rPr>
        <rFont val="Calibri"/>
        <color theme="1"/>
        <sz val="14.0"/>
      </rPr>
      <t xml:space="preserve">SI-19: </t>
    </r>
    <r>
      <rPr>
        <rFont val="FreeSans"/>
        <color theme="1"/>
        <sz val="14.0"/>
      </rPr>
      <t xml:space="preserve">กำหนดค่าและบังคับใช้ </t>
    </r>
    <r>
      <rPr>
        <rFont val="Calibri"/>
        <color theme="1"/>
        <sz val="14.0"/>
      </rPr>
      <t xml:space="preserve">'Motivated Intruder'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ใช้การลบเอกลักษณ์ </t>
    </r>
    <r>
      <rPr>
        <rFont val="Calibri"/>
        <color theme="1"/>
        <sz val="14.0"/>
      </rPr>
      <t xml:space="preserve">(Masking, Hashing, Tokenization) </t>
    </r>
    <r>
      <rPr>
        <rFont val="FreeSans"/>
        <color theme="1"/>
        <sz val="14.0"/>
      </rPr>
      <t>กับชุดข้อมูล</t>
    </r>
  </si>
  <si>
    <t>ESBIT-SI-20</t>
  </si>
  <si>
    <t>SI-20</t>
  </si>
  <si>
    <t>Tainting</t>
  </si>
  <si>
    <t>Embed data or capabilities to detect exfiltration of information</t>
  </si>
  <si>
    <r>
      <rPr>
        <rFont val="FreeSans"/>
        <color theme="1"/>
        <sz val="14.0"/>
      </rPr>
      <t>ฝังข้อมูล</t>
    </r>
    <r>
      <rPr>
        <rFont val="Calibri"/>
        <color theme="1"/>
        <sz val="14.0"/>
      </rPr>
      <t>/</t>
    </r>
    <r>
      <rPr>
        <rFont val="FreeSans"/>
        <color theme="1"/>
        <sz val="14.0"/>
      </rPr>
      <t>กลไกเพื่อตรวจจับการนำข้อมูลออกโดยมิชอบ</t>
    </r>
  </si>
  <si>
    <t>Application/Software, Data Protection/Storage</t>
  </si>
  <si>
    <t>ESBIT-SI-21</t>
  </si>
  <si>
    <t>SI-21</t>
  </si>
  <si>
    <t>Information Refresh</t>
  </si>
  <si>
    <t>Refresh information at defined frequencies to reduce stale data risk</t>
  </si>
  <si>
    <t>รีเฟรชข้อมูลตามรอบเพื่อลดความเสี่ยงข้อมูลล้าสมัย</t>
  </si>
  <si>
    <t>ESBIT-SI-22</t>
  </si>
  <si>
    <t>SI-22</t>
  </si>
  <si>
    <t>Information Diversity</t>
  </si>
  <si>
    <t>Use alternative information sources for critical functions</t>
  </si>
  <si>
    <t>ใช้แหล่งข้อมูลทางเลือกสำหรับฟังก์ชันสำคัญ</t>
  </si>
  <si>
    <t>ESBIT-SI-23</t>
  </si>
  <si>
    <t>SI-23</t>
  </si>
  <si>
    <t>Information Fragmentation</t>
  </si>
  <si>
    <t>Fragment information across systems to limit exposure</t>
  </si>
  <si>
    <t>กระจายข้อมูลเป็นส่วนๆ ข้ามระบบเพื่อจำกัดความเสียหาย</t>
  </si>
  <si>
    <t>Data Protection/Storage, Cloud</t>
  </si>
  <si>
    <t>ESBIT-SR-01</t>
  </si>
  <si>
    <t>SR-01</t>
  </si>
  <si>
    <t>Not a direct configuration item - define, document, review and communicate the Supply Chain Risk Management policy and procedures that drive the technical configuration standards.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</si>
  <si>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กำหนด จัดทำเอกสาร และทบทวนนโยบาย</t>
    </r>
    <r>
      <rPr>
        <rFont val="Calibri"/>
        <color theme="1"/>
        <sz val="14.0"/>
      </rPr>
      <t>/</t>
    </r>
    <r>
      <rPr>
        <rFont val="FreeSans"/>
        <color theme="1"/>
        <sz val="14.0"/>
      </rPr>
      <t xml:space="preserve">ขั้นตอนของหมวดการบริหารความเสี่ยงห่วงโซ่อุปทาน เพื่อเป็นฐานในการกำหนดมาตรฐาน </t>
    </r>
    <r>
      <rPr>
        <rFont val="Calibri"/>
        <color theme="1"/>
        <sz val="14.0"/>
      </rPr>
      <t>Config</t>
    </r>
  </si>
  <si>
    <t>ESBIT-SR-02</t>
  </si>
  <si>
    <t>SR-02</t>
  </si>
  <si>
    <t>Supply Chain Risk Management Plan</t>
  </si>
  <si>
    <t>GV.SC-03</t>
  </si>
  <si>
    <t>Cybersecurity supply chain risk management is integrated into cybersecurity and enterprise risk management, risk assessment, and improvement processes</t>
  </si>
  <si>
    <t>Not a direct configuration item - supply chain risk management plan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</si>
  <si>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แผนบริหารความเสี่ยงห่วงโซ่อุปทาน</t>
    </r>
  </si>
  <si>
    <t>ESBIT-SR-02(01)</t>
  </si>
  <si>
    <t>SR-02(01)</t>
  </si>
  <si>
    <t>Supply Chain Risk Management Plan | Supply Chain Risk Management Team</t>
  </si>
  <si>
    <t>Not a direct configuration item - enhancement of SR-02 (Supply Chain Risk Management Plan): 'Supply Chain Risk Management Team'; supply chain risk management plan.</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</si>
  <si>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SR-02: 'Supply Chain Risk Management Team' - </t>
    </r>
    <r>
      <rPr>
        <rFont val="FreeSans"/>
        <color theme="1"/>
        <sz val="14.0"/>
      </rPr>
      <t>แผนบริหารความเสี่ยงห่วงโซ่อุปทาน</t>
    </r>
  </si>
  <si>
    <t>ESBIT-SR-03</t>
  </si>
  <si>
    <t>SR-03</t>
  </si>
  <si>
    <t>Supply Chain Controls and Processes</t>
  </si>
  <si>
    <t>Not a direct configuration item - supply chain controls in supplier contracts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</si>
  <si>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มาตรการห่วงโซ่อุปทานในสัญญาผู้ขาย</t>
    </r>
  </si>
  <si>
    <t>ESBIT-SR-03(01)</t>
  </si>
  <si>
    <t>SR-03(01)</t>
  </si>
  <si>
    <t>Supply Chain Controls and Processes | Diverse Supply Base</t>
  </si>
  <si>
    <t>Not a direct configuration item - enhancement of SR-03 (Supply Chain Controls and Processes): 'Diverse Supply Base'; supply chain controls in supplier contracts.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</si>
  <si>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SR-03: 'Diverse Supply Base' - </t>
    </r>
    <r>
      <rPr>
        <rFont val="FreeSans"/>
        <color theme="1"/>
        <sz val="14.0"/>
      </rPr>
      <t>มาตรการห่วงโซ่อุปทานในสัญญาผู้ขาย</t>
    </r>
  </si>
  <si>
    <t>ESBIT-SR-03(02)</t>
  </si>
  <si>
    <t>SR-03(02)</t>
  </si>
  <si>
    <t>Supply Chain Controls and Processes | Limitation of Harm</t>
  </si>
  <si>
    <t>Not a direct configuration item - enhancement of SR-03 (Supply Chain Controls and Processes): 'Limitation of Harm'; supply chain controls in supplier contracts.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</si>
  <si>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SR-03: 'Limitation of Harm' - </t>
    </r>
    <r>
      <rPr>
        <rFont val="FreeSans"/>
        <color theme="1"/>
        <sz val="14.0"/>
      </rPr>
      <t>มาตรการห่วงโซ่อุปทานในสัญญาผู้ขาย</t>
    </r>
  </si>
  <si>
    <t>ESBIT-SR-03(03)</t>
  </si>
  <si>
    <t>SR-03(03)</t>
  </si>
  <si>
    <t>Supply Chain Controls and Processes | Sub-tier Flow Down</t>
  </si>
  <si>
    <t>Not a direct configuration item - enhancement of SR-03 (Supply Chain Controls and Processes): 'Sub-tier Flow Down'; supply chain controls in supplier contracts.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</si>
  <si>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SR-03: 'Sub-tier Flow Down' - </t>
    </r>
    <r>
      <rPr>
        <rFont val="FreeSans"/>
        <color theme="1"/>
        <sz val="14.0"/>
      </rPr>
      <t>มาตรการห่วงโซ่อุปทานในสัญญาผู้ขาย</t>
    </r>
  </si>
  <si>
    <t>ESBIT-SR-04</t>
  </si>
  <si>
    <t>SR-04</t>
  </si>
  <si>
    <t>Provenance</t>
  </si>
  <si>
    <t>ID.RA-09</t>
  </si>
  <si>
    <t>The authenticity and integrity of hardware and software are assessed prior to acquisition and use</t>
  </si>
  <si>
    <t>Not a direct configuration item - tracking provenance and authenticity of components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</si>
  <si>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การติดตามที่มาและความถูกต้องของคอมโพเนนต์</t>
    </r>
  </si>
  <si>
    <t>ESBIT-SR-04(01)</t>
  </si>
  <si>
    <t>SR-04(01)</t>
  </si>
  <si>
    <t>Provenance | Identity</t>
  </si>
  <si>
    <t>Not a direct configuration item - enhancement of SR-04 (Provenance): 'Identity'; tracking provenance and authenticity of components.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</si>
  <si>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SR-04: 'Identity' - </t>
    </r>
    <r>
      <rPr>
        <rFont val="FreeSans"/>
        <color theme="1"/>
        <sz val="14.0"/>
      </rPr>
      <t>การติดตามที่มาและความถูกต้องของคอมโพเนนต์</t>
    </r>
  </si>
  <si>
    <t>ESBIT-SR-04(02)</t>
  </si>
  <si>
    <t>SR-04(02)</t>
  </si>
  <si>
    <t>Provenance | Track and Trace</t>
  </si>
  <si>
    <t>Not a direct configuration item - enhancement of SR-04 (Provenance): 'Track and Trace'; tracking provenance and authenticity of components.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</si>
  <si>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SR-04: 'Track and Trace' - </t>
    </r>
    <r>
      <rPr>
        <rFont val="FreeSans"/>
        <color theme="1"/>
        <sz val="14.0"/>
      </rPr>
      <t>การติดตามที่มาและความถูกต้องของคอมโพเนนต์</t>
    </r>
  </si>
  <si>
    <t>ESBIT-SR-04(03)</t>
  </si>
  <si>
    <t>SR-04(03)</t>
  </si>
  <si>
    <t>Provenance | Validate as Genuine and Not Altered</t>
  </si>
  <si>
    <t>Not a direct configuration item - enhancement of SR-04 (Provenance): 'Validate as Genuine and Not Altered'; tracking provenance and authenticity of components.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</si>
  <si>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SR-04: 'Validate as Genuine and Not Altered' - </t>
    </r>
    <r>
      <rPr>
        <rFont val="FreeSans"/>
        <color theme="1"/>
        <sz val="14.0"/>
      </rPr>
      <t>การติดตามที่มาและความถูกต้องของคอมโพเนนต์</t>
    </r>
  </si>
  <si>
    <t>ESBIT-SR-04(04)</t>
  </si>
  <si>
    <t>SR-04(04)</t>
  </si>
  <si>
    <t>Provenance | Supply Chain Integrity - Pedigree</t>
  </si>
  <si>
    <t>Not a direct configuration item - enhancement of SR-04 (Provenance): 'Supply Chain Integrity - Pedigree'; tracking provenance and authenticity of components.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</si>
  <si>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SR-04: 'Supply Chain Integrity - Pedigree' - </t>
    </r>
    <r>
      <rPr>
        <rFont val="FreeSans"/>
        <color theme="1"/>
        <sz val="14.0"/>
      </rPr>
      <t>การติดตามที่มาและความถูกต้องของคอมโพเนนต์</t>
    </r>
  </si>
  <si>
    <t>ESBIT-SR-05</t>
  </si>
  <si>
    <t>SR-05</t>
  </si>
  <si>
    <t>Acquisition Strategies, Tools, and Methods</t>
  </si>
  <si>
    <t>GV.SC-06</t>
  </si>
  <si>
    <t>Planning and due diligence are performed to reduce risks before entering into formal supplier or other third-party relationships</t>
  </si>
  <si>
    <t>Not a direct configuration item - acquisition strategies to reduce supply chain risk</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</si>
  <si>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กลยุทธ์จัดหาเพื่อลดความเสี่ยงห่วงโซ่อุปทาน</t>
    </r>
  </si>
  <si>
    <t>ESBIT-SR-05(01)</t>
  </si>
  <si>
    <t>SR-05(01)</t>
  </si>
  <si>
    <t>Acquisition Strategies, Tools, and Methods | Adequate Supply</t>
  </si>
  <si>
    <t>Not a direct configuration item - enhancement of SR-05 (Acquisition Strategies, Tools, and Methods): 'Adequate Supply'; acquisition strategies to reduce supply chain risk.</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</si>
  <si>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SR-05: 'Adequate Supply' - </t>
    </r>
    <r>
      <rPr>
        <rFont val="FreeSans"/>
        <color theme="1"/>
        <sz val="14.0"/>
      </rPr>
      <t>กลยุทธ์จัดหาเพื่อลดความเสี่ยงห่วงโซ่อุปทาน</t>
    </r>
  </si>
  <si>
    <t>ESBIT-SR-05(02)</t>
  </si>
  <si>
    <t>SR-05(02)</t>
  </si>
  <si>
    <t>Acquisition Strategies, Tools, and Methods | Assessments Prior to Selection, Acceptance, Modification, or Update</t>
  </si>
  <si>
    <t>Not a direct configuration item - enhancement of SR-05 (Acquisition Strategies, Tools, and Methods): 'Assessments Prior to Selection, Acceptance, Modification, or Update'; acquisition strategies to reduce supply chain risk.</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</si>
  <si>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SR-05: 'Assessments Prior to Selection, Acceptance, Modification, or Update' - </t>
    </r>
    <r>
      <rPr>
        <rFont val="FreeSans"/>
        <color theme="1"/>
        <sz val="14.0"/>
      </rPr>
      <t>กลยุทธ์จัดหาเพื่อลดความเสี่ยงห่วงโซ่อุปทาน</t>
    </r>
  </si>
  <si>
    <t>ESBIT-SR-06</t>
  </si>
  <si>
    <t>SR-06</t>
  </si>
  <si>
    <t>Supplier Assessments and Reviews</t>
  </si>
  <si>
    <t>Not a direct configuration item - assessing and reviewing suppliers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</si>
  <si>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การประเมินและทบทวนผู้ขาย</t>
    </r>
  </si>
  <si>
    <t>ESBIT-SR-06(01)</t>
  </si>
  <si>
    <t>SR-06(01)</t>
  </si>
  <si>
    <t>Supplier Assessments and Reviews | Testing and Analysis</t>
  </si>
  <si>
    <t>Not a direct configuration item - enhancement of SR-06 (Supplier Assessments and Reviews): 'Testing and Analysis'; assessing and reviewing suppliers.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</si>
  <si>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 xml:space="preserve">ส่วนขยายของ </t>
    </r>
    <r>
      <rPr>
        <rFont val="Calibri"/>
        <color theme="1"/>
        <sz val="14.0"/>
      </rPr>
      <t xml:space="preserve">SR-06: 'Testing and Analysis' - </t>
    </r>
    <r>
      <rPr>
        <rFont val="FreeSans"/>
        <color theme="1"/>
        <sz val="14.0"/>
      </rPr>
      <t>การประเมินและทบทวนผู้ขาย</t>
    </r>
  </si>
  <si>
    <t>ESBIT-SR-07</t>
  </si>
  <si>
    <t>SR-07</t>
  </si>
  <si>
    <t>Supply Chain Operations Security</t>
  </si>
  <si>
    <t>Not a direct configuration item - operations security for supply chain activities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</si>
  <si>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ความมั่นคงปลอดภัยการปฏิบัติงานของห่วงโซ่อุปทาน</t>
    </r>
  </si>
  <si>
    <t>ESBIT-SR-08</t>
  </si>
  <si>
    <t>SR-08</t>
  </si>
  <si>
    <t>Notification Agreements</t>
  </si>
  <si>
    <t>GV.SC-08</t>
  </si>
  <si>
    <t>Relevant suppliers and other third parties are included in incident planning, response, and recovery activities</t>
  </si>
  <si>
    <t>Not a direct configuration item - agreements to be notified of supply chain compromises</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</si>
  <si>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ข้อตกลงแจ้งเตือนเมื่อห่วงโซ่อุปทานถูกโจมตี</t>
    </r>
  </si>
  <si>
    <t>ESBIT-SR-09</t>
  </si>
  <si>
    <t>SR-09</t>
  </si>
  <si>
    <t>Tamper Resistance and Detection</t>
  </si>
  <si>
    <t>Configure tamper-evident seals and detection for hardware and firmware</t>
  </si>
  <si>
    <r>
      <rPr>
        <rFont val="FreeSans"/>
        <color theme="1"/>
        <sz val="14.0"/>
      </rPr>
      <t xml:space="preserve">ตั้งค่า </t>
    </r>
    <r>
      <rPr>
        <rFont val="Calibri"/>
        <color theme="1"/>
        <sz val="14.0"/>
      </rPr>
      <t>Tamper-evident/</t>
    </r>
    <r>
      <rPr>
        <rFont val="FreeSans"/>
        <color theme="1"/>
        <sz val="14.0"/>
      </rPr>
      <t xml:space="preserve">การตรวจจับการแก้ไขฮาร์ดแวร์และ </t>
    </r>
    <r>
      <rPr>
        <rFont val="Calibri"/>
        <color theme="1"/>
        <sz val="14.0"/>
      </rPr>
      <t>Firmware</t>
    </r>
  </si>
  <si>
    <t>Infrastructure (Server/OS), Physical/Facility (Data Center)</t>
  </si>
  <si>
    <t>ESBIT-SR-09(01)</t>
  </si>
  <si>
    <t>SR-09(01)</t>
  </si>
  <si>
    <t>Tamper Resistance and Detection | Multiple Stages of System Development Life Cycle</t>
  </si>
  <si>
    <t>Enhances SR-09 (Tamper Resistance and Detection): configure and enforce 'Multiple Stages of System Development Life Cycle' in addition to the base setting, keep it consistent across applicable systems and document approved exceptions. Base scope: Configure tamper-evident seals and detection for hardware and firmware</t>
  </si>
  <si>
    <r>
      <rPr>
        <rFont val="FreeSans"/>
        <color theme="1"/>
        <sz val="14.0"/>
      </rPr>
      <t xml:space="preserve">ส่วนขยายของ </t>
    </r>
    <r>
      <rPr>
        <rFont val="Calibri"/>
        <color theme="1"/>
        <sz val="14.0"/>
      </rPr>
      <t xml:space="preserve">SR-09: </t>
    </r>
    <r>
      <rPr>
        <rFont val="FreeSans"/>
        <color theme="1"/>
        <sz val="14.0"/>
      </rPr>
      <t xml:space="preserve">กำหนดค่าและบังคับใช้ </t>
    </r>
    <r>
      <rPr>
        <rFont val="Calibri"/>
        <color theme="1"/>
        <sz val="14.0"/>
      </rPr>
      <t xml:space="preserve">'Multiple Stages of System Development Life Cycle'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 xml:space="preserve">ตั้งค่า </t>
    </r>
    <r>
      <rPr>
        <rFont val="Calibri"/>
        <color theme="1"/>
        <sz val="14.0"/>
      </rPr>
      <t>Tamper-evident/</t>
    </r>
    <r>
      <rPr>
        <rFont val="FreeSans"/>
        <color theme="1"/>
        <sz val="14.0"/>
      </rPr>
      <t xml:space="preserve">การตรวจจับการแก้ไขฮาร์ดแวร์และ </t>
    </r>
    <r>
      <rPr>
        <rFont val="Calibri"/>
        <color theme="1"/>
        <sz val="14.0"/>
      </rPr>
      <t>Firmware</t>
    </r>
  </si>
  <si>
    <t>ESBIT-SR-10</t>
  </si>
  <si>
    <t>SR-10</t>
  </si>
  <si>
    <t>Inspection of Systems or Components</t>
  </si>
  <si>
    <t>Not a direct configuration item - inspecting systems and components for tampering</t>
  </si>
  <si>
    <r>
      <rPr>
        <rFont val="FreeSans"/>
        <color theme="1"/>
        <sz val="14.0"/>
      </rPr>
      <t xml:space="preserve">ไม่ใช่การ </t>
    </r>
    <r>
      <rPr>
        <rFont val="Calibri"/>
        <color theme="1"/>
        <sz val="14.0"/>
      </rPr>
      <t xml:space="preserve">config </t>
    </r>
    <r>
      <rPr>
        <rFont val="FreeSans"/>
        <color theme="1"/>
        <sz val="14.0"/>
      </rPr>
      <t xml:space="preserve">โดยตรง </t>
    </r>
    <r>
      <rPr>
        <rFont val="Calibri"/>
        <color theme="1"/>
        <sz val="14.0"/>
      </rPr>
      <t xml:space="preserve">- </t>
    </r>
    <r>
      <rPr>
        <rFont val="FreeSans"/>
        <color theme="1"/>
        <sz val="14.0"/>
      </rPr>
      <t>การตรวจสอบระบบและคอมโพเนนต์ว่าถูกแก้ไขหรือไม่</t>
    </r>
  </si>
  <si>
    <t>ESBIT-SR-11</t>
  </si>
  <si>
    <t>SR-11</t>
  </si>
  <si>
    <t>Component Authenticity</t>
  </si>
  <si>
    <t>Detect and prevent counterfeit components via verification and scanning</t>
  </si>
  <si>
    <t>ตรวจจับและป้องกันคอมโพเนนต์ปลอมด้วยการตรวจสอบและสแกน</t>
  </si>
  <si>
    <t>Infrastructure (Server/OS), Supply Chain/Third Party</t>
  </si>
  <si>
    <t>ESBIT-SR-11(01)</t>
  </si>
  <si>
    <t>SR-11(01)</t>
  </si>
  <si>
    <t>Component Authenticity | Training</t>
  </si>
  <si>
    <t>Enhances SR-11 (Component Authenticity): configure and enforce 'Training' in addition to the base setting, keep it consistent across applicable systems and document approved exceptions. Base scope: Detect and prevent counterfeit components via verification and scanning</t>
  </si>
  <si>
    <r>
      <rPr>
        <rFont val="FreeSans"/>
        <color theme="1"/>
        <sz val="14.0"/>
      </rPr>
      <t xml:space="preserve">ส่วนขยายของ </t>
    </r>
    <r>
      <rPr>
        <rFont val="Calibri"/>
        <color theme="1"/>
        <sz val="14.0"/>
      </rPr>
      <t xml:space="preserve">SR-11: </t>
    </r>
    <r>
      <rPr>
        <rFont val="FreeSans"/>
        <color theme="1"/>
        <sz val="14.0"/>
      </rPr>
      <t xml:space="preserve">กำหนดค่าและบังคับใช้ </t>
    </r>
    <r>
      <rPr>
        <rFont val="Calibri"/>
        <color theme="1"/>
        <sz val="14.0"/>
      </rPr>
      <t xml:space="preserve">'Training'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ตรวจจับและป้องกันคอมโพเนนต์ปลอมด้วยการตรวจสอบและสแกน</t>
    </r>
  </si>
  <si>
    <t>ESBIT-SR-11(02)</t>
  </si>
  <si>
    <t>SR-11(02)</t>
  </si>
  <si>
    <t>Component Authenticity | Configuration Control for Component Service and Repair</t>
  </si>
  <si>
    <t>Enhances SR-11 (Component Authenticity): configure and enforce 'Configuration Control for Component Service and Repair' in addition to the base setting, keep it consistent across applicable systems and document approved exceptions. Base scope: Detect and prevent counterfeit components via verification and scanning</t>
  </si>
  <si>
    <r>
      <rPr>
        <rFont val="FreeSans"/>
        <color theme="1"/>
        <sz val="14.0"/>
      </rPr>
      <t xml:space="preserve">ส่วนขยายของ </t>
    </r>
    <r>
      <rPr>
        <rFont val="Calibri"/>
        <color theme="1"/>
        <sz val="14.0"/>
      </rPr>
      <t xml:space="preserve">SR-11: </t>
    </r>
    <r>
      <rPr>
        <rFont val="FreeSans"/>
        <color theme="1"/>
        <sz val="14.0"/>
      </rPr>
      <t xml:space="preserve">กำหนดค่าและบังคับใช้ </t>
    </r>
    <r>
      <rPr>
        <rFont val="Calibri"/>
        <color theme="1"/>
        <sz val="14.0"/>
      </rPr>
      <t xml:space="preserve">'Configuration Control for Component Service and Repair'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ตรวจจับและป้องกันคอมโพเนนต์ปลอมด้วยการตรวจสอบและสแกน</t>
    </r>
  </si>
  <si>
    <t>ESBIT-SR-11(03)</t>
  </si>
  <si>
    <t>SR-11(03)</t>
  </si>
  <si>
    <t>Component Authenticity | Anti-counterfeit Scanning</t>
  </si>
  <si>
    <t>Enhances SR-11 (Component Authenticity): configure and enforce 'Anti-counterfeit Scanning' in addition to the base setting, keep it consistent across applicable systems and document approved exceptions. Base scope: Detect and prevent counterfeit components via verification and scanning</t>
  </si>
  <si>
    <r>
      <rPr>
        <rFont val="FreeSans"/>
        <color theme="1"/>
        <sz val="14.0"/>
      </rPr>
      <t xml:space="preserve">ส่วนขยายของ </t>
    </r>
    <r>
      <rPr>
        <rFont val="Calibri"/>
        <color theme="1"/>
        <sz val="14.0"/>
      </rPr>
      <t xml:space="preserve">SR-11: </t>
    </r>
    <r>
      <rPr>
        <rFont val="FreeSans"/>
        <color theme="1"/>
        <sz val="14.0"/>
      </rPr>
      <t xml:space="preserve">กำหนดค่าและบังคับใช้ </t>
    </r>
    <r>
      <rPr>
        <rFont val="Calibri"/>
        <color theme="1"/>
        <sz val="14.0"/>
      </rPr>
      <t xml:space="preserve">'Anti-counterfeit Scanning' </t>
    </r>
    <r>
      <rPr>
        <rFont val="FreeSans"/>
        <color theme="1"/>
        <sz val="14.0"/>
      </rPr>
      <t xml:space="preserve">เพิ่มเติมจากค่าพื้นฐาน ให้สอดคล้องทุกระบบที่เกี่ยวข้อง และบันทึกข้อยกเว้น </t>
    </r>
    <r>
      <rPr>
        <rFont val="Calibri"/>
        <color theme="1"/>
        <sz val="14.0"/>
      </rPr>
      <t xml:space="preserve">- </t>
    </r>
    <r>
      <rPr>
        <rFont val="FreeSans"/>
        <color theme="1"/>
        <sz val="14.0"/>
      </rPr>
      <t>ตรวจจับและป้องกันคอมโพเนนต์ปลอมด้วยการตรวจสอบและสแกน</t>
    </r>
  </si>
  <si>
    <t>ESBIT-SR-12</t>
  </si>
  <si>
    <t>SR-12</t>
  </si>
  <si>
    <t>Component Disposal</t>
  </si>
  <si>
    <t>Dispose of components using secure sanitization and destruction</t>
  </si>
  <si>
    <t>กำจัดคอมโพเนนต์ด้วยการลบข้อมูลและทำลายอย่างปลอดภัย</t>
  </si>
  <si>
    <t>Infrastructure (Server/OS), Data Protection/Storage</t>
  </si>
</sst>
</file>

<file path=xl/styles.xml><?xml version="1.0" encoding="utf-8"?>
<styleSheet xmlns="http://schemas.openxmlformats.org/spreadsheetml/2006/main" xmlns:x14ac="http://schemas.microsoft.com/office/spreadsheetml/2009/9/ac" xmlns:mc="http://schemas.openxmlformats.org/markup-compatibility/2006">
  <fonts count="5">
    <font>
      <sz val="14.0"/>
      <color rgb="FF000000"/>
      <name val="Calibri"/>
      <scheme val="minor"/>
    </font>
    <font>
      <b/>
      <sz val="14.0"/>
      <color rgb="FFFFFFFF"/>
      <name val="Calibri"/>
    </font>
    <font>
      <b/>
      <sz val="14.0"/>
      <color theme="1"/>
      <name val="Calibri"/>
    </font>
    <font>
      <sz val="14.0"/>
      <color theme="1"/>
      <name val="Calibri"/>
    </font>
    <font/>
  </fonts>
  <fills count="7">
    <fill>
      <patternFill patternType="none"/>
    </fill>
    <fill>
      <patternFill patternType="lightGray"/>
    </fill>
    <fill>
      <patternFill patternType="solid">
        <fgColor rgb="FF1F3864"/>
        <bgColor rgb="FF1F3864"/>
      </patternFill>
    </fill>
    <fill>
      <patternFill patternType="solid">
        <fgColor rgb="FFC6E0B4"/>
        <bgColor rgb="FFC6E0B4"/>
      </patternFill>
    </fill>
    <fill>
      <patternFill patternType="solid">
        <fgColor rgb="FFF8CBAD"/>
        <bgColor rgb="FFF8CBAD"/>
      </patternFill>
    </fill>
    <fill>
      <patternFill patternType="solid">
        <fgColor rgb="FFD9E2F3"/>
        <bgColor rgb="FFD9E2F3"/>
      </patternFill>
    </fill>
    <fill>
      <patternFill patternType="solid">
        <fgColor rgb="FFFFE699"/>
        <bgColor rgb="FFFFE699"/>
      </patternFill>
    </fill>
  </fills>
  <borders count="5">
    <border/>
    <border>
      <left style="thin">
        <color rgb="FFBFBFBF"/>
      </left>
      <right style="thin">
        <color rgb="FFBFBFBF"/>
      </right>
      <top style="thin">
        <color rgb="FFBFBFBF"/>
      </top>
      <bottom style="thin">
        <color rgb="FFBFBFBF"/>
      </bottom>
    </border>
    <border>
      <left/>
      <top/>
      <bottom/>
    </border>
    <border>
      <top/>
      <bottom/>
    </border>
    <border>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2" numFmtId="0" xfId="0" applyAlignment="1" applyFont="1">
      <alignment shrinkToFit="0" vertical="top" wrapText="1"/>
    </xf>
    <xf borderId="1" fillId="2" fontId="1" numFmtId="0" xfId="0" applyAlignment="1" applyBorder="1" applyFill="1" applyFont="1">
      <alignment horizontal="center" shrinkToFit="0" vertical="center" wrapText="1"/>
    </xf>
    <xf borderId="1" fillId="0" fontId="3" numFmtId="0" xfId="0" applyAlignment="1" applyBorder="1" applyFont="1">
      <alignment shrinkToFit="0" vertical="center" wrapText="1"/>
    </xf>
    <xf borderId="0" fillId="0" fontId="3" numFmtId="0" xfId="0" applyAlignment="1" applyFont="1">
      <alignment shrinkToFit="0" vertical="top" wrapText="1"/>
    </xf>
    <xf borderId="1" fillId="0" fontId="3" numFmtId="0" xfId="0" applyAlignment="1" applyBorder="1" applyFont="1">
      <alignment shrinkToFit="0" vertical="top" wrapText="1"/>
    </xf>
    <xf borderId="0" fillId="0" fontId="3" numFmtId="0" xfId="0" applyAlignment="1" applyFont="1">
      <alignment shrinkToFit="0" vertical="bottom" wrapText="0"/>
    </xf>
    <xf borderId="2" fillId="2" fontId="1" numFmtId="0" xfId="0" applyAlignment="1" applyBorder="1" applyFill="1" applyFont="1">
      <alignment shrinkToFit="0" vertical="top" wrapText="1"/>
    </xf>
    <xf borderId="3" fillId="0" fontId="4" numFmtId="0" xfId="0" applyBorder="1" applyFont="1"/>
    <xf borderId="1" fillId="3" fontId="3" numFmtId="0" xfId="0" applyAlignment="1" applyBorder="1" applyFill="1" applyFont="1">
      <alignment shrinkToFit="0" vertical="top" wrapText="1"/>
    </xf>
    <xf borderId="4" fillId="0" fontId="4" numFmtId="0" xfId="0" applyBorder="1" applyFont="1"/>
    <xf borderId="1" fillId="4" fontId="3" numFmtId="0" xfId="0" applyAlignment="1" applyBorder="1" applyFill="1" applyFont="1">
      <alignment shrinkToFit="0" vertical="top" wrapText="1"/>
    </xf>
    <xf borderId="1" fillId="5" fontId="2" numFmtId="0" xfId="0" applyAlignment="1" applyBorder="1" applyFill="1" applyFont="1">
      <alignment shrinkToFit="0" vertical="top" wrapText="1"/>
    </xf>
    <xf borderId="1" fillId="6" fontId="3" numFmtId="0" xfId="0" applyAlignment="1" applyBorder="1" applyFill="1" applyFont="1">
      <alignment shrinkToFit="0" vertical="top" wrapText="1"/>
    </xf>
    <xf borderId="1" fillId="0" fontId="2" numFmtId="0" xfId="0" applyAlignment="1" applyBorder="1" applyFont="1">
      <alignment shrinkToFit="0" vertical="center" wrapText="1"/>
    </xf>
    <xf borderId="0" fillId="0" fontId="3"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4.0"/>
    <col customWidth="1" min="2" max="2" width="34.0"/>
    <col customWidth="1" min="3" max="5" width="52.0"/>
    <col customWidth="1" min="6" max="6" width="18.0"/>
    <col customWidth="1" min="7" max="26" width="8.5"/>
  </cols>
  <sheetData>
    <row r="1" ht="30.0" customHeight="1">
      <c r="A1" s="2" t="s">
        <v>0</v>
      </c>
    </row>
    <row r="2" ht="43.5" customHeight="1">
      <c r="A2" s="5" t="s">
        <v>8</v>
      </c>
    </row>
    <row r="3">
      <c r="A3" s="7"/>
      <c r="B3" s="7"/>
      <c r="C3" s="7"/>
      <c r="D3" s="7"/>
      <c r="E3" s="7"/>
      <c r="F3" s="7"/>
    </row>
    <row r="4" ht="25.5" customHeight="1">
      <c r="A4" s="8" t="s">
        <v>27</v>
      </c>
      <c r="B4" s="9"/>
      <c r="C4" s="9"/>
      <c r="D4" s="9"/>
      <c r="E4" s="9"/>
      <c r="F4" s="11"/>
    </row>
    <row r="5" ht="43.5" customHeight="1">
      <c r="A5" s="5" t="s">
        <v>42</v>
      </c>
    </row>
    <row r="6" ht="43.5" customHeight="1">
      <c r="A6" s="5" t="s">
        <v>44</v>
      </c>
    </row>
    <row r="7" ht="43.5" customHeight="1">
      <c r="A7" s="5" t="s">
        <v>45</v>
      </c>
    </row>
    <row r="8" ht="43.5" customHeight="1">
      <c r="A8" s="5" t="s">
        <v>46</v>
      </c>
    </row>
    <row r="9" ht="66.0" customHeight="1">
      <c r="A9" s="5" t="s">
        <v>47</v>
      </c>
    </row>
    <row r="10">
      <c r="A10" s="7"/>
      <c r="B10" s="7"/>
      <c r="C10" s="7"/>
      <c r="D10" s="7"/>
      <c r="E10" s="7"/>
      <c r="F10" s="7"/>
    </row>
    <row r="11" ht="25.5" customHeight="1">
      <c r="A11" s="8" t="s">
        <v>51</v>
      </c>
      <c r="B11" s="9"/>
      <c r="C11" s="9"/>
      <c r="D11" s="9"/>
      <c r="E11" s="9"/>
      <c r="F11" s="11"/>
    </row>
    <row r="12">
      <c r="A12" s="13" t="s">
        <v>1</v>
      </c>
      <c r="B12" s="13" t="s">
        <v>56</v>
      </c>
      <c r="C12" s="13" t="s">
        <v>58</v>
      </c>
      <c r="D12" s="13" t="s">
        <v>59</v>
      </c>
      <c r="E12" s="13" t="s">
        <v>60</v>
      </c>
      <c r="F12" s="13" t="s">
        <v>61</v>
      </c>
    </row>
    <row r="13" ht="168.0" customHeight="1">
      <c r="A13" s="6" t="s">
        <v>62</v>
      </c>
      <c r="B13" s="6" t="s">
        <v>63</v>
      </c>
      <c r="C13" s="6" t="s">
        <v>64</v>
      </c>
      <c r="D13" s="6" t="s">
        <v>65</v>
      </c>
      <c r="E13" s="6">
        <f>COUNTIF('Config Baseline'!$C:$C,"Access Control (AC)")</f>
        <v>127</v>
      </c>
      <c r="F13" s="6">
        <f>COUNTIFS('Config Baseline'!$C:$C,"Access Control (AC)",'Config Baseline'!$L:$L,"Level 1*")</f>
        <v>22</v>
      </c>
    </row>
    <row r="14" ht="168.0" customHeight="1">
      <c r="A14" s="6" t="s">
        <v>76</v>
      </c>
      <c r="B14" s="6" t="s">
        <v>77</v>
      </c>
      <c r="C14" s="6" t="s">
        <v>78</v>
      </c>
      <c r="D14" s="6" t="s">
        <v>79</v>
      </c>
      <c r="E14" s="6">
        <f>COUNTIF('Config Baseline'!$C:$C,"Awareness and Training (AT)")</f>
        <v>16</v>
      </c>
      <c r="F14" s="6">
        <f>COUNTIFS('Config Baseline'!$C:$C,"Awareness and Training (AT)",'Config Baseline'!$L:$L,"Level 1*")</f>
        <v>0</v>
      </c>
    </row>
    <row r="15" ht="168.0" customHeight="1">
      <c r="A15" s="6" t="s">
        <v>91</v>
      </c>
      <c r="B15" s="6" t="s">
        <v>92</v>
      </c>
      <c r="C15" s="6" t="s">
        <v>93</v>
      </c>
      <c r="D15" s="6" t="s">
        <v>94</v>
      </c>
      <c r="E15" s="6">
        <f>COUNTIF('Config Baseline'!$C:$C,"Audit and Accountability (AU)")</f>
        <v>57</v>
      </c>
      <c r="F15" s="6">
        <f>COUNTIFS('Config Baseline'!$C:$C,"Audit and Accountability (AU)",'Config Baseline'!$L:$L,"Level 1*")</f>
        <v>12</v>
      </c>
    </row>
    <row r="16" ht="210.0" customHeight="1">
      <c r="A16" s="6" t="s">
        <v>100</v>
      </c>
      <c r="B16" s="6" t="s">
        <v>101</v>
      </c>
      <c r="C16" s="6" t="s">
        <v>102</v>
      </c>
      <c r="D16" s="6" t="s">
        <v>103</v>
      </c>
      <c r="E16" s="6">
        <f>COUNTIF('Config Baseline'!$C:$C,"Assessment, Authorization, and Monitoring (CA)")</f>
        <v>25</v>
      </c>
      <c r="F16" s="6">
        <f>COUNTIFS('Config Baseline'!$C:$C,"Assessment, Authorization, and Monitoring (CA)",'Config Baseline'!$L:$L,"Level 1*")</f>
        <v>0</v>
      </c>
    </row>
    <row r="17" ht="168.0" customHeight="1">
      <c r="A17" s="6" t="s">
        <v>110</v>
      </c>
      <c r="B17" s="6" t="s">
        <v>111</v>
      </c>
      <c r="C17" s="6" t="s">
        <v>114</v>
      </c>
      <c r="D17" s="6" t="s">
        <v>116</v>
      </c>
      <c r="E17" s="6">
        <f>COUNTIF('Config Baseline'!$C:$C,"Configuration Management (CM)")</f>
        <v>57</v>
      </c>
      <c r="F17" s="6">
        <f>COUNTIFS('Config Baseline'!$C:$C,"Configuration Management (CM)",'Config Baseline'!$L:$L,"Level 1*")</f>
        <v>8</v>
      </c>
    </row>
    <row r="18" ht="168.0" customHeight="1">
      <c r="A18" s="6" t="s">
        <v>123</v>
      </c>
      <c r="B18" s="6" t="s">
        <v>124</v>
      </c>
      <c r="C18" s="6" t="s">
        <v>125</v>
      </c>
      <c r="D18" s="6" t="s">
        <v>126</v>
      </c>
      <c r="E18" s="6">
        <f>COUNTIF('Config Baseline'!$C:$C,"Contingency Planning (CP)")</f>
        <v>49</v>
      </c>
      <c r="F18" s="6">
        <f>COUNTIFS('Config Baseline'!$C:$C,"Contingency Planning (CP)",'Config Baseline'!$L:$L,"Level 1*")</f>
        <v>3</v>
      </c>
    </row>
    <row r="19" ht="189.0" customHeight="1">
      <c r="A19" s="6" t="s">
        <v>128</v>
      </c>
      <c r="B19" s="6" t="s">
        <v>129</v>
      </c>
      <c r="C19" s="6" t="s">
        <v>130</v>
      </c>
      <c r="D19" s="6" t="s">
        <v>131</v>
      </c>
      <c r="E19" s="6">
        <f>COUNTIF('Config Baseline'!$C:$C,"Identification and Authentication (IA)")</f>
        <v>61</v>
      </c>
      <c r="F19" s="6">
        <f>COUNTIFS('Config Baseline'!$C:$C,"Identification and Authentication (IA)",'Config Baseline'!$L:$L,"Level 1*")</f>
        <v>7</v>
      </c>
    </row>
    <row r="20" ht="168.0" customHeight="1">
      <c r="A20" s="6" t="s">
        <v>138</v>
      </c>
      <c r="B20" s="6" t="s">
        <v>139</v>
      </c>
      <c r="C20" s="6" t="s">
        <v>140</v>
      </c>
      <c r="D20" s="6" t="s">
        <v>141</v>
      </c>
      <c r="E20" s="6">
        <f>COUNTIF('Config Baseline'!$C:$C,"Incident Response (IR)")</f>
        <v>39</v>
      </c>
      <c r="F20" s="6">
        <f>COUNTIFS('Config Baseline'!$C:$C,"Incident Response (IR)",'Config Baseline'!$L:$L,"Level 1*")</f>
        <v>0</v>
      </c>
    </row>
    <row r="21" ht="147.0" customHeight="1">
      <c r="A21" s="6" t="s">
        <v>147</v>
      </c>
      <c r="B21" s="6" t="s">
        <v>148</v>
      </c>
      <c r="C21" s="6" t="s">
        <v>149</v>
      </c>
      <c r="D21" s="6" t="s">
        <v>150</v>
      </c>
      <c r="E21" s="6">
        <f>COUNTIF('Config Baseline'!$C:$C,"Maintenance (MA)")</f>
        <v>28</v>
      </c>
      <c r="F21" s="6">
        <f>COUNTIFS('Config Baseline'!$C:$C,"Maintenance (MA)",'Config Baseline'!$L:$L,"Level 1*")</f>
        <v>3</v>
      </c>
    </row>
    <row r="22" ht="168.0" customHeight="1">
      <c r="A22" s="6" t="s">
        <v>157</v>
      </c>
      <c r="B22" s="6" t="s">
        <v>158</v>
      </c>
      <c r="C22" s="6" t="s">
        <v>159</v>
      </c>
      <c r="D22" s="6" t="s">
        <v>161</v>
      </c>
      <c r="E22" s="6">
        <f>COUNTIF('Config Baseline'!$C:$C,"Media Protection (MP)")</f>
        <v>20</v>
      </c>
      <c r="F22" s="6">
        <f>COUNTIFS('Config Baseline'!$C:$C,"Media Protection (MP)",'Config Baseline'!$L:$L,"Level 1*")</f>
        <v>0</v>
      </c>
    </row>
    <row r="23" ht="189.0" customHeight="1">
      <c r="A23" s="6" t="s">
        <v>175</v>
      </c>
      <c r="B23" s="6" t="s">
        <v>178</v>
      </c>
      <c r="C23" s="6" t="s">
        <v>180</v>
      </c>
      <c r="D23" s="6" t="s">
        <v>181</v>
      </c>
      <c r="E23" s="6">
        <f>COUNTIF('Config Baseline'!$C:$C,"Physical and Environmental Protection (PE)")</f>
        <v>50</v>
      </c>
      <c r="F23" s="6">
        <f>COUNTIFS('Config Baseline'!$C:$C,"Physical and Environmental Protection (PE)",'Config Baseline'!$L:$L,"Level 1*")</f>
        <v>0</v>
      </c>
    </row>
    <row r="24" ht="147.0" customHeight="1">
      <c r="A24" s="6" t="s">
        <v>192</v>
      </c>
      <c r="B24" s="6" t="s">
        <v>194</v>
      </c>
      <c r="C24" s="6" t="s">
        <v>195</v>
      </c>
      <c r="D24" s="6" t="s">
        <v>197</v>
      </c>
      <c r="E24" s="6">
        <f>COUNTIF('Config Baseline'!$C:$C,"Planning (PL)")</f>
        <v>11</v>
      </c>
      <c r="F24" s="6">
        <f>COUNTIFS('Config Baseline'!$C:$C,"Planning (PL)",'Config Baseline'!$L:$L,"Level 1*")</f>
        <v>0</v>
      </c>
    </row>
    <row r="25" ht="168.0" customHeight="1">
      <c r="A25" s="6" t="s">
        <v>205</v>
      </c>
      <c r="B25" s="6" t="s">
        <v>206</v>
      </c>
      <c r="C25" s="6" t="s">
        <v>208</v>
      </c>
      <c r="D25" s="6" t="s">
        <v>210</v>
      </c>
      <c r="E25" s="6">
        <f>COUNTIF('Config Baseline'!$C:$C,"Program Management (PM)")</f>
        <v>37</v>
      </c>
      <c r="F25" s="6">
        <f>COUNTIFS('Config Baseline'!$C:$C,"Program Management (PM)",'Config Baseline'!$L:$L,"Level 1*")</f>
        <v>0</v>
      </c>
    </row>
    <row r="26" ht="168.0" customHeight="1">
      <c r="A26" s="6" t="s">
        <v>221</v>
      </c>
      <c r="B26" s="6" t="s">
        <v>223</v>
      </c>
      <c r="C26" s="6" t="s">
        <v>224</v>
      </c>
      <c r="D26" s="6" t="s">
        <v>226</v>
      </c>
      <c r="E26" s="6">
        <f>COUNTIF('Config Baseline'!$C:$C,"Personnel Security (PS)")</f>
        <v>17</v>
      </c>
      <c r="F26" s="6">
        <f>COUNTIFS('Config Baseline'!$C:$C,"Personnel Security (PS)",'Config Baseline'!$L:$L,"Level 1*")</f>
        <v>0</v>
      </c>
    </row>
    <row r="27" ht="189.0" customHeight="1">
      <c r="A27" s="6" t="s">
        <v>238</v>
      </c>
      <c r="B27" s="6" t="s">
        <v>239</v>
      </c>
      <c r="C27" s="6" t="s">
        <v>240</v>
      </c>
      <c r="D27" s="6" t="s">
        <v>241</v>
      </c>
      <c r="E27" s="6">
        <f>COUNTIF('Config Baseline'!$C:$C,"PII Processing and Transparency (PT)")</f>
        <v>21</v>
      </c>
      <c r="F27" s="6">
        <f>COUNTIFS('Config Baseline'!$C:$C,"PII Processing and Transparency (PT)",'Config Baseline'!$L:$L,"Level 1*")</f>
        <v>0</v>
      </c>
    </row>
    <row r="28" ht="168.0" customHeight="1">
      <c r="A28" s="6" t="s">
        <v>248</v>
      </c>
      <c r="B28" s="6" t="s">
        <v>249</v>
      </c>
      <c r="C28" s="6" t="s">
        <v>250</v>
      </c>
      <c r="D28" s="6" t="s">
        <v>251</v>
      </c>
      <c r="E28" s="6">
        <f>COUNTIF('Config Baseline'!$C:$C,"Risk Assessment (RA)")</f>
        <v>22</v>
      </c>
      <c r="F28" s="6">
        <f>COUNTIFS('Config Baseline'!$C:$C,"Risk Assessment (RA)",'Config Baseline'!$L:$L,"Level 1*")</f>
        <v>3</v>
      </c>
    </row>
    <row r="29" ht="189.0" customHeight="1">
      <c r="A29" s="6" t="s">
        <v>258</v>
      </c>
      <c r="B29" s="6" t="s">
        <v>259</v>
      </c>
      <c r="C29" s="6" t="s">
        <v>260</v>
      </c>
      <c r="D29" s="6" t="s">
        <v>261</v>
      </c>
      <c r="E29" s="6">
        <f>COUNTIF('Config Baseline'!$C:$C,"System and Services Acquisition (SA)")</f>
        <v>109</v>
      </c>
      <c r="F29" s="6">
        <f>COUNTIFS('Config Baseline'!$C:$C,"System and Services Acquisition (SA)",'Config Baseline'!$L:$L,"Level 1*")</f>
        <v>0</v>
      </c>
    </row>
    <row r="30" ht="189.0" customHeight="1">
      <c r="A30" s="6" t="s">
        <v>278</v>
      </c>
      <c r="B30" s="6" t="s">
        <v>280</v>
      </c>
      <c r="C30" s="6" t="s">
        <v>282</v>
      </c>
      <c r="D30" s="6" t="s">
        <v>283</v>
      </c>
      <c r="E30" s="6">
        <f>COUNTIF('Config Baseline'!$C:$C,"System and Communications Protection (SC)")</f>
        <v>138</v>
      </c>
      <c r="F30" s="6">
        <f>COUNTIFS('Config Baseline'!$C:$C,"System and Communications Protection (SC)",'Config Baseline'!$L:$L,"Level 1*")</f>
        <v>17</v>
      </c>
    </row>
    <row r="31" ht="189.0" customHeight="1">
      <c r="A31" s="6" t="s">
        <v>291</v>
      </c>
      <c r="B31" s="6" t="s">
        <v>292</v>
      </c>
      <c r="C31" s="6" t="s">
        <v>293</v>
      </c>
      <c r="D31" s="6" t="s">
        <v>294</v>
      </c>
      <c r="E31" s="6">
        <f>COUNTIF('Config Baseline'!$C:$C,"System and Information Integrity (SI)")</f>
        <v>105</v>
      </c>
      <c r="F31" s="6">
        <f>COUNTIFS('Config Baseline'!$C:$C,"System and Information Integrity (SI)",'Config Baseline'!$L:$L,"Level 1*")</f>
        <v>18</v>
      </c>
    </row>
    <row r="32" ht="189.0" customHeight="1">
      <c r="A32" s="6" t="s">
        <v>305</v>
      </c>
      <c r="B32" s="6" t="s">
        <v>306</v>
      </c>
      <c r="C32" s="6" t="s">
        <v>307</v>
      </c>
      <c r="D32" s="6" t="s">
        <v>308</v>
      </c>
      <c r="E32" s="6">
        <f>COUNTIF('Config Baseline'!$C:$C,"Supply Chain Risk Management (SR)")</f>
        <v>27</v>
      </c>
      <c r="F32" s="6">
        <f>COUNTIFS('Config Baseline'!$C:$C,"Supply Chain Risk Management (SR)",'Config Baseline'!$L:$L,"Level 1*")</f>
        <v>0</v>
      </c>
    </row>
    <row r="33" ht="15.75" customHeight="1">
      <c r="A33" s="7"/>
      <c r="B33" s="7"/>
      <c r="C33" s="7"/>
      <c r="D33" s="7"/>
      <c r="E33" s="7"/>
      <c r="F33" s="7"/>
    </row>
    <row r="34" ht="25.5" customHeight="1">
      <c r="A34" s="8" t="s">
        <v>320</v>
      </c>
      <c r="B34" s="9"/>
      <c r="C34" s="9"/>
      <c r="D34" s="9"/>
      <c r="E34" s="9"/>
      <c r="F34" s="11"/>
    </row>
    <row r="35" ht="15.75" customHeight="1">
      <c r="A35" s="13" t="s">
        <v>11</v>
      </c>
      <c r="B35" s="13" t="s">
        <v>325</v>
      </c>
      <c r="C35" s="13" t="s">
        <v>58</v>
      </c>
      <c r="D35" s="13" t="s">
        <v>327</v>
      </c>
      <c r="E35" s="7"/>
      <c r="F35" s="7"/>
    </row>
    <row r="36" ht="126.0" customHeight="1">
      <c r="A36" s="6" t="s">
        <v>22</v>
      </c>
      <c r="B36" s="6" t="s">
        <v>328</v>
      </c>
      <c r="C36" s="6" t="s">
        <v>329</v>
      </c>
      <c r="D36" s="6" t="s">
        <v>330</v>
      </c>
      <c r="E36" s="7"/>
      <c r="F36" s="7"/>
    </row>
    <row r="37" ht="63.0" customHeight="1">
      <c r="A37" s="6" t="s">
        <v>331</v>
      </c>
      <c r="B37" s="6" t="s">
        <v>332</v>
      </c>
      <c r="C37" s="6" t="s">
        <v>333</v>
      </c>
      <c r="D37" s="6" t="s">
        <v>334</v>
      </c>
      <c r="E37" s="7"/>
      <c r="F37" s="7"/>
    </row>
    <row r="38" ht="84.0" customHeight="1">
      <c r="A38" s="6" t="s">
        <v>35</v>
      </c>
      <c r="B38" s="6" t="s">
        <v>335</v>
      </c>
      <c r="C38" s="6" t="s">
        <v>336</v>
      </c>
      <c r="D38" s="6" t="s">
        <v>337</v>
      </c>
      <c r="E38" s="7"/>
      <c r="F38" s="7"/>
    </row>
    <row r="39" ht="63.0" customHeight="1">
      <c r="A39" s="6" t="s">
        <v>339</v>
      </c>
      <c r="B39" s="6" t="s">
        <v>340</v>
      </c>
      <c r="C39" s="6" t="s">
        <v>342</v>
      </c>
      <c r="D39" s="6" t="s">
        <v>344</v>
      </c>
      <c r="E39" s="7"/>
      <c r="F39" s="7"/>
    </row>
    <row r="40" ht="63.0" customHeight="1">
      <c r="A40" s="6" t="s">
        <v>346</v>
      </c>
      <c r="B40" s="6" t="s">
        <v>347</v>
      </c>
      <c r="C40" s="6" t="s">
        <v>349</v>
      </c>
      <c r="D40" s="6" t="s">
        <v>350</v>
      </c>
      <c r="E40" s="7"/>
      <c r="F40" s="7"/>
    </row>
    <row r="41" ht="63.0" customHeight="1">
      <c r="A41" s="6" t="s">
        <v>351</v>
      </c>
      <c r="B41" s="6" t="s">
        <v>353</v>
      </c>
      <c r="C41" s="6" t="s">
        <v>354</v>
      </c>
      <c r="D41" s="6" t="s">
        <v>355</v>
      </c>
      <c r="E41" s="7"/>
      <c r="F41" s="7"/>
    </row>
    <row r="42" ht="15.75" customHeight="1">
      <c r="A42" s="7"/>
      <c r="B42" s="7"/>
      <c r="C42" s="7"/>
      <c r="D42" s="7"/>
      <c r="E42" s="7"/>
      <c r="F42" s="7"/>
    </row>
    <row r="43" ht="25.5" customHeight="1">
      <c r="A43" s="8" t="s">
        <v>356</v>
      </c>
      <c r="B43" s="9"/>
      <c r="C43" s="9"/>
      <c r="D43" s="9"/>
      <c r="E43" s="9"/>
      <c r="F43" s="11"/>
    </row>
    <row r="44" ht="43.5" customHeight="1">
      <c r="A44" s="5" t="s">
        <v>361</v>
      </c>
    </row>
    <row r="45" ht="15.75" customHeight="1">
      <c r="A45" s="13" t="s">
        <v>363</v>
      </c>
      <c r="B45" s="13" t="s">
        <v>364</v>
      </c>
      <c r="C45" s="13" t="s">
        <v>365</v>
      </c>
      <c r="D45" s="13" t="s">
        <v>366</v>
      </c>
      <c r="E45" s="13" t="s">
        <v>367</v>
      </c>
      <c r="F45" s="13" t="s">
        <v>368</v>
      </c>
    </row>
    <row r="46" ht="168.0" customHeight="1">
      <c r="A46" s="6" t="s">
        <v>3</v>
      </c>
      <c r="B46" s="6" t="s">
        <v>369</v>
      </c>
      <c r="C46" s="6" t="s">
        <v>370</v>
      </c>
      <c r="D46" s="6" t="s">
        <v>371</v>
      </c>
      <c r="E46" s="6" t="s">
        <v>372</v>
      </c>
      <c r="F46" s="6" t="s">
        <v>373</v>
      </c>
    </row>
    <row r="47" ht="147.0" customHeight="1">
      <c r="A47" s="6" t="s">
        <v>4</v>
      </c>
      <c r="B47" s="6" t="s">
        <v>374</v>
      </c>
      <c r="C47" s="6" t="s">
        <v>375</v>
      </c>
      <c r="D47" s="6" t="s">
        <v>376</v>
      </c>
      <c r="E47" s="6" t="s">
        <v>377</v>
      </c>
      <c r="F47" s="6" t="s">
        <v>378</v>
      </c>
    </row>
    <row r="48" ht="147.0" customHeight="1">
      <c r="A48" s="6" t="s">
        <v>5</v>
      </c>
      <c r="B48" s="6" t="s">
        <v>380</v>
      </c>
      <c r="C48" s="6" t="s">
        <v>381</v>
      </c>
      <c r="D48" s="6" t="s">
        <v>383</v>
      </c>
      <c r="E48" s="6" t="s">
        <v>385</v>
      </c>
      <c r="F48" s="6" t="s">
        <v>387</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9:F9"/>
    <mergeCell ref="A11:F11"/>
    <mergeCell ref="A34:F34"/>
    <mergeCell ref="A43:F43"/>
    <mergeCell ref="A44:F44"/>
    <mergeCell ref="A1:F1"/>
    <mergeCell ref="A2:F2"/>
    <mergeCell ref="A4:F4"/>
    <mergeCell ref="A5:F5"/>
    <mergeCell ref="A6:F6"/>
    <mergeCell ref="A7:F7"/>
    <mergeCell ref="A8:F8"/>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0.1" defaultRowHeight="15.0"/>
  <cols>
    <col customWidth="1" min="1" max="1" width="24.0"/>
    <col customWidth="1" min="2" max="2" width="18.0"/>
    <col customWidth="1" min="3" max="3" width="34.0"/>
    <col customWidth="1" min="4" max="4" width="46.0"/>
    <col customWidth="1" min="5" max="5" width="18.0"/>
    <col customWidth="1" min="6" max="6" width="46.0"/>
    <col customWidth="1" min="7" max="7" width="16.0"/>
    <col customWidth="1" min="8" max="8" width="64.0"/>
    <col customWidth="1" min="9" max="10" width="74.0"/>
    <col customWidth="1" min="11" max="11" width="34.0"/>
    <col customWidth="1" min="12" max="12" width="48.0"/>
    <col customWidth="1" min="13" max="26" width="8.5"/>
  </cols>
  <sheetData>
    <row r="1" ht="48.0" customHeight="1">
      <c r="A1" s="3" t="s">
        <v>2</v>
      </c>
      <c r="B1" s="3" t="s">
        <v>9</v>
      </c>
      <c r="C1" s="3" t="s">
        <v>1</v>
      </c>
      <c r="D1" s="3" t="s">
        <v>10</v>
      </c>
      <c r="E1" s="3" t="s">
        <v>11</v>
      </c>
      <c r="F1" s="3" t="s">
        <v>12</v>
      </c>
      <c r="G1" s="3" t="s">
        <v>13</v>
      </c>
      <c r="H1" s="3" t="s">
        <v>14</v>
      </c>
      <c r="I1" s="3" t="s">
        <v>15</v>
      </c>
      <c r="J1" s="3" t="s">
        <v>16</v>
      </c>
      <c r="K1" s="3" t="s">
        <v>17</v>
      </c>
      <c r="L1" s="3" t="s">
        <v>18</v>
      </c>
    </row>
    <row r="2" hidden="1">
      <c r="A2" s="6" t="s">
        <v>19</v>
      </c>
      <c r="B2" s="6" t="s">
        <v>20</v>
      </c>
      <c r="C2" s="6" t="s">
        <v>7</v>
      </c>
      <c r="D2" s="6" t="s">
        <v>21</v>
      </c>
      <c r="E2" s="6" t="s">
        <v>22</v>
      </c>
      <c r="F2" s="6" t="s">
        <v>23</v>
      </c>
      <c r="G2" s="6" t="s">
        <v>24</v>
      </c>
      <c r="H2" s="6" t="s">
        <v>25</v>
      </c>
      <c r="I2" s="6" t="s">
        <v>26</v>
      </c>
      <c r="J2" s="6" t="s">
        <v>28</v>
      </c>
      <c r="K2" s="6" t="s">
        <v>29</v>
      </c>
      <c r="L2" s="10" t="s">
        <v>30</v>
      </c>
    </row>
    <row r="3">
      <c r="A3" s="6" t="s">
        <v>32</v>
      </c>
      <c r="B3" s="6" t="s">
        <v>33</v>
      </c>
      <c r="C3" s="6" t="s">
        <v>7</v>
      </c>
      <c r="D3" s="6" t="s">
        <v>34</v>
      </c>
      <c r="E3" s="6" t="s">
        <v>35</v>
      </c>
      <c r="F3" s="6" t="s">
        <v>36</v>
      </c>
      <c r="G3" s="6" t="s">
        <v>37</v>
      </c>
      <c r="H3" s="6" t="s">
        <v>38</v>
      </c>
      <c r="I3" s="6" t="s">
        <v>39</v>
      </c>
      <c r="J3" s="6" t="s">
        <v>40</v>
      </c>
      <c r="K3" s="6" t="s">
        <v>41</v>
      </c>
      <c r="L3" s="12" t="s">
        <v>43</v>
      </c>
    </row>
    <row r="4">
      <c r="A4" s="6" t="s">
        <v>49</v>
      </c>
      <c r="B4" s="6" t="s">
        <v>50</v>
      </c>
      <c r="C4" s="6" t="s">
        <v>7</v>
      </c>
      <c r="D4" s="6" t="s">
        <v>52</v>
      </c>
      <c r="E4" s="6" t="s">
        <v>35</v>
      </c>
      <c r="F4" s="6" t="s">
        <v>36</v>
      </c>
      <c r="G4" s="6" t="s">
        <v>37</v>
      </c>
      <c r="H4" s="6" t="s">
        <v>38</v>
      </c>
      <c r="I4" s="6" t="s">
        <v>53</v>
      </c>
      <c r="J4" s="6" t="s">
        <v>54</v>
      </c>
      <c r="K4" s="6" t="s">
        <v>41</v>
      </c>
      <c r="L4" s="14" t="s">
        <v>55</v>
      </c>
    </row>
    <row r="5">
      <c r="A5" s="6" t="s">
        <v>66</v>
      </c>
      <c r="B5" s="6" t="s">
        <v>67</v>
      </c>
      <c r="C5" s="6" t="s">
        <v>7</v>
      </c>
      <c r="D5" s="6" t="s">
        <v>68</v>
      </c>
      <c r="E5" s="6" t="s">
        <v>35</v>
      </c>
      <c r="F5" s="6" t="s">
        <v>36</v>
      </c>
      <c r="G5" s="6" t="s">
        <v>37</v>
      </c>
      <c r="H5" s="6" t="s">
        <v>38</v>
      </c>
      <c r="I5" s="6" t="s">
        <v>69</v>
      </c>
      <c r="J5" s="6" t="s">
        <v>70</v>
      </c>
      <c r="K5" s="6" t="s">
        <v>41</v>
      </c>
      <c r="L5" s="14" t="s">
        <v>55</v>
      </c>
    </row>
    <row r="6">
      <c r="A6" s="6" t="s">
        <v>71</v>
      </c>
      <c r="B6" s="6" t="s">
        <v>72</v>
      </c>
      <c r="C6" s="6" t="s">
        <v>7</v>
      </c>
      <c r="D6" s="6" t="s">
        <v>73</v>
      </c>
      <c r="E6" s="6" t="s">
        <v>35</v>
      </c>
      <c r="F6" s="6" t="s">
        <v>36</v>
      </c>
      <c r="G6" s="6" t="s">
        <v>37</v>
      </c>
      <c r="H6" s="6" t="s">
        <v>38</v>
      </c>
      <c r="I6" s="6" t="s">
        <v>74</v>
      </c>
      <c r="J6" s="6" t="s">
        <v>80</v>
      </c>
      <c r="K6" s="6" t="s">
        <v>41</v>
      </c>
      <c r="L6" s="14" t="s">
        <v>55</v>
      </c>
    </row>
    <row r="7">
      <c r="A7" s="6" t="s">
        <v>81</v>
      </c>
      <c r="B7" s="6" t="s">
        <v>82</v>
      </c>
      <c r="C7" s="6" t="s">
        <v>7</v>
      </c>
      <c r="D7" s="6" t="s">
        <v>83</v>
      </c>
      <c r="E7" s="6" t="s">
        <v>35</v>
      </c>
      <c r="F7" s="6" t="s">
        <v>36</v>
      </c>
      <c r="G7" s="6" t="s">
        <v>37</v>
      </c>
      <c r="H7" s="6" t="s">
        <v>38</v>
      </c>
      <c r="I7" s="6" t="s">
        <v>84</v>
      </c>
      <c r="J7" s="6" t="s">
        <v>85</v>
      </c>
      <c r="K7" s="6" t="s">
        <v>41</v>
      </c>
      <c r="L7" s="12" t="s">
        <v>43</v>
      </c>
    </row>
    <row r="8">
      <c r="A8" s="6" t="s">
        <v>86</v>
      </c>
      <c r="B8" s="6" t="s">
        <v>87</v>
      </c>
      <c r="C8" s="6" t="s">
        <v>7</v>
      </c>
      <c r="D8" s="6" t="s">
        <v>88</v>
      </c>
      <c r="E8" s="6" t="s">
        <v>35</v>
      </c>
      <c r="F8" s="6" t="s">
        <v>36</v>
      </c>
      <c r="G8" s="6" t="s">
        <v>37</v>
      </c>
      <c r="H8" s="6" t="s">
        <v>38</v>
      </c>
      <c r="I8" s="6" t="s">
        <v>89</v>
      </c>
      <c r="J8" s="6" t="s">
        <v>95</v>
      </c>
      <c r="K8" s="6" t="s">
        <v>41</v>
      </c>
      <c r="L8" s="14" t="s">
        <v>55</v>
      </c>
    </row>
    <row r="9">
      <c r="A9" s="6" t="s">
        <v>96</v>
      </c>
      <c r="B9" s="6" t="s">
        <v>97</v>
      </c>
      <c r="C9" s="6" t="s">
        <v>7</v>
      </c>
      <c r="D9" s="6" t="s">
        <v>98</v>
      </c>
      <c r="E9" s="6" t="s">
        <v>35</v>
      </c>
      <c r="F9" s="6" t="s">
        <v>36</v>
      </c>
      <c r="G9" s="6" t="s">
        <v>37</v>
      </c>
      <c r="H9" s="6" t="s">
        <v>38</v>
      </c>
      <c r="I9" s="6" t="s">
        <v>99</v>
      </c>
      <c r="J9" s="6" t="s">
        <v>104</v>
      </c>
      <c r="K9" s="6" t="s">
        <v>41</v>
      </c>
      <c r="L9" s="14" t="s">
        <v>55</v>
      </c>
    </row>
    <row r="10">
      <c r="A10" s="6" t="s">
        <v>105</v>
      </c>
      <c r="B10" s="6" t="s">
        <v>106</v>
      </c>
      <c r="C10" s="6" t="s">
        <v>7</v>
      </c>
      <c r="D10" s="6" t="s">
        <v>107</v>
      </c>
      <c r="E10" s="6" t="s">
        <v>35</v>
      </c>
      <c r="F10" s="6" t="s">
        <v>36</v>
      </c>
      <c r="G10" s="6" t="s">
        <v>37</v>
      </c>
      <c r="H10" s="6" t="s">
        <v>38</v>
      </c>
      <c r="I10" s="6" t="s">
        <v>108</v>
      </c>
      <c r="J10" s="6" t="s">
        <v>109</v>
      </c>
      <c r="K10" s="6" t="s">
        <v>41</v>
      </c>
      <c r="L10" s="12" t="s">
        <v>43</v>
      </c>
    </row>
    <row r="11">
      <c r="A11" s="6" t="s">
        <v>113</v>
      </c>
      <c r="B11" s="6" t="s">
        <v>115</v>
      </c>
      <c r="C11" s="6" t="s">
        <v>7</v>
      </c>
      <c r="D11" s="6" t="s">
        <v>117</v>
      </c>
      <c r="E11" s="6" t="s">
        <v>35</v>
      </c>
      <c r="F11" s="6" t="s">
        <v>36</v>
      </c>
      <c r="G11" s="6" t="s">
        <v>37</v>
      </c>
      <c r="H11" s="6" t="s">
        <v>38</v>
      </c>
      <c r="I11" s="6" t="s">
        <v>118</v>
      </c>
      <c r="J11" s="6" t="s">
        <v>119</v>
      </c>
      <c r="K11" s="6" t="s">
        <v>41</v>
      </c>
      <c r="L11" s="14" t="s">
        <v>55</v>
      </c>
    </row>
    <row r="12">
      <c r="A12" s="6" t="s">
        <v>120</v>
      </c>
      <c r="B12" s="6" t="s">
        <v>121</v>
      </c>
      <c r="C12" s="6" t="s">
        <v>7</v>
      </c>
      <c r="D12" s="6" t="s">
        <v>122</v>
      </c>
      <c r="E12" s="6" t="s">
        <v>35</v>
      </c>
      <c r="F12" s="6" t="s">
        <v>36</v>
      </c>
      <c r="G12" s="6" t="s">
        <v>37</v>
      </c>
      <c r="H12" s="6" t="s">
        <v>38</v>
      </c>
      <c r="I12" s="6" t="s">
        <v>127</v>
      </c>
      <c r="J12" s="6" t="s">
        <v>132</v>
      </c>
      <c r="K12" s="6" t="s">
        <v>41</v>
      </c>
      <c r="L12" s="14" t="s">
        <v>55</v>
      </c>
    </row>
    <row r="13">
      <c r="A13" s="6" t="s">
        <v>133</v>
      </c>
      <c r="B13" s="6" t="s">
        <v>134</v>
      </c>
      <c r="C13" s="6" t="s">
        <v>7</v>
      </c>
      <c r="D13" s="6" t="s">
        <v>135</v>
      </c>
      <c r="E13" s="6" t="s">
        <v>35</v>
      </c>
      <c r="F13" s="6" t="s">
        <v>36</v>
      </c>
      <c r="G13" s="6" t="s">
        <v>37</v>
      </c>
      <c r="H13" s="6" t="s">
        <v>38</v>
      </c>
      <c r="I13" s="6" t="s">
        <v>136</v>
      </c>
      <c r="J13" s="6" t="s">
        <v>142</v>
      </c>
      <c r="K13" s="6" t="s">
        <v>41</v>
      </c>
      <c r="L13" s="14" t="s">
        <v>55</v>
      </c>
    </row>
    <row r="14">
      <c r="A14" s="6" t="s">
        <v>143</v>
      </c>
      <c r="B14" s="6" t="s">
        <v>144</v>
      </c>
      <c r="C14" s="6" t="s">
        <v>7</v>
      </c>
      <c r="D14" s="6" t="s">
        <v>145</v>
      </c>
      <c r="E14" s="6" t="s">
        <v>35</v>
      </c>
      <c r="F14" s="6" t="s">
        <v>36</v>
      </c>
      <c r="G14" s="6" t="s">
        <v>37</v>
      </c>
      <c r="H14" s="6" t="s">
        <v>38</v>
      </c>
      <c r="I14" s="6" t="s">
        <v>146</v>
      </c>
      <c r="J14" s="6" t="s">
        <v>151</v>
      </c>
      <c r="K14" s="6" t="s">
        <v>41</v>
      </c>
      <c r="L14" s="14" t="s">
        <v>55</v>
      </c>
    </row>
    <row r="15">
      <c r="A15" s="6" t="s">
        <v>152</v>
      </c>
      <c r="B15" s="6" t="s">
        <v>153</v>
      </c>
      <c r="C15" s="6" t="s">
        <v>7</v>
      </c>
      <c r="D15" s="6" t="s">
        <v>154</v>
      </c>
      <c r="E15" s="6" t="s">
        <v>35</v>
      </c>
      <c r="F15" s="6" t="s">
        <v>36</v>
      </c>
      <c r="G15" s="6" t="s">
        <v>37</v>
      </c>
      <c r="H15" s="6" t="s">
        <v>38</v>
      </c>
      <c r="I15" s="6" t="s">
        <v>155</v>
      </c>
      <c r="J15" s="6" t="s">
        <v>160</v>
      </c>
      <c r="K15" s="6" t="s">
        <v>41</v>
      </c>
      <c r="L15" s="14" t="s">
        <v>55</v>
      </c>
    </row>
    <row r="16" hidden="1">
      <c r="A16" s="6" t="s">
        <v>162</v>
      </c>
      <c r="B16" s="6" t="s">
        <v>163</v>
      </c>
      <c r="C16" s="6" t="s">
        <v>7</v>
      </c>
      <c r="D16" s="6" t="s">
        <v>164</v>
      </c>
      <c r="E16" s="6" t="s">
        <v>35</v>
      </c>
      <c r="F16" s="6" t="s">
        <v>36</v>
      </c>
      <c r="G16" s="6" t="s">
        <v>165</v>
      </c>
      <c r="H16" s="6" t="s">
        <v>166</v>
      </c>
      <c r="I16" s="6" t="s">
        <v>167</v>
      </c>
      <c r="J16" s="6" t="s">
        <v>168</v>
      </c>
      <c r="K16" s="6" t="s">
        <v>169</v>
      </c>
      <c r="L16" s="12" t="s">
        <v>43</v>
      </c>
    </row>
    <row r="17" hidden="1">
      <c r="A17" s="6" t="s">
        <v>170</v>
      </c>
      <c r="B17" s="6" t="s">
        <v>171</v>
      </c>
      <c r="C17" s="6" t="s">
        <v>7</v>
      </c>
      <c r="D17" s="6" t="s">
        <v>172</v>
      </c>
      <c r="E17" s="6" t="s">
        <v>35</v>
      </c>
      <c r="F17" s="6" t="s">
        <v>36</v>
      </c>
      <c r="G17" s="6" t="s">
        <v>165</v>
      </c>
      <c r="H17" s="6" t="s">
        <v>166</v>
      </c>
      <c r="I17" s="6" t="s">
        <v>173</v>
      </c>
      <c r="J17" s="6" t="s">
        <v>174</v>
      </c>
      <c r="K17" s="6" t="s">
        <v>169</v>
      </c>
      <c r="L17" s="14" t="s">
        <v>55</v>
      </c>
    </row>
    <row r="18" hidden="1">
      <c r="A18" s="6" t="s">
        <v>176</v>
      </c>
      <c r="B18" s="6" t="s">
        <v>177</v>
      </c>
      <c r="C18" s="6" t="s">
        <v>7</v>
      </c>
      <c r="D18" s="6" t="s">
        <v>179</v>
      </c>
      <c r="E18" s="6" t="s">
        <v>35</v>
      </c>
      <c r="F18" s="6" t="s">
        <v>36</v>
      </c>
      <c r="G18" s="6" t="s">
        <v>165</v>
      </c>
      <c r="H18" s="6" t="s">
        <v>166</v>
      </c>
      <c r="I18" s="6" t="s">
        <v>182</v>
      </c>
      <c r="J18" s="6" t="s">
        <v>184</v>
      </c>
      <c r="K18" s="6" t="s">
        <v>169</v>
      </c>
      <c r="L18" s="14" t="s">
        <v>55</v>
      </c>
    </row>
    <row r="19" hidden="1">
      <c r="A19" s="6" t="s">
        <v>185</v>
      </c>
      <c r="B19" s="6" t="s">
        <v>186</v>
      </c>
      <c r="C19" s="6" t="s">
        <v>7</v>
      </c>
      <c r="D19" s="6" t="s">
        <v>187</v>
      </c>
      <c r="E19" s="6" t="s">
        <v>35</v>
      </c>
      <c r="F19" s="6" t="s">
        <v>36</v>
      </c>
      <c r="G19" s="6" t="s">
        <v>165</v>
      </c>
      <c r="H19" s="6" t="s">
        <v>166</v>
      </c>
      <c r="I19" s="6" t="s">
        <v>188</v>
      </c>
      <c r="J19" s="6" t="s">
        <v>189</v>
      </c>
      <c r="K19" s="6" t="s">
        <v>169</v>
      </c>
      <c r="L19" s="14" t="s">
        <v>55</v>
      </c>
    </row>
    <row r="20" hidden="1">
      <c r="A20" s="6" t="s">
        <v>190</v>
      </c>
      <c r="B20" s="6" t="s">
        <v>191</v>
      </c>
      <c r="C20" s="6" t="s">
        <v>7</v>
      </c>
      <c r="D20" s="6" t="s">
        <v>193</v>
      </c>
      <c r="E20" s="6" t="s">
        <v>35</v>
      </c>
      <c r="F20" s="6" t="s">
        <v>36</v>
      </c>
      <c r="G20" s="6" t="s">
        <v>165</v>
      </c>
      <c r="H20" s="6" t="s">
        <v>166</v>
      </c>
      <c r="I20" s="6" t="s">
        <v>196</v>
      </c>
      <c r="J20" s="6" t="s">
        <v>198</v>
      </c>
      <c r="K20" s="6" t="s">
        <v>169</v>
      </c>
      <c r="L20" s="14" t="s">
        <v>55</v>
      </c>
    </row>
    <row r="21" ht="15.75" hidden="1" customHeight="1">
      <c r="A21" s="6" t="s">
        <v>199</v>
      </c>
      <c r="B21" s="6" t="s">
        <v>200</v>
      </c>
      <c r="C21" s="6" t="s">
        <v>7</v>
      </c>
      <c r="D21" s="6" t="s">
        <v>201</v>
      </c>
      <c r="E21" s="6" t="s">
        <v>35</v>
      </c>
      <c r="F21" s="6" t="s">
        <v>36</v>
      </c>
      <c r="G21" s="6" t="s">
        <v>165</v>
      </c>
      <c r="H21" s="6" t="s">
        <v>166</v>
      </c>
      <c r="I21" s="6" t="s">
        <v>202</v>
      </c>
      <c r="J21" s="6" t="s">
        <v>204</v>
      </c>
      <c r="K21" s="6" t="s">
        <v>169</v>
      </c>
      <c r="L21" s="14" t="s">
        <v>55</v>
      </c>
    </row>
    <row r="22" ht="15.75" hidden="1" customHeight="1">
      <c r="A22" s="6" t="s">
        <v>207</v>
      </c>
      <c r="B22" s="6" t="s">
        <v>209</v>
      </c>
      <c r="C22" s="6" t="s">
        <v>7</v>
      </c>
      <c r="D22" s="6" t="s">
        <v>211</v>
      </c>
      <c r="E22" s="6" t="s">
        <v>35</v>
      </c>
      <c r="F22" s="6" t="s">
        <v>36</v>
      </c>
      <c r="G22" s="6" t="s">
        <v>165</v>
      </c>
      <c r="H22" s="6" t="s">
        <v>166</v>
      </c>
      <c r="I22" s="6" t="s">
        <v>212</v>
      </c>
      <c r="J22" s="6" t="s">
        <v>213</v>
      </c>
      <c r="K22" s="6" t="s">
        <v>169</v>
      </c>
      <c r="L22" s="14" t="s">
        <v>55</v>
      </c>
    </row>
    <row r="23" ht="15.75" hidden="1" customHeight="1">
      <c r="A23" s="6" t="s">
        <v>214</v>
      </c>
      <c r="B23" s="6" t="s">
        <v>215</v>
      </c>
      <c r="C23" s="6" t="s">
        <v>7</v>
      </c>
      <c r="D23" s="6" t="s">
        <v>216</v>
      </c>
      <c r="E23" s="6" t="s">
        <v>35</v>
      </c>
      <c r="F23" s="6" t="s">
        <v>36</v>
      </c>
      <c r="G23" s="6" t="s">
        <v>165</v>
      </c>
      <c r="H23" s="6" t="s">
        <v>166</v>
      </c>
      <c r="I23" s="6" t="s">
        <v>217</v>
      </c>
      <c r="J23" s="6" t="s">
        <v>218</v>
      </c>
      <c r="K23" s="6" t="s">
        <v>169</v>
      </c>
      <c r="L23" s="14" t="s">
        <v>55</v>
      </c>
    </row>
    <row r="24" ht="15.75" hidden="1" customHeight="1">
      <c r="A24" s="6" t="s">
        <v>219</v>
      </c>
      <c r="B24" s="6" t="s">
        <v>220</v>
      </c>
      <c r="C24" s="6" t="s">
        <v>7</v>
      </c>
      <c r="D24" s="6" t="s">
        <v>222</v>
      </c>
      <c r="E24" s="6" t="s">
        <v>35</v>
      </c>
      <c r="F24" s="6" t="s">
        <v>36</v>
      </c>
      <c r="G24" s="6" t="s">
        <v>165</v>
      </c>
      <c r="H24" s="6" t="s">
        <v>166</v>
      </c>
      <c r="I24" s="6" t="s">
        <v>225</v>
      </c>
      <c r="J24" s="6" t="s">
        <v>228</v>
      </c>
      <c r="K24" s="6" t="s">
        <v>169</v>
      </c>
      <c r="L24" s="12" t="s">
        <v>43</v>
      </c>
    </row>
    <row r="25" ht="15.75" hidden="1" customHeight="1">
      <c r="A25" s="6" t="s">
        <v>229</v>
      </c>
      <c r="B25" s="6" t="s">
        <v>230</v>
      </c>
      <c r="C25" s="6" t="s">
        <v>7</v>
      </c>
      <c r="D25" s="6" t="s">
        <v>231</v>
      </c>
      <c r="E25" s="6" t="s">
        <v>35</v>
      </c>
      <c r="F25" s="6" t="s">
        <v>36</v>
      </c>
      <c r="G25" s="6" t="s">
        <v>165</v>
      </c>
      <c r="H25" s="6" t="s">
        <v>166</v>
      </c>
      <c r="I25" s="6" t="s">
        <v>232</v>
      </c>
      <c r="J25" s="6" t="s">
        <v>233</v>
      </c>
      <c r="K25" s="6" t="s">
        <v>169</v>
      </c>
      <c r="L25" s="14" t="s">
        <v>55</v>
      </c>
    </row>
    <row r="26" ht="15.75" hidden="1" customHeight="1">
      <c r="A26" s="6" t="s">
        <v>234</v>
      </c>
      <c r="B26" s="6" t="s">
        <v>235</v>
      </c>
      <c r="C26" s="6" t="s">
        <v>7</v>
      </c>
      <c r="D26" s="6" t="s">
        <v>236</v>
      </c>
      <c r="E26" s="6" t="s">
        <v>35</v>
      </c>
      <c r="F26" s="6" t="s">
        <v>36</v>
      </c>
      <c r="G26" s="6" t="s">
        <v>165</v>
      </c>
      <c r="H26" s="6" t="s">
        <v>166</v>
      </c>
      <c r="I26" s="6" t="s">
        <v>237</v>
      </c>
      <c r="J26" s="6" t="s">
        <v>243</v>
      </c>
      <c r="K26" s="6" t="s">
        <v>169</v>
      </c>
      <c r="L26" s="14" t="s">
        <v>55</v>
      </c>
    </row>
    <row r="27" ht="15.75" hidden="1" customHeight="1">
      <c r="A27" s="6" t="s">
        <v>244</v>
      </c>
      <c r="B27" s="6" t="s">
        <v>245</v>
      </c>
      <c r="C27" s="6" t="s">
        <v>7</v>
      </c>
      <c r="D27" s="6" t="s">
        <v>246</v>
      </c>
      <c r="E27" s="6" t="s">
        <v>35</v>
      </c>
      <c r="F27" s="6" t="s">
        <v>36</v>
      </c>
      <c r="G27" s="6" t="s">
        <v>165</v>
      </c>
      <c r="H27" s="6" t="s">
        <v>166</v>
      </c>
      <c r="I27" s="6" t="s">
        <v>247</v>
      </c>
      <c r="J27" s="6" t="s">
        <v>252</v>
      </c>
      <c r="K27" s="6" t="s">
        <v>169</v>
      </c>
      <c r="L27" s="14" t="s">
        <v>55</v>
      </c>
    </row>
    <row r="28" ht="15.75" hidden="1" customHeight="1">
      <c r="A28" s="6" t="s">
        <v>253</v>
      </c>
      <c r="B28" s="6" t="s">
        <v>254</v>
      </c>
      <c r="C28" s="6" t="s">
        <v>7</v>
      </c>
      <c r="D28" s="6" t="s">
        <v>255</v>
      </c>
      <c r="E28" s="6" t="s">
        <v>35</v>
      </c>
      <c r="F28" s="6" t="s">
        <v>36</v>
      </c>
      <c r="G28" s="6" t="s">
        <v>165</v>
      </c>
      <c r="H28" s="6" t="s">
        <v>166</v>
      </c>
      <c r="I28" s="6" t="s">
        <v>256</v>
      </c>
      <c r="J28" s="6" t="s">
        <v>257</v>
      </c>
      <c r="K28" s="6" t="s">
        <v>169</v>
      </c>
      <c r="L28" s="14" t="s">
        <v>55</v>
      </c>
    </row>
    <row r="29" ht="15.75" hidden="1" customHeight="1">
      <c r="A29" s="6" t="s">
        <v>262</v>
      </c>
      <c r="B29" s="6" t="s">
        <v>264</v>
      </c>
      <c r="C29" s="6" t="s">
        <v>7</v>
      </c>
      <c r="D29" s="6" t="s">
        <v>265</v>
      </c>
      <c r="E29" s="6" t="s">
        <v>35</v>
      </c>
      <c r="F29" s="6" t="s">
        <v>36</v>
      </c>
      <c r="G29" s="6" t="s">
        <v>165</v>
      </c>
      <c r="H29" s="6" t="s">
        <v>166</v>
      </c>
      <c r="I29" s="6" t="s">
        <v>266</v>
      </c>
      <c r="J29" s="6" t="s">
        <v>267</v>
      </c>
      <c r="K29" s="6" t="s">
        <v>169</v>
      </c>
      <c r="L29" s="14" t="s">
        <v>55</v>
      </c>
    </row>
    <row r="30" ht="15.75" customHeight="1">
      <c r="A30" s="6" t="s">
        <v>268</v>
      </c>
      <c r="B30" s="6" t="s">
        <v>269</v>
      </c>
      <c r="C30" s="6" t="s">
        <v>7</v>
      </c>
      <c r="D30" s="6" t="s">
        <v>270</v>
      </c>
      <c r="E30" s="6" t="s">
        <v>35</v>
      </c>
      <c r="F30" s="6" t="s">
        <v>271</v>
      </c>
      <c r="G30" s="6" t="s">
        <v>272</v>
      </c>
      <c r="H30" s="6" t="s">
        <v>273</v>
      </c>
      <c r="I30" s="6" t="s">
        <v>274</v>
      </c>
      <c r="J30" s="6" t="s">
        <v>275</v>
      </c>
      <c r="K30" s="6" t="s">
        <v>276</v>
      </c>
      <c r="L30" s="12" t="s">
        <v>43</v>
      </c>
    </row>
    <row r="31" ht="15.75" customHeight="1">
      <c r="A31" s="6" t="s">
        <v>277</v>
      </c>
      <c r="B31" s="6" t="s">
        <v>279</v>
      </c>
      <c r="C31" s="6" t="s">
        <v>7</v>
      </c>
      <c r="D31" s="6" t="s">
        <v>281</v>
      </c>
      <c r="E31" s="6" t="s">
        <v>35</v>
      </c>
      <c r="F31" s="6" t="s">
        <v>271</v>
      </c>
      <c r="G31" s="6" t="s">
        <v>272</v>
      </c>
      <c r="H31" s="6" t="s">
        <v>273</v>
      </c>
      <c r="I31" s="6" t="s">
        <v>284</v>
      </c>
      <c r="J31" s="6" t="s">
        <v>286</v>
      </c>
      <c r="K31" s="6" t="s">
        <v>276</v>
      </c>
      <c r="L31" s="14" t="s">
        <v>55</v>
      </c>
    </row>
    <row r="32" ht="15.75" customHeight="1">
      <c r="A32" s="6" t="s">
        <v>287</v>
      </c>
      <c r="B32" s="6" t="s">
        <v>288</v>
      </c>
      <c r="C32" s="6" t="s">
        <v>7</v>
      </c>
      <c r="D32" s="6" t="s">
        <v>289</v>
      </c>
      <c r="E32" s="6" t="s">
        <v>35</v>
      </c>
      <c r="F32" s="6" t="s">
        <v>271</v>
      </c>
      <c r="G32" s="6" t="s">
        <v>272</v>
      </c>
      <c r="H32" s="6" t="s">
        <v>273</v>
      </c>
      <c r="I32" s="6" t="s">
        <v>290</v>
      </c>
      <c r="J32" s="6" t="s">
        <v>295</v>
      </c>
      <c r="K32" s="6" t="s">
        <v>276</v>
      </c>
      <c r="L32" s="14" t="s">
        <v>55</v>
      </c>
    </row>
    <row r="33" ht="15.75" customHeight="1">
      <c r="A33" s="6" t="s">
        <v>296</v>
      </c>
      <c r="B33" s="6" t="s">
        <v>297</v>
      </c>
      <c r="C33" s="6" t="s">
        <v>7</v>
      </c>
      <c r="D33" s="6" t="s">
        <v>298</v>
      </c>
      <c r="E33" s="6" t="s">
        <v>35</v>
      </c>
      <c r="F33" s="6" t="s">
        <v>271</v>
      </c>
      <c r="G33" s="6" t="s">
        <v>272</v>
      </c>
      <c r="H33" s="6" t="s">
        <v>273</v>
      </c>
      <c r="I33" s="6" t="s">
        <v>299</v>
      </c>
      <c r="J33" s="6" t="s">
        <v>300</v>
      </c>
      <c r="K33" s="6" t="s">
        <v>276</v>
      </c>
      <c r="L33" s="14" t="s">
        <v>55</v>
      </c>
    </row>
    <row r="34" ht="15.75" customHeight="1">
      <c r="A34" s="6" t="s">
        <v>301</v>
      </c>
      <c r="B34" s="6" t="s">
        <v>302</v>
      </c>
      <c r="C34" s="6" t="s">
        <v>7</v>
      </c>
      <c r="D34" s="6" t="s">
        <v>303</v>
      </c>
      <c r="E34" s="6" t="s">
        <v>35</v>
      </c>
      <c r="F34" s="6" t="s">
        <v>271</v>
      </c>
      <c r="G34" s="6" t="s">
        <v>272</v>
      </c>
      <c r="H34" s="6" t="s">
        <v>273</v>
      </c>
      <c r="I34" s="6" t="s">
        <v>304</v>
      </c>
      <c r="J34" s="6" t="s">
        <v>309</v>
      </c>
      <c r="K34" s="6" t="s">
        <v>276</v>
      </c>
      <c r="L34" s="12" t="s">
        <v>43</v>
      </c>
    </row>
    <row r="35" ht="15.75" customHeight="1">
      <c r="A35" s="6" t="s">
        <v>310</v>
      </c>
      <c r="B35" s="6" t="s">
        <v>311</v>
      </c>
      <c r="C35" s="6" t="s">
        <v>7</v>
      </c>
      <c r="D35" s="6" t="s">
        <v>312</v>
      </c>
      <c r="E35" s="6" t="s">
        <v>35</v>
      </c>
      <c r="F35" s="6" t="s">
        <v>271</v>
      </c>
      <c r="G35" s="6" t="s">
        <v>272</v>
      </c>
      <c r="H35" s="6" t="s">
        <v>273</v>
      </c>
      <c r="I35" s="6" t="s">
        <v>313</v>
      </c>
      <c r="J35" s="6" t="s">
        <v>315</v>
      </c>
      <c r="K35" s="6" t="s">
        <v>276</v>
      </c>
      <c r="L35" s="14" t="s">
        <v>55</v>
      </c>
    </row>
    <row r="36" ht="15.75" customHeight="1">
      <c r="A36" s="6" t="s">
        <v>316</v>
      </c>
      <c r="B36" s="6" t="s">
        <v>317</v>
      </c>
      <c r="C36" s="6" t="s">
        <v>7</v>
      </c>
      <c r="D36" s="6" t="s">
        <v>318</v>
      </c>
      <c r="E36" s="6" t="s">
        <v>35</v>
      </c>
      <c r="F36" s="6" t="s">
        <v>271</v>
      </c>
      <c r="G36" s="6" t="s">
        <v>272</v>
      </c>
      <c r="H36" s="6" t="s">
        <v>273</v>
      </c>
      <c r="I36" s="6" t="s">
        <v>319</v>
      </c>
      <c r="J36" s="6" t="s">
        <v>321</v>
      </c>
      <c r="K36" s="6" t="s">
        <v>276</v>
      </c>
      <c r="L36" s="14" t="s">
        <v>55</v>
      </c>
    </row>
    <row r="37" ht="15.75" customHeight="1">
      <c r="A37" s="6" t="s">
        <v>322</v>
      </c>
      <c r="B37" s="6" t="s">
        <v>323</v>
      </c>
      <c r="C37" s="6" t="s">
        <v>7</v>
      </c>
      <c r="D37" s="6" t="s">
        <v>324</v>
      </c>
      <c r="E37" s="6" t="s">
        <v>35</v>
      </c>
      <c r="F37" s="6" t="s">
        <v>271</v>
      </c>
      <c r="G37" s="6" t="s">
        <v>272</v>
      </c>
      <c r="H37" s="6" t="s">
        <v>273</v>
      </c>
      <c r="I37" s="6" t="s">
        <v>326</v>
      </c>
      <c r="J37" s="6" t="s">
        <v>338</v>
      </c>
      <c r="K37" s="6" t="s">
        <v>276</v>
      </c>
      <c r="L37" s="14" t="s">
        <v>55</v>
      </c>
    </row>
    <row r="38" ht="15.75" customHeight="1">
      <c r="A38" s="6" t="s">
        <v>341</v>
      </c>
      <c r="B38" s="6" t="s">
        <v>343</v>
      </c>
      <c r="C38" s="6" t="s">
        <v>7</v>
      </c>
      <c r="D38" s="6" t="s">
        <v>345</v>
      </c>
      <c r="E38" s="6" t="s">
        <v>35</v>
      </c>
      <c r="F38" s="6" t="s">
        <v>271</v>
      </c>
      <c r="G38" s="6" t="s">
        <v>272</v>
      </c>
      <c r="H38" s="6" t="s">
        <v>273</v>
      </c>
      <c r="I38" s="6" t="s">
        <v>348</v>
      </c>
      <c r="J38" s="6" t="s">
        <v>357</v>
      </c>
      <c r="K38" s="6" t="s">
        <v>276</v>
      </c>
      <c r="L38" s="14" t="s">
        <v>55</v>
      </c>
    </row>
    <row r="39" ht="15.75" customHeight="1">
      <c r="A39" s="6" t="s">
        <v>358</v>
      </c>
      <c r="B39" s="6" t="s">
        <v>359</v>
      </c>
      <c r="C39" s="6" t="s">
        <v>7</v>
      </c>
      <c r="D39" s="6" t="s">
        <v>360</v>
      </c>
      <c r="E39" s="6" t="s">
        <v>35</v>
      </c>
      <c r="F39" s="6" t="s">
        <v>271</v>
      </c>
      <c r="G39" s="6" t="s">
        <v>272</v>
      </c>
      <c r="H39" s="6" t="s">
        <v>273</v>
      </c>
      <c r="I39" s="6" t="s">
        <v>362</v>
      </c>
      <c r="J39" s="6" t="s">
        <v>379</v>
      </c>
      <c r="K39" s="6" t="s">
        <v>276</v>
      </c>
      <c r="L39" s="14" t="s">
        <v>55</v>
      </c>
    </row>
    <row r="40" ht="15.75" customHeight="1">
      <c r="A40" s="6" t="s">
        <v>382</v>
      </c>
      <c r="B40" s="6" t="s">
        <v>384</v>
      </c>
      <c r="C40" s="6" t="s">
        <v>7</v>
      </c>
      <c r="D40" s="6" t="s">
        <v>386</v>
      </c>
      <c r="E40" s="6" t="s">
        <v>35</v>
      </c>
      <c r="F40" s="6" t="s">
        <v>271</v>
      </c>
      <c r="G40" s="6" t="s">
        <v>272</v>
      </c>
      <c r="H40" s="6" t="s">
        <v>273</v>
      </c>
      <c r="I40" s="6" t="s">
        <v>388</v>
      </c>
      <c r="J40" s="6" t="s">
        <v>390</v>
      </c>
      <c r="K40" s="6" t="s">
        <v>276</v>
      </c>
      <c r="L40" s="14" t="s">
        <v>55</v>
      </c>
    </row>
    <row r="41" ht="15.75" customHeight="1">
      <c r="A41" s="6" t="s">
        <v>391</v>
      </c>
      <c r="B41" s="6" t="s">
        <v>392</v>
      </c>
      <c r="C41" s="6" t="s">
        <v>7</v>
      </c>
      <c r="D41" s="6" t="s">
        <v>393</v>
      </c>
      <c r="E41" s="6" t="s">
        <v>35</v>
      </c>
      <c r="F41" s="6" t="s">
        <v>271</v>
      </c>
      <c r="G41" s="6" t="s">
        <v>272</v>
      </c>
      <c r="H41" s="6" t="s">
        <v>273</v>
      </c>
      <c r="I41" s="6" t="s">
        <v>394</v>
      </c>
      <c r="J41" s="6" t="s">
        <v>395</v>
      </c>
      <c r="K41" s="6" t="s">
        <v>276</v>
      </c>
      <c r="L41" s="14" t="s">
        <v>55</v>
      </c>
    </row>
    <row r="42" ht="15.75" customHeight="1">
      <c r="A42" s="6" t="s">
        <v>396</v>
      </c>
      <c r="B42" s="6" t="s">
        <v>397</v>
      </c>
      <c r="C42" s="6" t="s">
        <v>7</v>
      </c>
      <c r="D42" s="6" t="s">
        <v>398</v>
      </c>
      <c r="E42" s="6" t="s">
        <v>35</v>
      </c>
      <c r="F42" s="6" t="s">
        <v>271</v>
      </c>
      <c r="G42" s="6" t="s">
        <v>272</v>
      </c>
      <c r="H42" s="6" t="s">
        <v>273</v>
      </c>
      <c r="I42" s="6" t="s">
        <v>399</v>
      </c>
      <c r="J42" s="6" t="s">
        <v>401</v>
      </c>
      <c r="K42" s="6" t="s">
        <v>276</v>
      </c>
      <c r="L42" s="14" t="s">
        <v>55</v>
      </c>
    </row>
    <row r="43" ht="15.75" customHeight="1">
      <c r="A43" s="6" t="s">
        <v>402</v>
      </c>
      <c r="B43" s="6" t="s">
        <v>403</v>
      </c>
      <c r="C43" s="6" t="s">
        <v>7</v>
      </c>
      <c r="D43" s="6" t="s">
        <v>404</v>
      </c>
      <c r="E43" s="6" t="s">
        <v>35</v>
      </c>
      <c r="F43" s="6" t="s">
        <v>271</v>
      </c>
      <c r="G43" s="6" t="s">
        <v>272</v>
      </c>
      <c r="H43" s="6" t="s">
        <v>273</v>
      </c>
      <c r="I43" s="6" t="s">
        <v>405</v>
      </c>
      <c r="J43" s="6" t="s">
        <v>406</v>
      </c>
      <c r="K43" s="6" t="s">
        <v>276</v>
      </c>
      <c r="L43" s="14" t="s">
        <v>55</v>
      </c>
    </row>
    <row r="44" ht="15.75" customHeight="1">
      <c r="A44" s="6" t="s">
        <v>407</v>
      </c>
      <c r="B44" s="6" t="s">
        <v>408</v>
      </c>
      <c r="C44" s="6" t="s">
        <v>7</v>
      </c>
      <c r="D44" s="6" t="s">
        <v>409</v>
      </c>
      <c r="E44" s="6" t="s">
        <v>35</v>
      </c>
      <c r="F44" s="6" t="s">
        <v>271</v>
      </c>
      <c r="G44" s="6" t="s">
        <v>272</v>
      </c>
      <c r="H44" s="6" t="s">
        <v>273</v>
      </c>
      <c r="I44" s="6" t="s">
        <v>410</v>
      </c>
      <c r="J44" s="6" t="s">
        <v>411</v>
      </c>
      <c r="K44" s="6" t="s">
        <v>276</v>
      </c>
      <c r="L44" s="14" t="s">
        <v>55</v>
      </c>
    </row>
    <row r="45" ht="15.75" customHeight="1">
      <c r="A45" s="6" t="s">
        <v>412</v>
      </c>
      <c r="B45" s="6" t="s">
        <v>413</v>
      </c>
      <c r="C45" s="6" t="s">
        <v>7</v>
      </c>
      <c r="D45" s="6" t="s">
        <v>414</v>
      </c>
      <c r="E45" s="6" t="s">
        <v>35</v>
      </c>
      <c r="F45" s="6" t="s">
        <v>271</v>
      </c>
      <c r="G45" s="6" t="s">
        <v>272</v>
      </c>
      <c r="H45" s="6" t="s">
        <v>273</v>
      </c>
      <c r="I45" s="6" t="s">
        <v>415</v>
      </c>
      <c r="J45" s="6" t="s">
        <v>417</v>
      </c>
      <c r="K45" s="6" t="s">
        <v>276</v>
      </c>
      <c r="L45" s="14" t="s">
        <v>55</v>
      </c>
    </row>
    <row r="46" ht="15.75" customHeight="1">
      <c r="A46" s="6" t="s">
        <v>418</v>
      </c>
      <c r="B46" s="6" t="s">
        <v>419</v>
      </c>
      <c r="C46" s="6" t="s">
        <v>7</v>
      </c>
      <c r="D46" s="6" t="s">
        <v>420</v>
      </c>
      <c r="E46" s="6" t="s">
        <v>35</v>
      </c>
      <c r="F46" s="6" t="s">
        <v>271</v>
      </c>
      <c r="G46" s="6" t="s">
        <v>272</v>
      </c>
      <c r="H46" s="6" t="s">
        <v>273</v>
      </c>
      <c r="I46" s="6" t="s">
        <v>421</v>
      </c>
      <c r="J46" s="6" t="s">
        <v>422</v>
      </c>
      <c r="K46" s="6" t="s">
        <v>276</v>
      </c>
      <c r="L46" s="14" t="s">
        <v>55</v>
      </c>
    </row>
    <row r="47" ht="15.75" customHeight="1">
      <c r="A47" s="6" t="s">
        <v>423</v>
      </c>
      <c r="B47" s="6" t="s">
        <v>424</v>
      </c>
      <c r="C47" s="6" t="s">
        <v>7</v>
      </c>
      <c r="D47" s="6" t="s">
        <v>425</v>
      </c>
      <c r="E47" s="6" t="s">
        <v>35</v>
      </c>
      <c r="F47" s="6" t="s">
        <v>271</v>
      </c>
      <c r="G47" s="6" t="s">
        <v>272</v>
      </c>
      <c r="H47" s="6" t="s">
        <v>273</v>
      </c>
      <c r="I47" s="6" t="s">
        <v>426</v>
      </c>
      <c r="J47" s="6" t="s">
        <v>427</v>
      </c>
      <c r="K47" s="6" t="s">
        <v>276</v>
      </c>
      <c r="L47" s="14" t="s">
        <v>55</v>
      </c>
    </row>
    <row r="48" ht="15.75" customHeight="1">
      <c r="A48" s="6" t="s">
        <v>428</v>
      </c>
      <c r="B48" s="6" t="s">
        <v>429</v>
      </c>
      <c r="C48" s="6" t="s">
        <v>7</v>
      </c>
      <c r="D48" s="6" t="s">
        <v>430</v>
      </c>
      <c r="E48" s="6" t="s">
        <v>35</v>
      </c>
      <c r="F48" s="6" t="s">
        <v>271</v>
      </c>
      <c r="G48" s="6" t="s">
        <v>272</v>
      </c>
      <c r="H48" s="6" t="s">
        <v>273</v>
      </c>
      <c r="I48" s="6" t="s">
        <v>431</v>
      </c>
      <c r="J48" s="6" t="s">
        <v>432</v>
      </c>
      <c r="K48" s="6" t="s">
        <v>276</v>
      </c>
      <c r="L48" s="14" t="s">
        <v>55</v>
      </c>
    </row>
    <row r="49" ht="15.75" customHeight="1">
      <c r="A49" s="6" t="s">
        <v>433</v>
      </c>
      <c r="B49" s="6" t="s">
        <v>434</v>
      </c>
      <c r="C49" s="6" t="s">
        <v>7</v>
      </c>
      <c r="D49" s="6" t="s">
        <v>435</v>
      </c>
      <c r="E49" s="6" t="s">
        <v>35</v>
      </c>
      <c r="F49" s="6" t="s">
        <v>271</v>
      </c>
      <c r="G49" s="6" t="s">
        <v>272</v>
      </c>
      <c r="H49" s="6" t="s">
        <v>273</v>
      </c>
      <c r="I49" s="6" t="s">
        <v>436</v>
      </c>
      <c r="J49" s="6" t="s">
        <v>437</v>
      </c>
      <c r="K49" s="6" t="s">
        <v>276</v>
      </c>
      <c r="L49" s="14" t="s">
        <v>55</v>
      </c>
    </row>
    <row r="50" ht="15.75" customHeight="1">
      <c r="A50" s="6" t="s">
        <v>438</v>
      </c>
      <c r="B50" s="6" t="s">
        <v>439</v>
      </c>
      <c r="C50" s="6" t="s">
        <v>7</v>
      </c>
      <c r="D50" s="6" t="s">
        <v>440</v>
      </c>
      <c r="E50" s="6" t="s">
        <v>35</v>
      </c>
      <c r="F50" s="6" t="s">
        <v>271</v>
      </c>
      <c r="G50" s="6" t="s">
        <v>272</v>
      </c>
      <c r="H50" s="6" t="s">
        <v>273</v>
      </c>
      <c r="I50" s="6" t="s">
        <v>441</v>
      </c>
      <c r="J50" s="6" t="s">
        <v>442</v>
      </c>
      <c r="K50" s="6" t="s">
        <v>276</v>
      </c>
      <c r="L50" s="14" t="s">
        <v>55</v>
      </c>
    </row>
    <row r="51" ht="15.75" customHeight="1">
      <c r="A51" s="6" t="s">
        <v>443</v>
      </c>
      <c r="B51" s="6" t="s">
        <v>444</v>
      </c>
      <c r="C51" s="6" t="s">
        <v>7</v>
      </c>
      <c r="D51" s="6" t="s">
        <v>445</v>
      </c>
      <c r="E51" s="6" t="s">
        <v>35</v>
      </c>
      <c r="F51" s="6" t="s">
        <v>271</v>
      </c>
      <c r="G51" s="6" t="s">
        <v>272</v>
      </c>
      <c r="H51" s="6" t="s">
        <v>273</v>
      </c>
      <c r="I51" s="6" t="s">
        <v>446</v>
      </c>
      <c r="J51" s="6" t="s">
        <v>447</v>
      </c>
      <c r="K51" s="6" t="s">
        <v>276</v>
      </c>
      <c r="L51" s="14" t="s">
        <v>55</v>
      </c>
    </row>
    <row r="52" ht="15.75" customHeight="1">
      <c r="A52" s="6" t="s">
        <v>448</v>
      </c>
      <c r="B52" s="6" t="s">
        <v>449</v>
      </c>
      <c r="C52" s="6" t="s">
        <v>7</v>
      </c>
      <c r="D52" s="6" t="s">
        <v>450</v>
      </c>
      <c r="E52" s="6" t="s">
        <v>35</v>
      </c>
      <c r="F52" s="6" t="s">
        <v>271</v>
      </c>
      <c r="G52" s="6" t="s">
        <v>272</v>
      </c>
      <c r="H52" s="6" t="s">
        <v>273</v>
      </c>
      <c r="I52" s="6" t="s">
        <v>451</v>
      </c>
      <c r="J52" s="6" t="s">
        <v>452</v>
      </c>
      <c r="K52" s="6" t="s">
        <v>276</v>
      </c>
      <c r="L52" s="14" t="s">
        <v>55</v>
      </c>
    </row>
    <row r="53" ht="15.75" customHeight="1">
      <c r="A53" s="6" t="s">
        <v>453</v>
      </c>
      <c r="B53" s="6" t="s">
        <v>454</v>
      </c>
      <c r="C53" s="6" t="s">
        <v>7</v>
      </c>
      <c r="D53" s="6" t="s">
        <v>455</v>
      </c>
      <c r="E53" s="6" t="s">
        <v>35</v>
      </c>
      <c r="F53" s="6" t="s">
        <v>271</v>
      </c>
      <c r="G53" s="6" t="s">
        <v>272</v>
      </c>
      <c r="H53" s="6" t="s">
        <v>273</v>
      </c>
      <c r="I53" s="6" t="s">
        <v>456</v>
      </c>
      <c r="J53" s="6" t="s">
        <v>460</v>
      </c>
      <c r="K53" s="6" t="s">
        <v>276</v>
      </c>
      <c r="L53" s="14" t="s">
        <v>55</v>
      </c>
    </row>
    <row r="54" ht="15.75" customHeight="1">
      <c r="A54" s="6" t="s">
        <v>461</v>
      </c>
      <c r="B54" s="6" t="s">
        <v>462</v>
      </c>
      <c r="C54" s="6" t="s">
        <v>7</v>
      </c>
      <c r="D54" s="6" t="s">
        <v>463</v>
      </c>
      <c r="E54" s="6" t="s">
        <v>35</v>
      </c>
      <c r="F54" s="6" t="s">
        <v>271</v>
      </c>
      <c r="G54" s="6" t="s">
        <v>272</v>
      </c>
      <c r="H54" s="6" t="s">
        <v>273</v>
      </c>
      <c r="I54" s="6" t="s">
        <v>464</v>
      </c>
      <c r="J54" s="6" t="s">
        <v>465</v>
      </c>
      <c r="K54" s="6" t="s">
        <v>276</v>
      </c>
      <c r="L54" s="12" t="s">
        <v>43</v>
      </c>
    </row>
    <row r="55" ht="15.75" customHeight="1">
      <c r="A55" s="6" t="s">
        <v>466</v>
      </c>
      <c r="B55" s="6" t="s">
        <v>467</v>
      </c>
      <c r="C55" s="6" t="s">
        <v>7</v>
      </c>
      <c r="D55" s="6" t="s">
        <v>468</v>
      </c>
      <c r="E55" s="6" t="s">
        <v>35</v>
      </c>
      <c r="F55" s="6" t="s">
        <v>271</v>
      </c>
      <c r="G55" s="6" t="s">
        <v>272</v>
      </c>
      <c r="H55" s="6" t="s">
        <v>273</v>
      </c>
      <c r="I55" s="6" t="s">
        <v>469</v>
      </c>
      <c r="J55" s="6" t="s">
        <v>471</v>
      </c>
      <c r="K55" s="6" t="s">
        <v>276</v>
      </c>
      <c r="L55" s="14" t="s">
        <v>55</v>
      </c>
    </row>
    <row r="56" ht="15.75" customHeight="1">
      <c r="A56" s="6" t="s">
        <v>472</v>
      </c>
      <c r="B56" s="6" t="s">
        <v>473</v>
      </c>
      <c r="C56" s="6" t="s">
        <v>7</v>
      </c>
      <c r="D56" s="6" t="s">
        <v>474</v>
      </c>
      <c r="E56" s="6" t="s">
        <v>35</v>
      </c>
      <c r="F56" s="6" t="s">
        <v>271</v>
      </c>
      <c r="G56" s="6" t="s">
        <v>272</v>
      </c>
      <c r="H56" s="6" t="s">
        <v>273</v>
      </c>
      <c r="I56" s="6" t="s">
        <v>475</v>
      </c>
      <c r="J56" s="6" t="s">
        <v>476</v>
      </c>
      <c r="K56" s="6" t="s">
        <v>276</v>
      </c>
      <c r="L56" s="14" t="s">
        <v>55</v>
      </c>
    </row>
    <row r="57" ht="15.75" customHeight="1">
      <c r="A57" s="6" t="s">
        <v>477</v>
      </c>
      <c r="B57" s="6" t="s">
        <v>478</v>
      </c>
      <c r="C57" s="6" t="s">
        <v>7</v>
      </c>
      <c r="D57" s="6" t="s">
        <v>479</v>
      </c>
      <c r="E57" s="6" t="s">
        <v>35</v>
      </c>
      <c r="F57" s="6" t="s">
        <v>271</v>
      </c>
      <c r="G57" s="6" t="s">
        <v>272</v>
      </c>
      <c r="H57" s="6" t="s">
        <v>273</v>
      </c>
      <c r="I57" s="6" t="s">
        <v>480</v>
      </c>
      <c r="J57" s="6" t="s">
        <v>481</v>
      </c>
      <c r="K57" s="6" t="s">
        <v>276</v>
      </c>
      <c r="L57" s="14" t="s">
        <v>55</v>
      </c>
    </row>
    <row r="58" ht="15.75" customHeight="1">
      <c r="A58" s="6" t="s">
        <v>483</v>
      </c>
      <c r="B58" s="6" t="s">
        <v>484</v>
      </c>
      <c r="C58" s="6" t="s">
        <v>7</v>
      </c>
      <c r="D58" s="6" t="s">
        <v>485</v>
      </c>
      <c r="E58" s="6" t="s">
        <v>35</v>
      </c>
      <c r="F58" s="6" t="s">
        <v>271</v>
      </c>
      <c r="G58" s="6" t="s">
        <v>272</v>
      </c>
      <c r="H58" s="6" t="s">
        <v>273</v>
      </c>
      <c r="I58" s="6" t="s">
        <v>486</v>
      </c>
      <c r="J58" s="6" t="s">
        <v>487</v>
      </c>
      <c r="K58" s="6" t="s">
        <v>276</v>
      </c>
      <c r="L58" s="14" t="s">
        <v>55</v>
      </c>
    </row>
    <row r="59" ht="15.75" customHeight="1">
      <c r="A59" s="6" t="s">
        <v>488</v>
      </c>
      <c r="B59" s="6" t="s">
        <v>489</v>
      </c>
      <c r="C59" s="6" t="s">
        <v>7</v>
      </c>
      <c r="D59" s="6" t="s">
        <v>490</v>
      </c>
      <c r="E59" s="6" t="s">
        <v>35</v>
      </c>
      <c r="F59" s="6" t="s">
        <v>271</v>
      </c>
      <c r="G59" s="6" t="s">
        <v>272</v>
      </c>
      <c r="H59" s="6" t="s">
        <v>273</v>
      </c>
      <c r="I59" s="6" t="s">
        <v>491</v>
      </c>
      <c r="J59" s="6" t="s">
        <v>492</v>
      </c>
      <c r="K59" s="6" t="s">
        <v>276</v>
      </c>
      <c r="L59" s="14" t="s">
        <v>55</v>
      </c>
    </row>
    <row r="60" ht="15.75" customHeight="1">
      <c r="A60" s="6" t="s">
        <v>493</v>
      </c>
      <c r="B60" s="6" t="s">
        <v>494</v>
      </c>
      <c r="C60" s="6" t="s">
        <v>7</v>
      </c>
      <c r="D60" s="6" t="s">
        <v>495</v>
      </c>
      <c r="E60" s="6" t="s">
        <v>35</v>
      </c>
      <c r="F60" s="6" t="s">
        <v>271</v>
      </c>
      <c r="G60" s="6" t="s">
        <v>272</v>
      </c>
      <c r="H60" s="6" t="s">
        <v>273</v>
      </c>
      <c r="I60" s="6" t="s">
        <v>496</v>
      </c>
      <c r="J60" s="6" t="s">
        <v>498</v>
      </c>
      <c r="K60" s="6" t="s">
        <v>276</v>
      </c>
      <c r="L60" s="14" t="s">
        <v>55</v>
      </c>
    </row>
    <row r="61" ht="15.75" hidden="1" customHeight="1">
      <c r="A61" s="6" t="s">
        <v>499</v>
      </c>
      <c r="B61" s="6" t="s">
        <v>500</v>
      </c>
      <c r="C61" s="6" t="s">
        <v>7</v>
      </c>
      <c r="D61" s="6" t="s">
        <v>501</v>
      </c>
      <c r="E61" s="6" t="s">
        <v>35</v>
      </c>
      <c r="F61" s="6" t="s">
        <v>36</v>
      </c>
      <c r="G61" s="6" t="s">
        <v>165</v>
      </c>
      <c r="H61" s="6" t="s">
        <v>166</v>
      </c>
      <c r="I61" s="6" t="s">
        <v>502</v>
      </c>
      <c r="J61" s="6" t="s">
        <v>503</v>
      </c>
      <c r="K61" s="6" t="s">
        <v>504</v>
      </c>
      <c r="L61" s="14" t="s">
        <v>55</v>
      </c>
    </row>
    <row r="62" ht="15.75" customHeight="1">
      <c r="A62" s="6" t="s">
        <v>505</v>
      </c>
      <c r="B62" s="6" t="s">
        <v>506</v>
      </c>
      <c r="C62" s="6" t="s">
        <v>7</v>
      </c>
      <c r="D62" s="6" t="s">
        <v>507</v>
      </c>
      <c r="E62" s="6" t="s">
        <v>35</v>
      </c>
      <c r="F62" s="6" t="s">
        <v>36</v>
      </c>
      <c r="G62" s="6" t="s">
        <v>165</v>
      </c>
      <c r="H62" s="6" t="s">
        <v>166</v>
      </c>
      <c r="I62" s="6" t="s">
        <v>508</v>
      </c>
      <c r="J62" s="6" t="s">
        <v>510</v>
      </c>
      <c r="K62" s="6" t="s">
        <v>511</v>
      </c>
      <c r="L62" s="12" t="s">
        <v>43</v>
      </c>
    </row>
    <row r="63" ht="15.75" customHeight="1">
      <c r="A63" s="6" t="s">
        <v>512</v>
      </c>
      <c r="B63" s="6" t="s">
        <v>513</v>
      </c>
      <c r="C63" s="6" t="s">
        <v>7</v>
      </c>
      <c r="D63" s="6" t="s">
        <v>514</v>
      </c>
      <c r="E63" s="6" t="s">
        <v>35</v>
      </c>
      <c r="F63" s="6" t="s">
        <v>36</v>
      </c>
      <c r="G63" s="6" t="s">
        <v>165</v>
      </c>
      <c r="H63" s="6" t="s">
        <v>166</v>
      </c>
      <c r="I63" s="6" t="s">
        <v>515</v>
      </c>
      <c r="J63" s="6" t="s">
        <v>516</v>
      </c>
      <c r="K63" s="6" t="s">
        <v>511</v>
      </c>
      <c r="L63" s="14" t="s">
        <v>55</v>
      </c>
    </row>
    <row r="64" ht="15.75" customHeight="1">
      <c r="A64" s="6" t="s">
        <v>517</v>
      </c>
      <c r="B64" s="6" t="s">
        <v>518</v>
      </c>
      <c r="C64" s="6" t="s">
        <v>7</v>
      </c>
      <c r="D64" s="6" t="s">
        <v>519</v>
      </c>
      <c r="E64" s="6" t="s">
        <v>35</v>
      </c>
      <c r="F64" s="6" t="s">
        <v>36</v>
      </c>
      <c r="G64" s="6" t="s">
        <v>165</v>
      </c>
      <c r="H64" s="6" t="s">
        <v>166</v>
      </c>
      <c r="I64" s="6" t="s">
        <v>520</v>
      </c>
      <c r="J64" s="6" t="s">
        <v>522</v>
      </c>
      <c r="K64" s="6" t="s">
        <v>511</v>
      </c>
      <c r="L64" s="14" t="s">
        <v>55</v>
      </c>
    </row>
    <row r="65" ht="15.75" customHeight="1">
      <c r="A65" s="6" t="s">
        <v>523</v>
      </c>
      <c r="B65" s="6" t="s">
        <v>524</v>
      </c>
      <c r="C65" s="6" t="s">
        <v>7</v>
      </c>
      <c r="D65" s="6" t="s">
        <v>525</v>
      </c>
      <c r="E65" s="6" t="s">
        <v>35</v>
      </c>
      <c r="F65" s="6" t="s">
        <v>36</v>
      </c>
      <c r="G65" s="6" t="s">
        <v>165</v>
      </c>
      <c r="H65" s="6" t="s">
        <v>166</v>
      </c>
      <c r="I65" s="6" t="s">
        <v>526</v>
      </c>
      <c r="J65" s="6" t="s">
        <v>529</v>
      </c>
      <c r="K65" s="6" t="s">
        <v>511</v>
      </c>
      <c r="L65" s="12" t="s">
        <v>43</v>
      </c>
    </row>
    <row r="66" ht="15.75" customHeight="1">
      <c r="A66" s="6" t="s">
        <v>530</v>
      </c>
      <c r="B66" s="6" t="s">
        <v>531</v>
      </c>
      <c r="C66" s="6" t="s">
        <v>7</v>
      </c>
      <c r="D66" s="6" t="s">
        <v>532</v>
      </c>
      <c r="E66" s="6" t="s">
        <v>35</v>
      </c>
      <c r="F66" s="6" t="s">
        <v>36</v>
      </c>
      <c r="G66" s="6" t="s">
        <v>165</v>
      </c>
      <c r="H66" s="6" t="s">
        <v>166</v>
      </c>
      <c r="I66" s="6" t="s">
        <v>533</v>
      </c>
      <c r="J66" s="6" t="s">
        <v>535</v>
      </c>
      <c r="K66" s="6" t="s">
        <v>511</v>
      </c>
      <c r="L66" s="14" t="s">
        <v>55</v>
      </c>
    </row>
    <row r="67" ht="15.75" customHeight="1">
      <c r="A67" s="6" t="s">
        <v>536</v>
      </c>
      <c r="B67" s="6" t="s">
        <v>537</v>
      </c>
      <c r="C67" s="6" t="s">
        <v>7</v>
      </c>
      <c r="D67" s="6" t="s">
        <v>538</v>
      </c>
      <c r="E67" s="6" t="s">
        <v>35</v>
      </c>
      <c r="F67" s="6" t="s">
        <v>36</v>
      </c>
      <c r="G67" s="6" t="s">
        <v>165</v>
      </c>
      <c r="H67" s="6" t="s">
        <v>166</v>
      </c>
      <c r="I67" s="6" t="s">
        <v>539</v>
      </c>
      <c r="J67" s="6" t="s">
        <v>541</v>
      </c>
      <c r="K67" s="6" t="s">
        <v>511</v>
      </c>
      <c r="L67" s="12" t="s">
        <v>43</v>
      </c>
    </row>
    <row r="68" ht="15.75" customHeight="1">
      <c r="A68" s="6" t="s">
        <v>542</v>
      </c>
      <c r="B68" s="6" t="s">
        <v>543</v>
      </c>
      <c r="C68" s="6" t="s">
        <v>7</v>
      </c>
      <c r="D68" s="6" t="s">
        <v>544</v>
      </c>
      <c r="E68" s="6" t="s">
        <v>35</v>
      </c>
      <c r="F68" s="6" t="s">
        <v>36</v>
      </c>
      <c r="G68" s="6" t="s">
        <v>165</v>
      </c>
      <c r="H68" s="6" t="s">
        <v>166</v>
      </c>
      <c r="I68" s="6" t="s">
        <v>545</v>
      </c>
      <c r="J68" s="6" t="s">
        <v>546</v>
      </c>
      <c r="K68" s="6" t="s">
        <v>511</v>
      </c>
      <c r="L68" s="12" t="s">
        <v>43</v>
      </c>
    </row>
    <row r="69" ht="15.75" customHeight="1">
      <c r="A69" s="6" t="s">
        <v>547</v>
      </c>
      <c r="B69" s="6" t="s">
        <v>548</v>
      </c>
      <c r="C69" s="6" t="s">
        <v>7</v>
      </c>
      <c r="D69" s="6" t="s">
        <v>549</v>
      </c>
      <c r="E69" s="6" t="s">
        <v>35</v>
      </c>
      <c r="F69" s="6" t="s">
        <v>36</v>
      </c>
      <c r="G69" s="6" t="s">
        <v>165</v>
      </c>
      <c r="H69" s="6" t="s">
        <v>166</v>
      </c>
      <c r="I69" s="6" t="s">
        <v>550</v>
      </c>
      <c r="J69" s="6" t="s">
        <v>552</v>
      </c>
      <c r="K69" s="6" t="s">
        <v>511</v>
      </c>
      <c r="L69" s="14" t="s">
        <v>55</v>
      </c>
    </row>
    <row r="70" ht="15.75" customHeight="1">
      <c r="A70" s="6" t="s">
        <v>553</v>
      </c>
      <c r="B70" s="6" t="s">
        <v>554</v>
      </c>
      <c r="C70" s="6" t="s">
        <v>7</v>
      </c>
      <c r="D70" s="6" t="s">
        <v>555</v>
      </c>
      <c r="E70" s="6" t="s">
        <v>35</v>
      </c>
      <c r="F70" s="6" t="s">
        <v>36</v>
      </c>
      <c r="G70" s="6" t="s">
        <v>165</v>
      </c>
      <c r="H70" s="6" t="s">
        <v>166</v>
      </c>
      <c r="I70" s="6" t="s">
        <v>556</v>
      </c>
      <c r="J70" s="6" t="s">
        <v>557</v>
      </c>
      <c r="K70" s="6" t="s">
        <v>511</v>
      </c>
      <c r="L70" s="14" t="s">
        <v>55</v>
      </c>
    </row>
    <row r="71" ht="15.75" customHeight="1">
      <c r="A71" s="6" t="s">
        <v>558</v>
      </c>
      <c r="B71" s="6" t="s">
        <v>559</v>
      </c>
      <c r="C71" s="6" t="s">
        <v>7</v>
      </c>
      <c r="D71" s="6" t="s">
        <v>560</v>
      </c>
      <c r="E71" s="6" t="s">
        <v>35</v>
      </c>
      <c r="F71" s="6" t="s">
        <v>36</v>
      </c>
      <c r="G71" s="6" t="s">
        <v>165</v>
      </c>
      <c r="H71" s="6" t="s">
        <v>166</v>
      </c>
      <c r="I71" s="6" t="s">
        <v>561</v>
      </c>
      <c r="J71" s="6" t="s">
        <v>563</v>
      </c>
      <c r="K71" s="6" t="s">
        <v>511</v>
      </c>
      <c r="L71" s="12" t="s">
        <v>43</v>
      </c>
    </row>
    <row r="72" ht="15.75" customHeight="1">
      <c r="A72" s="6" t="s">
        <v>564</v>
      </c>
      <c r="B72" s="6" t="s">
        <v>565</v>
      </c>
      <c r="C72" s="6" t="s">
        <v>7</v>
      </c>
      <c r="D72" s="6" t="s">
        <v>566</v>
      </c>
      <c r="E72" s="6" t="s">
        <v>35</v>
      </c>
      <c r="F72" s="6" t="s">
        <v>36</v>
      </c>
      <c r="G72" s="6" t="s">
        <v>165</v>
      </c>
      <c r="H72" s="6" t="s">
        <v>166</v>
      </c>
      <c r="I72" s="6" t="s">
        <v>567</v>
      </c>
      <c r="J72" s="6" t="s">
        <v>568</v>
      </c>
      <c r="K72" s="6" t="s">
        <v>511</v>
      </c>
      <c r="L72" s="12" t="s">
        <v>43</v>
      </c>
    </row>
    <row r="73" ht="15.75" hidden="1" customHeight="1">
      <c r="A73" s="6" t="s">
        <v>569</v>
      </c>
      <c r="B73" s="6" t="s">
        <v>570</v>
      </c>
      <c r="C73" s="6" t="s">
        <v>7</v>
      </c>
      <c r="D73" s="6" t="s">
        <v>571</v>
      </c>
      <c r="E73" s="6" t="s">
        <v>35</v>
      </c>
      <c r="F73" s="6" t="s">
        <v>36</v>
      </c>
      <c r="G73" s="6" t="s">
        <v>572</v>
      </c>
      <c r="H73" s="6" t="s">
        <v>573</v>
      </c>
      <c r="I73" s="6" t="s">
        <v>574</v>
      </c>
      <c r="J73" s="6" t="s">
        <v>575</v>
      </c>
      <c r="K73" s="6" t="s">
        <v>576</v>
      </c>
      <c r="L73" s="12" t="s">
        <v>43</v>
      </c>
    </row>
    <row r="74" ht="15.75" hidden="1" customHeight="1">
      <c r="A74" s="6" t="s">
        <v>577</v>
      </c>
      <c r="B74" s="6" t="s">
        <v>578</v>
      </c>
      <c r="C74" s="6" t="s">
        <v>7</v>
      </c>
      <c r="D74" s="6" t="s">
        <v>579</v>
      </c>
      <c r="E74" s="6" t="s">
        <v>35</v>
      </c>
      <c r="F74" s="6" t="s">
        <v>36</v>
      </c>
      <c r="G74" s="6" t="s">
        <v>572</v>
      </c>
      <c r="H74" s="6" t="s">
        <v>573</v>
      </c>
      <c r="I74" s="6" t="s">
        <v>580</v>
      </c>
      <c r="J74" s="6" t="s">
        <v>582</v>
      </c>
      <c r="K74" s="6" t="s">
        <v>576</v>
      </c>
      <c r="L74" s="14" t="s">
        <v>55</v>
      </c>
    </row>
    <row r="75" ht="15.75" hidden="1" customHeight="1">
      <c r="A75" s="6" t="s">
        <v>583</v>
      </c>
      <c r="B75" s="6" t="s">
        <v>584</v>
      </c>
      <c r="C75" s="6" t="s">
        <v>7</v>
      </c>
      <c r="D75" s="6" t="s">
        <v>585</v>
      </c>
      <c r="E75" s="6" t="s">
        <v>35</v>
      </c>
      <c r="F75" s="6" t="s">
        <v>36</v>
      </c>
      <c r="G75" s="6" t="s">
        <v>572</v>
      </c>
      <c r="H75" s="6" t="s">
        <v>573</v>
      </c>
      <c r="I75" s="6" t="s">
        <v>586</v>
      </c>
      <c r="J75" s="6" t="s">
        <v>588</v>
      </c>
      <c r="K75" s="6" t="s">
        <v>576</v>
      </c>
      <c r="L75" s="14" t="s">
        <v>55</v>
      </c>
    </row>
    <row r="76" ht="15.75" hidden="1" customHeight="1">
      <c r="A76" s="6" t="s">
        <v>589</v>
      </c>
      <c r="B76" s="6" t="s">
        <v>590</v>
      </c>
      <c r="C76" s="6" t="s">
        <v>7</v>
      </c>
      <c r="D76" s="6" t="s">
        <v>591</v>
      </c>
      <c r="E76" s="6" t="s">
        <v>35</v>
      </c>
      <c r="F76" s="6" t="s">
        <v>36</v>
      </c>
      <c r="G76" s="6" t="s">
        <v>572</v>
      </c>
      <c r="H76" s="6" t="s">
        <v>573</v>
      </c>
      <c r="I76" s="6" t="s">
        <v>592</v>
      </c>
      <c r="J76" s="6" t="s">
        <v>593</v>
      </c>
      <c r="K76" s="6" t="s">
        <v>576</v>
      </c>
      <c r="L76" s="14" t="s">
        <v>55</v>
      </c>
    </row>
    <row r="77" ht="15.75" hidden="1" customHeight="1">
      <c r="A77" s="6" t="s">
        <v>594</v>
      </c>
      <c r="B77" s="6" t="s">
        <v>595</v>
      </c>
      <c r="C77" s="6" t="s">
        <v>7</v>
      </c>
      <c r="D77" s="6" t="s">
        <v>596</v>
      </c>
      <c r="E77" s="6" t="s">
        <v>22</v>
      </c>
      <c r="F77" s="6" t="s">
        <v>23</v>
      </c>
      <c r="G77" s="6" t="s">
        <v>24</v>
      </c>
      <c r="H77" s="6" t="s">
        <v>25</v>
      </c>
      <c r="I77" s="6" t="s">
        <v>597</v>
      </c>
      <c r="J77" s="6" t="s">
        <v>598</v>
      </c>
      <c r="K77" s="6" t="s">
        <v>599</v>
      </c>
      <c r="L77" s="14" t="s">
        <v>55</v>
      </c>
    </row>
    <row r="78" ht="15.75" hidden="1" customHeight="1">
      <c r="A78" s="6" t="s">
        <v>600</v>
      </c>
      <c r="B78" s="6" t="s">
        <v>601</v>
      </c>
      <c r="C78" s="6" t="s">
        <v>7</v>
      </c>
      <c r="D78" s="6" t="s">
        <v>602</v>
      </c>
      <c r="E78" s="6" t="s">
        <v>339</v>
      </c>
      <c r="F78" s="6" t="s">
        <v>603</v>
      </c>
      <c r="G78" s="6" t="s">
        <v>604</v>
      </c>
      <c r="H78" s="6" t="s">
        <v>605</v>
      </c>
      <c r="I78" s="6" t="s">
        <v>606</v>
      </c>
      <c r="J78" s="6" t="s">
        <v>607</v>
      </c>
      <c r="K78" s="6" t="s">
        <v>608</v>
      </c>
      <c r="L78" s="10" t="s">
        <v>609</v>
      </c>
    </row>
    <row r="79" ht="15.75" hidden="1" customHeight="1">
      <c r="A79" s="6" t="s">
        <v>610</v>
      </c>
      <c r="B79" s="6" t="s">
        <v>611</v>
      </c>
      <c r="C79" s="6" t="s">
        <v>7</v>
      </c>
      <c r="D79" s="6" t="s">
        <v>612</v>
      </c>
      <c r="E79" s="6" t="s">
        <v>339</v>
      </c>
      <c r="F79" s="6" t="s">
        <v>603</v>
      </c>
      <c r="G79" s="6" t="s">
        <v>604</v>
      </c>
      <c r="H79" s="6" t="s">
        <v>605</v>
      </c>
      <c r="I79" s="6" t="s">
        <v>613</v>
      </c>
      <c r="J79" s="6" t="s">
        <v>614</v>
      </c>
      <c r="K79" s="6" t="s">
        <v>608</v>
      </c>
      <c r="L79" s="10" t="s">
        <v>609</v>
      </c>
    </row>
    <row r="80" ht="15.75" hidden="1" customHeight="1">
      <c r="A80" s="6" t="s">
        <v>615</v>
      </c>
      <c r="B80" s="6" t="s">
        <v>616</v>
      </c>
      <c r="C80" s="6" t="s">
        <v>7</v>
      </c>
      <c r="D80" s="6" t="s">
        <v>617</v>
      </c>
      <c r="E80" s="6" t="s">
        <v>339</v>
      </c>
      <c r="F80" s="6" t="s">
        <v>603</v>
      </c>
      <c r="G80" s="6" t="s">
        <v>604</v>
      </c>
      <c r="H80" s="6" t="s">
        <v>605</v>
      </c>
      <c r="I80" s="6" t="s">
        <v>618</v>
      </c>
      <c r="J80" s="6" t="s">
        <v>619</v>
      </c>
      <c r="K80" s="6" t="s">
        <v>608</v>
      </c>
      <c r="L80" s="10" t="s">
        <v>609</v>
      </c>
    </row>
    <row r="81" ht="15.75" hidden="1" customHeight="1">
      <c r="A81" s="6" t="s">
        <v>620</v>
      </c>
      <c r="B81" s="6" t="s">
        <v>621</v>
      </c>
      <c r="C81" s="6" t="s">
        <v>7</v>
      </c>
      <c r="D81" s="6" t="s">
        <v>622</v>
      </c>
      <c r="E81" s="6" t="s">
        <v>339</v>
      </c>
      <c r="F81" s="6" t="s">
        <v>603</v>
      </c>
      <c r="G81" s="6" t="s">
        <v>604</v>
      </c>
      <c r="H81" s="6" t="s">
        <v>605</v>
      </c>
      <c r="I81" s="6" t="s">
        <v>623</v>
      </c>
      <c r="J81" s="6" t="s">
        <v>624</v>
      </c>
      <c r="K81" s="6" t="s">
        <v>608</v>
      </c>
      <c r="L81" s="10" t="s">
        <v>609</v>
      </c>
    </row>
    <row r="82" ht="15.75" hidden="1" customHeight="1">
      <c r="A82" s="6" t="s">
        <v>625</v>
      </c>
      <c r="B82" s="6" t="s">
        <v>626</v>
      </c>
      <c r="C82" s="6" t="s">
        <v>7</v>
      </c>
      <c r="D82" s="6" t="s">
        <v>627</v>
      </c>
      <c r="E82" s="6" t="s">
        <v>339</v>
      </c>
      <c r="F82" s="6" t="s">
        <v>603</v>
      </c>
      <c r="G82" s="6" t="s">
        <v>604</v>
      </c>
      <c r="H82" s="6" t="s">
        <v>605</v>
      </c>
      <c r="I82" s="6" t="s">
        <v>628</v>
      </c>
      <c r="J82" s="6" t="s">
        <v>629</v>
      </c>
      <c r="K82" s="6" t="s">
        <v>608</v>
      </c>
      <c r="L82" s="10" t="s">
        <v>609</v>
      </c>
    </row>
    <row r="83" ht="15.75" hidden="1" customHeight="1">
      <c r="A83" s="6" t="s">
        <v>630</v>
      </c>
      <c r="B83" s="6" t="s">
        <v>631</v>
      </c>
      <c r="C83" s="6" t="s">
        <v>7</v>
      </c>
      <c r="D83" s="6" t="s">
        <v>632</v>
      </c>
      <c r="E83" s="6" t="s">
        <v>35</v>
      </c>
      <c r="F83" s="6" t="s">
        <v>36</v>
      </c>
      <c r="G83" s="6" t="s">
        <v>165</v>
      </c>
      <c r="H83" s="6" t="s">
        <v>166</v>
      </c>
      <c r="I83" s="6" t="s">
        <v>633</v>
      </c>
      <c r="J83" s="6" t="s">
        <v>634</v>
      </c>
      <c r="K83" s="6" t="s">
        <v>635</v>
      </c>
      <c r="L83" s="14" t="s">
        <v>55</v>
      </c>
    </row>
    <row r="84" ht="15.75" hidden="1" customHeight="1">
      <c r="A84" s="6" t="s">
        <v>636</v>
      </c>
      <c r="B84" s="6" t="s">
        <v>637</v>
      </c>
      <c r="C84" s="6" t="s">
        <v>7</v>
      </c>
      <c r="D84" s="6" t="s">
        <v>638</v>
      </c>
      <c r="E84" s="6" t="s">
        <v>35</v>
      </c>
      <c r="F84" s="6" t="s">
        <v>36</v>
      </c>
      <c r="G84" s="6" t="s">
        <v>572</v>
      </c>
      <c r="H84" s="6" t="s">
        <v>573</v>
      </c>
      <c r="I84" s="6" t="s">
        <v>639</v>
      </c>
      <c r="J84" s="6" t="s">
        <v>640</v>
      </c>
      <c r="K84" s="6" t="s">
        <v>641</v>
      </c>
      <c r="L84" s="12" t="s">
        <v>43</v>
      </c>
    </row>
    <row r="85" ht="15.75" hidden="1" customHeight="1">
      <c r="A85" s="6" t="s">
        <v>642</v>
      </c>
      <c r="B85" s="6" t="s">
        <v>643</v>
      </c>
      <c r="C85" s="6" t="s">
        <v>7</v>
      </c>
      <c r="D85" s="6" t="s">
        <v>644</v>
      </c>
      <c r="E85" s="6" t="s">
        <v>35</v>
      </c>
      <c r="F85" s="6" t="s">
        <v>36</v>
      </c>
      <c r="G85" s="6" t="s">
        <v>572</v>
      </c>
      <c r="H85" s="6" t="s">
        <v>573</v>
      </c>
      <c r="I85" s="6" t="s">
        <v>645</v>
      </c>
      <c r="J85" s="6" t="s">
        <v>646</v>
      </c>
      <c r="K85" s="6" t="s">
        <v>641</v>
      </c>
      <c r="L85" s="14" t="s">
        <v>55</v>
      </c>
    </row>
    <row r="86" ht="15.75" hidden="1" customHeight="1">
      <c r="A86" s="6" t="s">
        <v>647</v>
      </c>
      <c r="B86" s="6" t="s">
        <v>648</v>
      </c>
      <c r="C86" s="6" t="s">
        <v>7</v>
      </c>
      <c r="D86" s="6" t="s">
        <v>649</v>
      </c>
      <c r="E86" s="6" t="s">
        <v>35</v>
      </c>
      <c r="F86" s="6" t="s">
        <v>36</v>
      </c>
      <c r="G86" s="6" t="s">
        <v>572</v>
      </c>
      <c r="H86" s="6" t="s">
        <v>573</v>
      </c>
      <c r="I86" s="6" t="s">
        <v>650</v>
      </c>
      <c r="J86" s="6" t="s">
        <v>651</v>
      </c>
      <c r="K86" s="6" t="s">
        <v>652</v>
      </c>
      <c r="L86" s="12" t="s">
        <v>43</v>
      </c>
    </row>
    <row r="87" ht="15.75" hidden="1" customHeight="1">
      <c r="A87" s="6" t="s">
        <v>653</v>
      </c>
      <c r="B87" s="6" t="s">
        <v>654</v>
      </c>
      <c r="C87" s="6" t="s">
        <v>7</v>
      </c>
      <c r="D87" s="6" t="s">
        <v>655</v>
      </c>
      <c r="E87" s="6" t="s">
        <v>35</v>
      </c>
      <c r="F87" s="6" t="s">
        <v>36</v>
      </c>
      <c r="G87" s="6" t="s">
        <v>572</v>
      </c>
      <c r="H87" s="6" t="s">
        <v>573</v>
      </c>
      <c r="I87" s="6" t="s">
        <v>656</v>
      </c>
      <c r="J87" s="6" t="s">
        <v>657</v>
      </c>
      <c r="K87" s="6" t="s">
        <v>652</v>
      </c>
      <c r="L87" s="14" t="s">
        <v>55</v>
      </c>
    </row>
    <row r="88" ht="15.75" hidden="1" customHeight="1">
      <c r="A88" s="6" t="s">
        <v>658</v>
      </c>
      <c r="B88" s="6" t="s">
        <v>659</v>
      </c>
      <c r="C88" s="6" t="s">
        <v>7</v>
      </c>
      <c r="D88" s="6" t="s">
        <v>660</v>
      </c>
      <c r="E88" s="6" t="s">
        <v>35</v>
      </c>
      <c r="F88" s="6" t="s">
        <v>36</v>
      </c>
      <c r="G88" s="6" t="s">
        <v>165</v>
      </c>
      <c r="H88" s="6" t="s">
        <v>166</v>
      </c>
      <c r="I88" s="6" t="s">
        <v>661</v>
      </c>
      <c r="J88" s="6" t="s">
        <v>662</v>
      </c>
      <c r="K88" s="6" t="s">
        <v>663</v>
      </c>
      <c r="L88" s="14" t="s">
        <v>55</v>
      </c>
    </row>
    <row r="89" ht="15.75" hidden="1" customHeight="1">
      <c r="A89" s="6" t="s">
        <v>664</v>
      </c>
      <c r="B89" s="6" t="s">
        <v>665</v>
      </c>
      <c r="C89" s="6" t="s">
        <v>7</v>
      </c>
      <c r="D89" s="6" t="s">
        <v>666</v>
      </c>
      <c r="E89" s="6" t="s">
        <v>35</v>
      </c>
      <c r="F89" s="6" t="s">
        <v>667</v>
      </c>
      <c r="G89" s="6" t="s">
        <v>668</v>
      </c>
      <c r="H89" s="6" t="s">
        <v>669</v>
      </c>
      <c r="I89" s="6" t="s">
        <v>670</v>
      </c>
      <c r="J89" s="6" t="s">
        <v>671</v>
      </c>
      <c r="K89" s="6" t="s">
        <v>672</v>
      </c>
      <c r="L89" s="10" t="s">
        <v>609</v>
      </c>
    </row>
    <row r="90" ht="15.75" hidden="1" customHeight="1">
      <c r="A90" s="6" t="s">
        <v>673</v>
      </c>
      <c r="B90" s="6" t="s">
        <v>674</v>
      </c>
      <c r="C90" s="6" t="s">
        <v>7</v>
      </c>
      <c r="D90" s="6" t="s">
        <v>675</v>
      </c>
      <c r="E90" s="6" t="s">
        <v>35</v>
      </c>
      <c r="F90" s="6" t="s">
        <v>667</v>
      </c>
      <c r="G90" s="6" t="s">
        <v>668</v>
      </c>
      <c r="H90" s="6" t="s">
        <v>669</v>
      </c>
      <c r="I90" s="6" t="s">
        <v>676</v>
      </c>
      <c r="J90" s="6" t="s">
        <v>677</v>
      </c>
      <c r="K90" s="6" t="s">
        <v>672</v>
      </c>
      <c r="L90" s="10" t="s">
        <v>609</v>
      </c>
    </row>
    <row r="91" ht="15.75" hidden="1" customHeight="1">
      <c r="A91" s="6" t="s">
        <v>678</v>
      </c>
      <c r="B91" s="6" t="s">
        <v>679</v>
      </c>
      <c r="C91" s="6" t="s">
        <v>7</v>
      </c>
      <c r="D91" s="6" t="s">
        <v>680</v>
      </c>
      <c r="E91" s="6" t="s">
        <v>35</v>
      </c>
      <c r="F91" s="6" t="s">
        <v>667</v>
      </c>
      <c r="G91" s="6" t="s">
        <v>668</v>
      </c>
      <c r="H91" s="6" t="s">
        <v>669</v>
      </c>
      <c r="I91" s="6" t="s">
        <v>681</v>
      </c>
      <c r="J91" s="6" t="s">
        <v>682</v>
      </c>
      <c r="K91" s="6" t="s">
        <v>672</v>
      </c>
      <c r="L91" s="10" t="s">
        <v>609</v>
      </c>
    </row>
    <row r="92" ht="15.75" hidden="1" customHeight="1">
      <c r="A92" s="6" t="s">
        <v>683</v>
      </c>
      <c r="B92" s="6" t="s">
        <v>684</v>
      </c>
      <c r="C92" s="6" t="s">
        <v>7</v>
      </c>
      <c r="D92" s="6" t="s">
        <v>685</v>
      </c>
      <c r="E92" s="6" t="s">
        <v>35</v>
      </c>
      <c r="F92" s="6" t="s">
        <v>667</v>
      </c>
      <c r="G92" s="6" t="s">
        <v>668</v>
      </c>
      <c r="H92" s="6" t="s">
        <v>669</v>
      </c>
      <c r="I92" s="6" t="s">
        <v>686</v>
      </c>
      <c r="J92" s="6" t="s">
        <v>687</v>
      </c>
      <c r="K92" s="6" t="s">
        <v>672</v>
      </c>
      <c r="L92" s="10" t="s">
        <v>609</v>
      </c>
    </row>
    <row r="93" ht="15.75" hidden="1" customHeight="1">
      <c r="A93" s="6" t="s">
        <v>688</v>
      </c>
      <c r="B93" s="6" t="s">
        <v>689</v>
      </c>
      <c r="C93" s="6" t="s">
        <v>7</v>
      </c>
      <c r="D93" s="6" t="s">
        <v>690</v>
      </c>
      <c r="E93" s="6" t="s">
        <v>35</v>
      </c>
      <c r="F93" s="6" t="s">
        <v>667</v>
      </c>
      <c r="G93" s="6" t="s">
        <v>668</v>
      </c>
      <c r="H93" s="6" t="s">
        <v>669</v>
      </c>
      <c r="I93" s="6" t="s">
        <v>691</v>
      </c>
      <c r="J93" s="6" t="s">
        <v>692</v>
      </c>
      <c r="K93" s="6" t="s">
        <v>672</v>
      </c>
      <c r="L93" s="10" t="s">
        <v>609</v>
      </c>
    </row>
    <row r="94" ht="15.75" hidden="1" customHeight="1">
      <c r="A94" s="6" t="s">
        <v>693</v>
      </c>
      <c r="B94" s="6" t="s">
        <v>694</v>
      </c>
      <c r="C94" s="6" t="s">
        <v>7</v>
      </c>
      <c r="D94" s="6" t="s">
        <v>695</v>
      </c>
      <c r="E94" s="6" t="s">
        <v>35</v>
      </c>
      <c r="F94" s="6" t="s">
        <v>667</v>
      </c>
      <c r="G94" s="6" t="s">
        <v>668</v>
      </c>
      <c r="H94" s="6" t="s">
        <v>669</v>
      </c>
      <c r="I94" s="6" t="s">
        <v>696</v>
      </c>
      <c r="J94" s="6" t="s">
        <v>697</v>
      </c>
      <c r="K94" s="6" t="s">
        <v>672</v>
      </c>
      <c r="L94" s="10" t="s">
        <v>609</v>
      </c>
    </row>
    <row r="95" ht="15.75" hidden="1" customHeight="1">
      <c r="A95" s="6" t="s">
        <v>698</v>
      </c>
      <c r="B95" s="6" t="s">
        <v>699</v>
      </c>
      <c r="C95" s="6" t="s">
        <v>7</v>
      </c>
      <c r="D95" s="6" t="s">
        <v>700</v>
      </c>
      <c r="E95" s="6" t="s">
        <v>35</v>
      </c>
      <c r="F95" s="6" t="s">
        <v>667</v>
      </c>
      <c r="G95" s="6" t="s">
        <v>668</v>
      </c>
      <c r="H95" s="6" t="s">
        <v>669</v>
      </c>
      <c r="I95" s="6" t="s">
        <v>701</v>
      </c>
      <c r="J95" s="6" t="s">
        <v>702</v>
      </c>
      <c r="K95" s="6" t="s">
        <v>672</v>
      </c>
      <c r="L95" s="10" t="s">
        <v>609</v>
      </c>
    </row>
    <row r="96" ht="15.75" hidden="1" customHeight="1">
      <c r="A96" s="6" t="s">
        <v>703</v>
      </c>
      <c r="B96" s="6" t="s">
        <v>704</v>
      </c>
      <c r="C96" s="6" t="s">
        <v>7</v>
      </c>
      <c r="D96" s="6" t="s">
        <v>705</v>
      </c>
      <c r="E96" s="6" t="s">
        <v>35</v>
      </c>
      <c r="F96" s="6" t="s">
        <v>667</v>
      </c>
      <c r="G96" s="6" t="s">
        <v>668</v>
      </c>
      <c r="H96" s="6" t="s">
        <v>669</v>
      </c>
      <c r="I96" s="6" t="s">
        <v>706</v>
      </c>
      <c r="J96" s="6" t="s">
        <v>707</v>
      </c>
      <c r="K96" s="6" t="s">
        <v>672</v>
      </c>
      <c r="L96" s="10" t="s">
        <v>609</v>
      </c>
    </row>
    <row r="97" ht="15.75" hidden="1" customHeight="1">
      <c r="A97" s="6" t="s">
        <v>708</v>
      </c>
      <c r="B97" s="6" t="s">
        <v>709</v>
      </c>
      <c r="C97" s="6" t="s">
        <v>7</v>
      </c>
      <c r="D97" s="6" t="s">
        <v>710</v>
      </c>
      <c r="E97" s="6" t="s">
        <v>35</v>
      </c>
      <c r="F97" s="6" t="s">
        <v>667</v>
      </c>
      <c r="G97" s="6" t="s">
        <v>668</v>
      </c>
      <c r="H97" s="6" t="s">
        <v>669</v>
      </c>
      <c r="I97" s="6" t="s">
        <v>711</v>
      </c>
      <c r="J97" s="6" t="s">
        <v>712</v>
      </c>
      <c r="K97" s="6" t="s">
        <v>672</v>
      </c>
      <c r="L97" s="10" t="s">
        <v>609</v>
      </c>
    </row>
    <row r="98" ht="15.75" hidden="1" customHeight="1">
      <c r="A98" s="6" t="s">
        <v>713</v>
      </c>
      <c r="B98" s="6" t="s">
        <v>714</v>
      </c>
      <c r="C98" s="6" t="s">
        <v>7</v>
      </c>
      <c r="D98" s="6" t="s">
        <v>715</v>
      </c>
      <c r="E98" s="6" t="s">
        <v>35</v>
      </c>
      <c r="F98" s="6" t="s">
        <v>667</v>
      </c>
      <c r="G98" s="6" t="s">
        <v>668</v>
      </c>
      <c r="H98" s="6" t="s">
        <v>669</v>
      </c>
      <c r="I98" s="6" t="s">
        <v>716</v>
      </c>
      <c r="J98" s="6" t="s">
        <v>717</v>
      </c>
      <c r="K98" s="6" t="s">
        <v>672</v>
      </c>
      <c r="L98" s="10" t="s">
        <v>609</v>
      </c>
    </row>
    <row r="99" ht="15.75" hidden="1" customHeight="1">
      <c r="A99" s="6" t="s">
        <v>718</v>
      </c>
      <c r="B99" s="6" t="s">
        <v>719</v>
      </c>
      <c r="C99" s="6" t="s">
        <v>7</v>
      </c>
      <c r="D99" s="6" t="s">
        <v>720</v>
      </c>
      <c r="E99" s="6" t="s">
        <v>35</v>
      </c>
      <c r="F99" s="6" t="s">
        <v>667</v>
      </c>
      <c r="G99" s="6" t="s">
        <v>668</v>
      </c>
      <c r="H99" s="6" t="s">
        <v>669</v>
      </c>
      <c r="I99" s="6" t="s">
        <v>721</v>
      </c>
      <c r="J99" s="6" t="s">
        <v>722</v>
      </c>
      <c r="K99" s="6" t="s">
        <v>672</v>
      </c>
      <c r="L99" s="10" t="s">
        <v>609</v>
      </c>
    </row>
    <row r="100" ht="15.75" customHeight="1">
      <c r="A100" s="6" t="s">
        <v>723</v>
      </c>
      <c r="B100" s="6" t="s">
        <v>724</v>
      </c>
      <c r="C100" s="6" t="s">
        <v>7</v>
      </c>
      <c r="D100" s="6" t="s">
        <v>725</v>
      </c>
      <c r="E100" s="6" t="s">
        <v>35</v>
      </c>
      <c r="F100" s="6" t="s">
        <v>271</v>
      </c>
      <c r="G100" s="6" t="s">
        <v>272</v>
      </c>
      <c r="H100" s="6" t="s">
        <v>273</v>
      </c>
      <c r="I100" s="6" t="s">
        <v>726</v>
      </c>
      <c r="J100" s="6" t="s">
        <v>727</v>
      </c>
      <c r="K100" s="6" t="s">
        <v>728</v>
      </c>
      <c r="L100" s="12" t="s">
        <v>43</v>
      </c>
    </row>
    <row r="101" ht="15.75" customHeight="1">
      <c r="A101" s="6" t="s">
        <v>729</v>
      </c>
      <c r="B101" s="6" t="s">
        <v>730</v>
      </c>
      <c r="C101" s="6" t="s">
        <v>7</v>
      </c>
      <c r="D101" s="6" t="s">
        <v>731</v>
      </c>
      <c r="E101" s="6" t="s">
        <v>35</v>
      </c>
      <c r="F101" s="6" t="s">
        <v>271</v>
      </c>
      <c r="G101" s="6" t="s">
        <v>272</v>
      </c>
      <c r="H101" s="6" t="s">
        <v>273</v>
      </c>
      <c r="I101" s="6" t="s">
        <v>732</v>
      </c>
      <c r="J101" s="6" t="s">
        <v>733</v>
      </c>
      <c r="K101" s="6" t="s">
        <v>728</v>
      </c>
      <c r="L101" s="14" t="s">
        <v>55</v>
      </c>
    </row>
    <row r="102" ht="15.75" customHeight="1">
      <c r="A102" s="6" t="s">
        <v>734</v>
      </c>
      <c r="B102" s="6" t="s">
        <v>735</v>
      </c>
      <c r="C102" s="6" t="s">
        <v>7</v>
      </c>
      <c r="D102" s="6" t="s">
        <v>736</v>
      </c>
      <c r="E102" s="6" t="s">
        <v>35</v>
      </c>
      <c r="F102" s="6" t="s">
        <v>271</v>
      </c>
      <c r="G102" s="6" t="s">
        <v>272</v>
      </c>
      <c r="H102" s="6" t="s">
        <v>273</v>
      </c>
      <c r="I102" s="6" t="s">
        <v>737</v>
      </c>
      <c r="J102" s="6" t="s">
        <v>738</v>
      </c>
      <c r="K102" s="6" t="s">
        <v>728</v>
      </c>
      <c r="L102" s="12" t="s">
        <v>43</v>
      </c>
    </row>
    <row r="103" ht="15.75" customHeight="1">
      <c r="A103" s="6" t="s">
        <v>739</v>
      </c>
      <c r="B103" s="6" t="s">
        <v>740</v>
      </c>
      <c r="C103" s="6" t="s">
        <v>7</v>
      </c>
      <c r="D103" s="6" t="s">
        <v>741</v>
      </c>
      <c r="E103" s="6" t="s">
        <v>35</v>
      </c>
      <c r="F103" s="6" t="s">
        <v>271</v>
      </c>
      <c r="G103" s="6" t="s">
        <v>272</v>
      </c>
      <c r="H103" s="6" t="s">
        <v>273</v>
      </c>
      <c r="I103" s="6" t="s">
        <v>742</v>
      </c>
      <c r="J103" s="6" t="s">
        <v>743</v>
      </c>
      <c r="K103" s="6" t="s">
        <v>728</v>
      </c>
      <c r="L103" s="14" t="s">
        <v>55</v>
      </c>
    </row>
    <row r="104" ht="15.75" customHeight="1">
      <c r="A104" s="6" t="s">
        <v>744</v>
      </c>
      <c r="B104" s="6" t="s">
        <v>745</v>
      </c>
      <c r="C104" s="6" t="s">
        <v>7</v>
      </c>
      <c r="D104" s="6" t="s">
        <v>746</v>
      </c>
      <c r="E104" s="6" t="s">
        <v>35</v>
      </c>
      <c r="F104" s="6" t="s">
        <v>271</v>
      </c>
      <c r="G104" s="6" t="s">
        <v>272</v>
      </c>
      <c r="H104" s="6" t="s">
        <v>273</v>
      </c>
      <c r="I104" s="6" t="s">
        <v>747</v>
      </c>
      <c r="J104" s="6" t="s">
        <v>748</v>
      </c>
      <c r="K104" s="6" t="s">
        <v>728</v>
      </c>
      <c r="L104" s="12" t="s">
        <v>43</v>
      </c>
    </row>
    <row r="105" ht="15.75" customHeight="1">
      <c r="A105" s="6" t="s">
        <v>749</v>
      </c>
      <c r="B105" s="6" t="s">
        <v>750</v>
      </c>
      <c r="C105" s="6" t="s">
        <v>7</v>
      </c>
      <c r="D105" s="6" t="s">
        <v>751</v>
      </c>
      <c r="E105" s="6" t="s">
        <v>35</v>
      </c>
      <c r="F105" s="6" t="s">
        <v>271</v>
      </c>
      <c r="G105" s="6" t="s">
        <v>272</v>
      </c>
      <c r="H105" s="6" t="s">
        <v>273</v>
      </c>
      <c r="I105" s="6" t="s">
        <v>752</v>
      </c>
      <c r="J105" s="6" t="s">
        <v>753</v>
      </c>
      <c r="K105" s="6" t="s">
        <v>728</v>
      </c>
      <c r="L105" s="14" t="s">
        <v>55</v>
      </c>
    </row>
    <row r="106" ht="15.75" customHeight="1">
      <c r="A106" s="6" t="s">
        <v>754</v>
      </c>
      <c r="B106" s="6" t="s">
        <v>755</v>
      </c>
      <c r="C106" s="6" t="s">
        <v>7</v>
      </c>
      <c r="D106" s="6" t="s">
        <v>756</v>
      </c>
      <c r="E106" s="6" t="s">
        <v>35</v>
      </c>
      <c r="F106" s="6" t="s">
        <v>271</v>
      </c>
      <c r="G106" s="6" t="s">
        <v>272</v>
      </c>
      <c r="H106" s="6" t="s">
        <v>273</v>
      </c>
      <c r="I106" s="6" t="s">
        <v>757</v>
      </c>
      <c r="J106" s="6" t="s">
        <v>758</v>
      </c>
      <c r="K106" s="6" t="s">
        <v>728</v>
      </c>
      <c r="L106" s="14" t="s">
        <v>55</v>
      </c>
    </row>
    <row r="107" ht="15.75" hidden="1" customHeight="1">
      <c r="A107" s="6" t="s">
        <v>759</v>
      </c>
      <c r="B107" s="6" t="s">
        <v>760</v>
      </c>
      <c r="C107" s="6" t="s">
        <v>7</v>
      </c>
      <c r="D107" s="6" t="s">
        <v>761</v>
      </c>
      <c r="E107" s="6" t="s">
        <v>35</v>
      </c>
      <c r="F107" s="6" t="s">
        <v>271</v>
      </c>
      <c r="G107" s="6" t="s">
        <v>272</v>
      </c>
      <c r="H107" s="6" t="s">
        <v>273</v>
      </c>
      <c r="I107" s="6" t="s">
        <v>762</v>
      </c>
      <c r="J107" s="6" t="s">
        <v>763</v>
      </c>
      <c r="K107" s="6" t="s">
        <v>459</v>
      </c>
      <c r="L107" s="12" t="s">
        <v>43</v>
      </c>
    </row>
    <row r="108" ht="15.75" hidden="1" customHeight="1">
      <c r="A108" s="6" t="s">
        <v>764</v>
      </c>
      <c r="B108" s="6" t="s">
        <v>765</v>
      </c>
      <c r="C108" s="6" t="s">
        <v>7</v>
      </c>
      <c r="D108" s="6" t="s">
        <v>766</v>
      </c>
      <c r="E108" s="6" t="s">
        <v>35</v>
      </c>
      <c r="F108" s="6" t="s">
        <v>271</v>
      </c>
      <c r="G108" s="6" t="s">
        <v>272</v>
      </c>
      <c r="H108" s="6" t="s">
        <v>273</v>
      </c>
      <c r="I108" s="6" t="s">
        <v>767</v>
      </c>
      <c r="J108" s="6" t="s">
        <v>768</v>
      </c>
      <c r="K108" s="6" t="s">
        <v>459</v>
      </c>
      <c r="L108" s="12" t="s">
        <v>43</v>
      </c>
    </row>
    <row r="109" ht="15.75" hidden="1" customHeight="1">
      <c r="A109" s="6" t="s">
        <v>769</v>
      </c>
      <c r="B109" s="6" t="s">
        <v>770</v>
      </c>
      <c r="C109" s="6" t="s">
        <v>7</v>
      </c>
      <c r="D109" s="6" t="s">
        <v>771</v>
      </c>
      <c r="E109" s="6" t="s">
        <v>35</v>
      </c>
      <c r="F109" s="6" t="s">
        <v>271</v>
      </c>
      <c r="G109" s="6" t="s">
        <v>272</v>
      </c>
      <c r="H109" s="6" t="s">
        <v>273</v>
      </c>
      <c r="I109" s="6" t="s">
        <v>772</v>
      </c>
      <c r="J109" s="6" t="s">
        <v>773</v>
      </c>
      <c r="K109" s="6" t="s">
        <v>459</v>
      </c>
      <c r="L109" s="14" t="s">
        <v>55</v>
      </c>
    </row>
    <row r="110" ht="15.75" hidden="1" customHeight="1">
      <c r="A110" s="6" t="s">
        <v>774</v>
      </c>
      <c r="B110" s="6" t="s">
        <v>775</v>
      </c>
      <c r="C110" s="6" t="s">
        <v>7</v>
      </c>
      <c r="D110" s="6" t="s">
        <v>776</v>
      </c>
      <c r="E110" s="6" t="s">
        <v>35</v>
      </c>
      <c r="F110" s="6" t="s">
        <v>271</v>
      </c>
      <c r="G110" s="6" t="s">
        <v>272</v>
      </c>
      <c r="H110" s="6" t="s">
        <v>273</v>
      </c>
      <c r="I110" s="6" t="s">
        <v>777</v>
      </c>
      <c r="J110" s="6" t="s">
        <v>778</v>
      </c>
      <c r="K110" s="6" t="s">
        <v>459</v>
      </c>
      <c r="L110" s="14" t="s">
        <v>55</v>
      </c>
    </row>
    <row r="111" ht="15.75" hidden="1" customHeight="1">
      <c r="A111" s="6" t="s">
        <v>779</v>
      </c>
      <c r="B111" s="6" t="s">
        <v>780</v>
      </c>
      <c r="C111" s="6" t="s">
        <v>7</v>
      </c>
      <c r="D111" s="6" t="s">
        <v>781</v>
      </c>
      <c r="E111" s="6" t="s">
        <v>35</v>
      </c>
      <c r="F111" s="6" t="s">
        <v>271</v>
      </c>
      <c r="G111" s="6" t="s">
        <v>272</v>
      </c>
      <c r="H111" s="6" t="s">
        <v>273</v>
      </c>
      <c r="I111" s="6" t="s">
        <v>782</v>
      </c>
      <c r="J111" s="6" t="s">
        <v>783</v>
      </c>
      <c r="K111" s="6" t="s">
        <v>459</v>
      </c>
      <c r="L111" s="14" t="s">
        <v>55</v>
      </c>
    </row>
    <row r="112" ht="15.75" hidden="1" customHeight="1">
      <c r="A112" s="6" t="s">
        <v>784</v>
      </c>
      <c r="B112" s="6" t="s">
        <v>785</v>
      </c>
      <c r="C112" s="6" t="s">
        <v>7</v>
      </c>
      <c r="D112" s="6" t="s">
        <v>786</v>
      </c>
      <c r="E112" s="6" t="s">
        <v>35</v>
      </c>
      <c r="F112" s="6" t="s">
        <v>787</v>
      </c>
      <c r="G112" s="6" t="s">
        <v>788</v>
      </c>
      <c r="H112" s="6" t="s">
        <v>789</v>
      </c>
      <c r="I112" s="6" t="s">
        <v>790</v>
      </c>
      <c r="J112" s="6" t="s">
        <v>791</v>
      </c>
      <c r="K112" s="6" t="s">
        <v>527</v>
      </c>
      <c r="L112" s="14" t="s">
        <v>55</v>
      </c>
    </row>
    <row r="113" ht="15.75" hidden="1" customHeight="1">
      <c r="A113" s="6" t="s">
        <v>792</v>
      </c>
      <c r="B113" s="6" t="s">
        <v>793</v>
      </c>
      <c r="C113" s="6" t="s">
        <v>7</v>
      </c>
      <c r="D113" s="6" t="s">
        <v>794</v>
      </c>
      <c r="E113" s="6" t="s">
        <v>35</v>
      </c>
      <c r="F113" s="6" t="s">
        <v>787</v>
      </c>
      <c r="G113" s="6" t="s">
        <v>788</v>
      </c>
      <c r="H113" s="6" t="s">
        <v>789</v>
      </c>
      <c r="I113" s="6" t="s">
        <v>795</v>
      </c>
      <c r="J113" s="6" t="s">
        <v>796</v>
      </c>
      <c r="K113" s="6" t="s">
        <v>527</v>
      </c>
      <c r="L113" s="14" t="s">
        <v>55</v>
      </c>
    </row>
    <row r="114" ht="15.75" customHeight="1">
      <c r="A114" s="6" t="s">
        <v>797</v>
      </c>
      <c r="B114" s="6" t="s">
        <v>798</v>
      </c>
      <c r="C114" s="6" t="s">
        <v>7</v>
      </c>
      <c r="D114" s="6" t="s">
        <v>799</v>
      </c>
      <c r="E114" s="6" t="s">
        <v>35</v>
      </c>
      <c r="F114" s="6" t="s">
        <v>271</v>
      </c>
      <c r="G114" s="6" t="s">
        <v>272</v>
      </c>
      <c r="H114" s="6" t="s">
        <v>273</v>
      </c>
      <c r="I114" s="6" t="s">
        <v>800</v>
      </c>
      <c r="J114" s="6" t="s">
        <v>801</v>
      </c>
      <c r="K114" s="6" t="s">
        <v>802</v>
      </c>
      <c r="L114" s="14" t="s">
        <v>55</v>
      </c>
    </row>
    <row r="115" ht="15.75" customHeight="1">
      <c r="A115" s="6" t="s">
        <v>803</v>
      </c>
      <c r="B115" s="6" t="s">
        <v>804</v>
      </c>
      <c r="C115" s="6" t="s">
        <v>7</v>
      </c>
      <c r="D115" s="6" t="s">
        <v>805</v>
      </c>
      <c r="E115" s="6" t="s">
        <v>35</v>
      </c>
      <c r="F115" s="6" t="s">
        <v>271</v>
      </c>
      <c r="G115" s="6" t="s">
        <v>272</v>
      </c>
      <c r="H115" s="6" t="s">
        <v>273</v>
      </c>
      <c r="I115" s="6" t="s">
        <v>806</v>
      </c>
      <c r="J115" s="6" t="s">
        <v>807</v>
      </c>
      <c r="K115" s="6" t="s">
        <v>802</v>
      </c>
      <c r="L115" s="10" t="s">
        <v>609</v>
      </c>
    </row>
    <row r="116" ht="15.75" customHeight="1">
      <c r="A116" s="6" t="s">
        <v>808</v>
      </c>
      <c r="B116" s="6" t="s">
        <v>809</v>
      </c>
      <c r="C116" s="6" t="s">
        <v>7</v>
      </c>
      <c r="D116" s="6" t="s">
        <v>810</v>
      </c>
      <c r="E116" s="6" t="s">
        <v>35</v>
      </c>
      <c r="F116" s="6" t="s">
        <v>271</v>
      </c>
      <c r="G116" s="6" t="s">
        <v>272</v>
      </c>
      <c r="H116" s="6" t="s">
        <v>273</v>
      </c>
      <c r="I116" s="6" t="s">
        <v>811</v>
      </c>
      <c r="J116" s="6" t="s">
        <v>812</v>
      </c>
      <c r="K116" s="6" t="s">
        <v>802</v>
      </c>
      <c r="L116" s="10" t="s">
        <v>609</v>
      </c>
    </row>
    <row r="117" ht="15.75" customHeight="1">
      <c r="A117" s="6" t="s">
        <v>813</v>
      </c>
      <c r="B117" s="6" t="s">
        <v>814</v>
      </c>
      <c r="C117" s="6" t="s">
        <v>7</v>
      </c>
      <c r="D117" s="6" t="s">
        <v>815</v>
      </c>
      <c r="E117" s="6" t="s">
        <v>35</v>
      </c>
      <c r="F117" s="6" t="s">
        <v>271</v>
      </c>
      <c r="G117" s="6" t="s">
        <v>272</v>
      </c>
      <c r="H117" s="6" t="s">
        <v>273</v>
      </c>
      <c r="I117" s="6" t="s">
        <v>816</v>
      </c>
      <c r="J117" s="6" t="s">
        <v>817</v>
      </c>
      <c r="K117" s="6" t="s">
        <v>802</v>
      </c>
      <c r="L117" s="10" t="s">
        <v>609</v>
      </c>
    </row>
    <row r="118" ht="15.75" customHeight="1">
      <c r="A118" s="6" t="s">
        <v>818</v>
      </c>
      <c r="B118" s="6" t="s">
        <v>819</v>
      </c>
      <c r="C118" s="6" t="s">
        <v>7</v>
      </c>
      <c r="D118" s="6" t="s">
        <v>820</v>
      </c>
      <c r="E118" s="6" t="s">
        <v>35</v>
      </c>
      <c r="F118" s="6" t="s">
        <v>271</v>
      </c>
      <c r="G118" s="6" t="s">
        <v>272</v>
      </c>
      <c r="H118" s="6" t="s">
        <v>273</v>
      </c>
      <c r="I118" s="6" t="s">
        <v>821</v>
      </c>
      <c r="J118" s="6" t="s">
        <v>822</v>
      </c>
      <c r="K118" s="6" t="s">
        <v>802</v>
      </c>
      <c r="L118" s="10" t="s">
        <v>609</v>
      </c>
    </row>
    <row r="119" ht="15.75" customHeight="1">
      <c r="A119" s="6" t="s">
        <v>823</v>
      </c>
      <c r="B119" s="6" t="s">
        <v>824</v>
      </c>
      <c r="C119" s="6" t="s">
        <v>7</v>
      </c>
      <c r="D119" s="6" t="s">
        <v>825</v>
      </c>
      <c r="E119" s="6" t="s">
        <v>35</v>
      </c>
      <c r="F119" s="6" t="s">
        <v>271</v>
      </c>
      <c r="G119" s="6" t="s">
        <v>272</v>
      </c>
      <c r="H119" s="6" t="s">
        <v>273</v>
      </c>
      <c r="I119" s="6" t="s">
        <v>826</v>
      </c>
      <c r="J119" s="6" t="s">
        <v>827</v>
      </c>
      <c r="K119" s="6" t="s">
        <v>802</v>
      </c>
      <c r="L119" s="10" t="s">
        <v>609</v>
      </c>
    </row>
    <row r="120" ht="15.75" hidden="1" customHeight="1">
      <c r="A120" s="6" t="s">
        <v>828</v>
      </c>
      <c r="B120" s="6" t="s">
        <v>829</v>
      </c>
      <c r="C120" s="6" t="s">
        <v>7</v>
      </c>
      <c r="D120" s="6" t="s">
        <v>830</v>
      </c>
      <c r="E120" s="6" t="s">
        <v>35</v>
      </c>
      <c r="F120" s="6" t="s">
        <v>667</v>
      </c>
      <c r="G120" s="6" t="s">
        <v>668</v>
      </c>
      <c r="H120" s="6" t="s">
        <v>669</v>
      </c>
      <c r="I120" s="6" t="s">
        <v>831</v>
      </c>
      <c r="J120" s="6" t="s">
        <v>832</v>
      </c>
      <c r="K120" s="6" t="s">
        <v>672</v>
      </c>
      <c r="L120" s="10" t="s">
        <v>609</v>
      </c>
    </row>
    <row r="121" ht="15.75" hidden="1" customHeight="1">
      <c r="A121" s="6" t="s">
        <v>833</v>
      </c>
      <c r="B121" s="6" t="s">
        <v>834</v>
      </c>
      <c r="C121" s="6" t="s">
        <v>7</v>
      </c>
      <c r="D121" s="6" t="s">
        <v>835</v>
      </c>
      <c r="E121" s="6" t="s">
        <v>35</v>
      </c>
      <c r="F121" s="6" t="s">
        <v>667</v>
      </c>
      <c r="G121" s="6" t="s">
        <v>668</v>
      </c>
      <c r="H121" s="6" t="s">
        <v>669</v>
      </c>
      <c r="I121" s="6" t="s">
        <v>836</v>
      </c>
      <c r="J121" s="6" t="s">
        <v>837</v>
      </c>
      <c r="K121" s="6" t="s">
        <v>672</v>
      </c>
      <c r="L121" s="10" t="s">
        <v>609</v>
      </c>
    </row>
    <row r="122" ht="15.75" hidden="1" customHeight="1">
      <c r="A122" s="6" t="s">
        <v>838</v>
      </c>
      <c r="B122" s="6" t="s">
        <v>839</v>
      </c>
      <c r="C122" s="6" t="s">
        <v>7</v>
      </c>
      <c r="D122" s="6" t="s">
        <v>840</v>
      </c>
      <c r="E122" s="6" t="s">
        <v>35</v>
      </c>
      <c r="F122" s="6" t="s">
        <v>667</v>
      </c>
      <c r="G122" s="6" t="s">
        <v>668</v>
      </c>
      <c r="H122" s="6" t="s">
        <v>669</v>
      </c>
      <c r="I122" s="6" t="s">
        <v>841</v>
      </c>
      <c r="J122" s="6" t="s">
        <v>842</v>
      </c>
      <c r="K122" s="6" t="s">
        <v>672</v>
      </c>
      <c r="L122" s="10" t="s">
        <v>609</v>
      </c>
    </row>
    <row r="123" ht="15.75" hidden="1" customHeight="1">
      <c r="A123" s="6" t="s">
        <v>843</v>
      </c>
      <c r="B123" s="6" t="s">
        <v>844</v>
      </c>
      <c r="C123" s="6" t="s">
        <v>7</v>
      </c>
      <c r="D123" s="6" t="s">
        <v>845</v>
      </c>
      <c r="E123" s="6" t="s">
        <v>35</v>
      </c>
      <c r="F123" s="6" t="s">
        <v>667</v>
      </c>
      <c r="G123" s="6" t="s">
        <v>668</v>
      </c>
      <c r="H123" s="6" t="s">
        <v>669</v>
      </c>
      <c r="I123" s="6" t="s">
        <v>846</v>
      </c>
      <c r="J123" s="6" t="s">
        <v>847</v>
      </c>
      <c r="K123" s="6" t="s">
        <v>848</v>
      </c>
      <c r="L123" s="14" t="s">
        <v>55</v>
      </c>
    </row>
    <row r="124" ht="15.75" hidden="1" customHeight="1">
      <c r="A124" s="6" t="s">
        <v>849</v>
      </c>
      <c r="B124" s="6" t="s">
        <v>850</v>
      </c>
      <c r="C124" s="6" t="s">
        <v>7</v>
      </c>
      <c r="D124" s="6" t="s">
        <v>851</v>
      </c>
      <c r="E124" s="6" t="s">
        <v>35</v>
      </c>
      <c r="F124" s="6" t="s">
        <v>667</v>
      </c>
      <c r="G124" s="6" t="s">
        <v>668</v>
      </c>
      <c r="H124" s="6" t="s">
        <v>669</v>
      </c>
      <c r="I124" s="6" t="s">
        <v>852</v>
      </c>
      <c r="J124" s="6" t="s">
        <v>853</v>
      </c>
      <c r="K124" s="6" t="s">
        <v>854</v>
      </c>
      <c r="L124" s="10" t="s">
        <v>609</v>
      </c>
    </row>
    <row r="125" ht="15.75" hidden="1" customHeight="1">
      <c r="A125" s="6" t="s">
        <v>855</v>
      </c>
      <c r="B125" s="6" t="s">
        <v>856</v>
      </c>
      <c r="C125" s="6" t="s">
        <v>7</v>
      </c>
      <c r="D125" s="6" t="s">
        <v>857</v>
      </c>
      <c r="E125" s="6" t="s">
        <v>35</v>
      </c>
      <c r="F125" s="6" t="s">
        <v>36</v>
      </c>
      <c r="G125" s="6" t="s">
        <v>165</v>
      </c>
      <c r="H125" s="6" t="s">
        <v>166</v>
      </c>
      <c r="I125" s="6" t="s">
        <v>858</v>
      </c>
      <c r="J125" s="6" t="s">
        <v>859</v>
      </c>
      <c r="K125" s="6" t="s">
        <v>608</v>
      </c>
      <c r="L125" s="10" t="s">
        <v>609</v>
      </c>
    </row>
    <row r="126" ht="15.75" hidden="1" customHeight="1">
      <c r="A126" s="6" t="s">
        <v>860</v>
      </c>
      <c r="B126" s="6" t="s">
        <v>861</v>
      </c>
      <c r="C126" s="6" t="s">
        <v>7</v>
      </c>
      <c r="D126" s="6" t="s">
        <v>862</v>
      </c>
      <c r="E126" s="6" t="s">
        <v>35</v>
      </c>
      <c r="F126" s="6" t="s">
        <v>36</v>
      </c>
      <c r="G126" s="6" t="s">
        <v>165</v>
      </c>
      <c r="H126" s="6" t="s">
        <v>166</v>
      </c>
      <c r="I126" s="6" t="s">
        <v>863</v>
      </c>
      <c r="J126" s="6" t="s">
        <v>864</v>
      </c>
      <c r="K126" s="6" t="s">
        <v>608</v>
      </c>
      <c r="L126" s="10" t="s">
        <v>609</v>
      </c>
    </row>
    <row r="127" ht="15.75" hidden="1" customHeight="1">
      <c r="A127" s="6" t="s">
        <v>865</v>
      </c>
      <c r="B127" s="6" t="s">
        <v>866</v>
      </c>
      <c r="C127" s="6" t="s">
        <v>7</v>
      </c>
      <c r="D127" s="6" t="s">
        <v>867</v>
      </c>
      <c r="E127" s="6" t="s">
        <v>35</v>
      </c>
      <c r="F127" s="6" t="s">
        <v>36</v>
      </c>
      <c r="G127" s="6" t="s">
        <v>165</v>
      </c>
      <c r="H127" s="6" t="s">
        <v>166</v>
      </c>
      <c r="I127" s="6" t="s">
        <v>868</v>
      </c>
      <c r="J127" s="6" t="s">
        <v>869</v>
      </c>
      <c r="K127" s="6" t="s">
        <v>608</v>
      </c>
      <c r="L127" s="10" t="s">
        <v>609</v>
      </c>
    </row>
    <row r="128" ht="15.75" hidden="1" customHeight="1">
      <c r="A128" s="6" t="s">
        <v>870</v>
      </c>
      <c r="B128" s="6" t="s">
        <v>871</v>
      </c>
      <c r="C128" s="6" t="s">
        <v>7</v>
      </c>
      <c r="D128" s="6" t="s">
        <v>872</v>
      </c>
      <c r="E128" s="6" t="s">
        <v>35</v>
      </c>
      <c r="F128" s="6" t="s">
        <v>271</v>
      </c>
      <c r="G128" s="6" t="s">
        <v>272</v>
      </c>
      <c r="H128" s="6" t="s">
        <v>273</v>
      </c>
      <c r="I128" s="6" t="s">
        <v>873</v>
      </c>
      <c r="J128" s="6" t="s">
        <v>874</v>
      </c>
      <c r="K128" s="6" t="s">
        <v>497</v>
      </c>
      <c r="L128" s="10" t="s">
        <v>609</v>
      </c>
    </row>
    <row r="129" ht="15.75" hidden="1" customHeight="1">
      <c r="A129" s="6" t="s">
        <v>875</v>
      </c>
      <c r="B129" s="6" t="s">
        <v>876</v>
      </c>
      <c r="C129" s="6" t="s">
        <v>31</v>
      </c>
      <c r="D129" s="6" t="s">
        <v>21</v>
      </c>
      <c r="E129" s="6" t="s">
        <v>22</v>
      </c>
      <c r="F129" s="6" t="s">
        <v>23</v>
      </c>
      <c r="G129" s="6" t="s">
        <v>24</v>
      </c>
      <c r="H129" s="6" t="s">
        <v>25</v>
      </c>
      <c r="I129" s="6" t="s">
        <v>877</v>
      </c>
      <c r="J129" s="6" t="s">
        <v>878</v>
      </c>
      <c r="K129" s="6" t="s">
        <v>29</v>
      </c>
      <c r="L129" s="10" t="s">
        <v>30</v>
      </c>
    </row>
    <row r="130" ht="15.75" hidden="1" customHeight="1">
      <c r="A130" s="6" t="s">
        <v>879</v>
      </c>
      <c r="B130" s="6" t="s">
        <v>880</v>
      </c>
      <c r="C130" s="6" t="s">
        <v>31</v>
      </c>
      <c r="D130" s="6" t="s">
        <v>881</v>
      </c>
      <c r="E130" s="6" t="s">
        <v>35</v>
      </c>
      <c r="F130" s="6" t="s">
        <v>882</v>
      </c>
      <c r="G130" s="6" t="s">
        <v>883</v>
      </c>
      <c r="H130" s="6" t="s">
        <v>884</v>
      </c>
      <c r="I130" s="6" t="s">
        <v>885</v>
      </c>
      <c r="J130" s="6" t="s">
        <v>886</v>
      </c>
      <c r="K130" s="6" t="s">
        <v>29</v>
      </c>
      <c r="L130" s="10" t="s">
        <v>30</v>
      </c>
    </row>
    <row r="131" ht="15.75" hidden="1" customHeight="1">
      <c r="A131" s="6" t="s">
        <v>887</v>
      </c>
      <c r="B131" s="6" t="s">
        <v>888</v>
      </c>
      <c r="C131" s="6" t="s">
        <v>31</v>
      </c>
      <c r="D131" s="6" t="s">
        <v>889</v>
      </c>
      <c r="E131" s="6" t="s">
        <v>35</v>
      </c>
      <c r="F131" s="6" t="s">
        <v>882</v>
      </c>
      <c r="G131" s="6" t="s">
        <v>883</v>
      </c>
      <c r="H131" s="6" t="s">
        <v>884</v>
      </c>
      <c r="I131" s="6" t="s">
        <v>890</v>
      </c>
      <c r="J131" s="6" t="s">
        <v>891</v>
      </c>
      <c r="K131" s="6" t="s">
        <v>29</v>
      </c>
      <c r="L131" s="10" t="s">
        <v>30</v>
      </c>
    </row>
    <row r="132" ht="15.75" hidden="1" customHeight="1">
      <c r="A132" s="6" t="s">
        <v>892</v>
      </c>
      <c r="B132" s="6" t="s">
        <v>893</v>
      </c>
      <c r="C132" s="6" t="s">
        <v>31</v>
      </c>
      <c r="D132" s="6" t="s">
        <v>894</v>
      </c>
      <c r="E132" s="6" t="s">
        <v>35</v>
      </c>
      <c r="F132" s="6" t="s">
        <v>882</v>
      </c>
      <c r="G132" s="6" t="s">
        <v>883</v>
      </c>
      <c r="H132" s="6" t="s">
        <v>884</v>
      </c>
      <c r="I132" s="6" t="s">
        <v>895</v>
      </c>
      <c r="J132" s="6" t="s">
        <v>896</v>
      </c>
      <c r="K132" s="6" t="s">
        <v>29</v>
      </c>
      <c r="L132" s="10" t="s">
        <v>30</v>
      </c>
    </row>
    <row r="133" ht="15.75" hidden="1" customHeight="1">
      <c r="A133" s="6" t="s">
        <v>897</v>
      </c>
      <c r="B133" s="6" t="s">
        <v>898</v>
      </c>
      <c r="C133" s="6" t="s">
        <v>31</v>
      </c>
      <c r="D133" s="6" t="s">
        <v>899</v>
      </c>
      <c r="E133" s="6" t="s">
        <v>35</v>
      </c>
      <c r="F133" s="6" t="s">
        <v>882</v>
      </c>
      <c r="G133" s="6" t="s">
        <v>883</v>
      </c>
      <c r="H133" s="6" t="s">
        <v>884</v>
      </c>
      <c r="I133" s="6" t="s">
        <v>900</v>
      </c>
      <c r="J133" s="6" t="s">
        <v>901</v>
      </c>
      <c r="K133" s="6" t="s">
        <v>29</v>
      </c>
      <c r="L133" s="10" t="s">
        <v>30</v>
      </c>
    </row>
    <row r="134" ht="15.75" hidden="1" customHeight="1">
      <c r="A134" s="6" t="s">
        <v>902</v>
      </c>
      <c r="B134" s="6" t="s">
        <v>903</v>
      </c>
      <c r="C134" s="6" t="s">
        <v>31</v>
      </c>
      <c r="D134" s="6" t="s">
        <v>904</v>
      </c>
      <c r="E134" s="6" t="s">
        <v>35</v>
      </c>
      <c r="F134" s="6" t="s">
        <v>882</v>
      </c>
      <c r="G134" s="6" t="s">
        <v>883</v>
      </c>
      <c r="H134" s="6" t="s">
        <v>884</v>
      </c>
      <c r="I134" s="6" t="s">
        <v>905</v>
      </c>
      <c r="J134" s="6" t="s">
        <v>906</v>
      </c>
      <c r="K134" s="6" t="s">
        <v>29</v>
      </c>
      <c r="L134" s="10" t="s">
        <v>30</v>
      </c>
    </row>
    <row r="135" ht="15.75" hidden="1" customHeight="1">
      <c r="A135" s="6" t="s">
        <v>907</v>
      </c>
      <c r="B135" s="6" t="s">
        <v>908</v>
      </c>
      <c r="C135" s="6" t="s">
        <v>31</v>
      </c>
      <c r="D135" s="6" t="s">
        <v>909</v>
      </c>
      <c r="E135" s="6" t="s">
        <v>35</v>
      </c>
      <c r="F135" s="6" t="s">
        <v>882</v>
      </c>
      <c r="G135" s="6" t="s">
        <v>883</v>
      </c>
      <c r="H135" s="6" t="s">
        <v>884</v>
      </c>
      <c r="I135" s="6" t="s">
        <v>910</v>
      </c>
      <c r="J135" s="6" t="s">
        <v>911</v>
      </c>
      <c r="K135" s="6" t="s">
        <v>29</v>
      </c>
      <c r="L135" s="10" t="s">
        <v>30</v>
      </c>
    </row>
    <row r="136" ht="15.75" hidden="1" customHeight="1">
      <c r="A136" s="6" t="s">
        <v>912</v>
      </c>
      <c r="B136" s="6" t="s">
        <v>913</v>
      </c>
      <c r="C136" s="6" t="s">
        <v>31</v>
      </c>
      <c r="D136" s="6" t="s">
        <v>914</v>
      </c>
      <c r="E136" s="6" t="s">
        <v>35</v>
      </c>
      <c r="F136" s="6" t="s">
        <v>882</v>
      </c>
      <c r="G136" s="6" t="s">
        <v>883</v>
      </c>
      <c r="H136" s="6" t="s">
        <v>884</v>
      </c>
      <c r="I136" s="6" t="s">
        <v>915</v>
      </c>
      <c r="J136" s="6" t="s">
        <v>916</v>
      </c>
      <c r="K136" s="6" t="s">
        <v>29</v>
      </c>
      <c r="L136" s="10" t="s">
        <v>30</v>
      </c>
    </row>
    <row r="137" ht="15.75" hidden="1" customHeight="1">
      <c r="A137" s="6" t="s">
        <v>917</v>
      </c>
      <c r="B137" s="6" t="s">
        <v>918</v>
      </c>
      <c r="C137" s="6" t="s">
        <v>31</v>
      </c>
      <c r="D137" s="6" t="s">
        <v>919</v>
      </c>
      <c r="E137" s="6" t="s">
        <v>35</v>
      </c>
      <c r="F137" s="6" t="s">
        <v>882</v>
      </c>
      <c r="G137" s="6" t="s">
        <v>920</v>
      </c>
      <c r="H137" s="6" t="s">
        <v>921</v>
      </c>
      <c r="I137" s="6" t="s">
        <v>922</v>
      </c>
      <c r="J137" s="6" t="s">
        <v>923</v>
      </c>
      <c r="K137" s="6" t="s">
        <v>29</v>
      </c>
      <c r="L137" s="10" t="s">
        <v>30</v>
      </c>
    </row>
    <row r="138" ht="15.75" hidden="1" customHeight="1">
      <c r="A138" s="6" t="s">
        <v>924</v>
      </c>
      <c r="B138" s="6" t="s">
        <v>925</v>
      </c>
      <c r="C138" s="6" t="s">
        <v>31</v>
      </c>
      <c r="D138" s="6" t="s">
        <v>926</v>
      </c>
      <c r="E138" s="6" t="s">
        <v>35</v>
      </c>
      <c r="F138" s="6" t="s">
        <v>882</v>
      </c>
      <c r="G138" s="6" t="s">
        <v>920</v>
      </c>
      <c r="H138" s="6" t="s">
        <v>921</v>
      </c>
      <c r="I138" s="6" t="s">
        <v>927</v>
      </c>
      <c r="J138" s="6" t="s">
        <v>928</v>
      </c>
      <c r="K138" s="6" t="s">
        <v>29</v>
      </c>
      <c r="L138" s="10" t="s">
        <v>30</v>
      </c>
    </row>
    <row r="139" ht="15.75" hidden="1" customHeight="1">
      <c r="A139" s="6" t="s">
        <v>929</v>
      </c>
      <c r="B139" s="6" t="s">
        <v>930</v>
      </c>
      <c r="C139" s="6" t="s">
        <v>31</v>
      </c>
      <c r="D139" s="6" t="s">
        <v>931</v>
      </c>
      <c r="E139" s="6" t="s">
        <v>35</v>
      </c>
      <c r="F139" s="6" t="s">
        <v>882</v>
      </c>
      <c r="G139" s="6" t="s">
        <v>920</v>
      </c>
      <c r="H139" s="6" t="s">
        <v>921</v>
      </c>
      <c r="I139" s="6" t="s">
        <v>932</v>
      </c>
      <c r="J139" s="6" t="s">
        <v>933</v>
      </c>
      <c r="K139" s="6" t="s">
        <v>29</v>
      </c>
      <c r="L139" s="10" t="s">
        <v>30</v>
      </c>
    </row>
    <row r="140" ht="15.75" hidden="1" customHeight="1">
      <c r="A140" s="6" t="s">
        <v>934</v>
      </c>
      <c r="B140" s="6" t="s">
        <v>935</v>
      </c>
      <c r="C140" s="6" t="s">
        <v>31</v>
      </c>
      <c r="D140" s="6" t="s">
        <v>936</v>
      </c>
      <c r="E140" s="6" t="s">
        <v>35</v>
      </c>
      <c r="F140" s="6" t="s">
        <v>882</v>
      </c>
      <c r="G140" s="6" t="s">
        <v>920</v>
      </c>
      <c r="H140" s="6" t="s">
        <v>921</v>
      </c>
      <c r="I140" s="6" t="s">
        <v>937</v>
      </c>
      <c r="J140" s="6" t="s">
        <v>938</v>
      </c>
      <c r="K140" s="6" t="s">
        <v>29</v>
      </c>
      <c r="L140" s="10" t="s">
        <v>30</v>
      </c>
    </row>
    <row r="141" ht="15.75" hidden="1" customHeight="1">
      <c r="A141" s="6" t="s">
        <v>939</v>
      </c>
      <c r="B141" s="6" t="s">
        <v>940</v>
      </c>
      <c r="C141" s="6" t="s">
        <v>31</v>
      </c>
      <c r="D141" s="6" t="s">
        <v>941</v>
      </c>
      <c r="E141" s="6" t="s">
        <v>35</v>
      </c>
      <c r="F141" s="6" t="s">
        <v>882</v>
      </c>
      <c r="G141" s="6" t="s">
        <v>920</v>
      </c>
      <c r="H141" s="6" t="s">
        <v>921</v>
      </c>
      <c r="I141" s="6" t="s">
        <v>942</v>
      </c>
      <c r="J141" s="6" t="s">
        <v>943</v>
      </c>
      <c r="K141" s="6" t="s">
        <v>29</v>
      </c>
      <c r="L141" s="10" t="s">
        <v>30</v>
      </c>
    </row>
    <row r="142" ht="15.75" hidden="1" customHeight="1">
      <c r="A142" s="6" t="s">
        <v>944</v>
      </c>
      <c r="B142" s="6" t="s">
        <v>945</v>
      </c>
      <c r="C142" s="6" t="s">
        <v>31</v>
      </c>
      <c r="D142" s="6" t="s">
        <v>946</v>
      </c>
      <c r="E142" s="6" t="s">
        <v>35</v>
      </c>
      <c r="F142" s="6" t="s">
        <v>882</v>
      </c>
      <c r="G142" s="6" t="s">
        <v>920</v>
      </c>
      <c r="H142" s="6" t="s">
        <v>921</v>
      </c>
      <c r="I142" s="6" t="s">
        <v>947</v>
      </c>
      <c r="J142" s="6" t="s">
        <v>948</v>
      </c>
      <c r="K142" s="6" t="s">
        <v>29</v>
      </c>
      <c r="L142" s="10" t="s">
        <v>30</v>
      </c>
    </row>
    <row r="143" ht="15.75" hidden="1" customHeight="1">
      <c r="A143" s="6" t="s">
        <v>949</v>
      </c>
      <c r="B143" s="6" t="s">
        <v>950</v>
      </c>
      <c r="C143" s="6" t="s">
        <v>31</v>
      </c>
      <c r="D143" s="6" t="s">
        <v>951</v>
      </c>
      <c r="E143" s="6" t="s">
        <v>35</v>
      </c>
      <c r="F143" s="6" t="s">
        <v>882</v>
      </c>
      <c r="G143" s="6" t="s">
        <v>883</v>
      </c>
      <c r="H143" s="6" t="s">
        <v>884</v>
      </c>
      <c r="I143" s="6" t="s">
        <v>952</v>
      </c>
      <c r="J143" s="6" t="s">
        <v>953</v>
      </c>
      <c r="K143" s="6" t="s">
        <v>29</v>
      </c>
      <c r="L143" s="10" t="s">
        <v>30</v>
      </c>
    </row>
    <row r="144" ht="15.75" hidden="1" customHeight="1">
      <c r="A144" s="6" t="s">
        <v>954</v>
      </c>
      <c r="B144" s="6" t="s">
        <v>955</v>
      </c>
      <c r="C144" s="6" t="s">
        <v>31</v>
      </c>
      <c r="D144" s="6" t="s">
        <v>956</v>
      </c>
      <c r="E144" s="6" t="s">
        <v>35</v>
      </c>
      <c r="F144" s="6" t="s">
        <v>882</v>
      </c>
      <c r="G144" s="6" t="s">
        <v>883</v>
      </c>
      <c r="H144" s="6" t="s">
        <v>884</v>
      </c>
      <c r="I144" s="6" t="s">
        <v>957</v>
      </c>
      <c r="J144" s="6" t="s">
        <v>958</v>
      </c>
      <c r="K144" s="6" t="s">
        <v>29</v>
      </c>
      <c r="L144" s="10" t="s">
        <v>30</v>
      </c>
    </row>
    <row r="145" ht="15.75" hidden="1" customHeight="1">
      <c r="A145" s="6" t="s">
        <v>959</v>
      </c>
      <c r="B145" s="6" t="s">
        <v>960</v>
      </c>
      <c r="C145" s="6" t="s">
        <v>48</v>
      </c>
      <c r="D145" s="6" t="s">
        <v>21</v>
      </c>
      <c r="E145" s="6" t="s">
        <v>22</v>
      </c>
      <c r="F145" s="6" t="s">
        <v>23</v>
      </c>
      <c r="G145" s="6" t="s">
        <v>24</v>
      </c>
      <c r="H145" s="6" t="s">
        <v>25</v>
      </c>
      <c r="I145" s="6" t="s">
        <v>961</v>
      </c>
      <c r="J145" s="6" t="s">
        <v>962</v>
      </c>
      <c r="K145" s="6" t="s">
        <v>29</v>
      </c>
      <c r="L145" s="10" t="s">
        <v>30</v>
      </c>
    </row>
    <row r="146" ht="15.75" hidden="1" customHeight="1">
      <c r="A146" s="6" t="s">
        <v>963</v>
      </c>
      <c r="B146" s="6" t="s">
        <v>964</v>
      </c>
      <c r="C146" s="6" t="s">
        <v>48</v>
      </c>
      <c r="D146" s="6" t="s">
        <v>965</v>
      </c>
      <c r="E146" s="6" t="s">
        <v>35</v>
      </c>
      <c r="F146" s="6" t="s">
        <v>787</v>
      </c>
      <c r="G146" s="6" t="s">
        <v>966</v>
      </c>
      <c r="H146" s="6" t="s">
        <v>967</v>
      </c>
      <c r="I146" s="6" t="s">
        <v>968</v>
      </c>
      <c r="J146" s="6" t="s">
        <v>969</v>
      </c>
      <c r="K146" s="6" t="s">
        <v>534</v>
      </c>
      <c r="L146" s="12" t="s">
        <v>43</v>
      </c>
    </row>
    <row r="147" ht="15.75" hidden="1" customHeight="1">
      <c r="A147" s="6" t="s">
        <v>970</v>
      </c>
      <c r="B147" s="6" t="s">
        <v>971</v>
      </c>
      <c r="C147" s="6" t="s">
        <v>48</v>
      </c>
      <c r="D147" s="6" t="s">
        <v>972</v>
      </c>
      <c r="E147" s="6" t="s">
        <v>35</v>
      </c>
      <c r="F147" s="6" t="s">
        <v>787</v>
      </c>
      <c r="G147" s="6" t="s">
        <v>966</v>
      </c>
      <c r="H147" s="6" t="s">
        <v>967</v>
      </c>
      <c r="I147" s="6" t="s">
        <v>973</v>
      </c>
      <c r="J147" s="6" t="s">
        <v>974</v>
      </c>
      <c r="K147" s="6" t="s">
        <v>534</v>
      </c>
      <c r="L147" s="14" t="s">
        <v>55</v>
      </c>
    </row>
    <row r="148" ht="15.75" hidden="1" customHeight="1">
      <c r="A148" s="6" t="s">
        <v>975</v>
      </c>
      <c r="B148" s="6" t="s">
        <v>976</v>
      </c>
      <c r="C148" s="6" t="s">
        <v>48</v>
      </c>
      <c r="D148" s="6" t="s">
        <v>977</v>
      </c>
      <c r="E148" s="6" t="s">
        <v>35</v>
      </c>
      <c r="F148" s="6" t="s">
        <v>787</v>
      </c>
      <c r="G148" s="6" t="s">
        <v>966</v>
      </c>
      <c r="H148" s="6" t="s">
        <v>967</v>
      </c>
      <c r="I148" s="6" t="s">
        <v>978</v>
      </c>
      <c r="J148" s="6" t="s">
        <v>979</v>
      </c>
      <c r="K148" s="6" t="s">
        <v>534</v>
      </c>
      <c r="L148" s="12" t="s">
        <v>43</v>
      </c>
    </row>
    <row r="149" ht="15.75" hidden="1" customHeight="1">
      <c r="A149" s="6" t="s">
        <v>980</v>
      </c>
      <c r="B149" s="6" t="s">
        <v>981</v>
      </c>
      <c r="C149" s="6" t="s">
        <v>48</v>
      </c>
      <c r="D149" s="6" t="s">
        <v>982</v>
      </c>
      <c r="E149" s="6" t="s">
        <v>35</v>
      </c>
      <c r="F149" s="6" t="s">
        <v>787</v>
      </c>
      <c r="G149" s="6" t="s">
        <v>966</v>
      </c>
      <c r="H149" s="6" t="s">
        <v>967</v>
      </c>
      <c r="I149" s="6" t="s">
        <v>983</v>
      </c>
      <c r="J149" s="6" t="s">
        <v>984</v>
      </c>
      <c r="K149" s="6" t="s">
        <v>534</v>
      </c>
      <c r="L149" s="12" t="s">
        <v>43</v>
      </c>
    </row>
    <row r="150" ht="15.75" hidden="1" customHeight="1">
      <c r="A150" s="6" t="s">
        <v>985</v>
      </c>
      <c r="B150" s="6" t="s">
        <v>986</v>
      </c>
      <c r="C150" s="6" t="s">
        <v>48</v>
      </c>
      <c r="D150" s="6" t="s">
        <v>987</v>
      </c>
      <c r="E150" s="6" t="s">
        <v>35</v>
      </c>
      <c r="F150" s="6" t="s">
        <v>787</v>
      </c>
      <c r="G150" s="6" t="s">
        <v>966</v>
      </c>
      <c r="H150" s="6" t="s">
        <v>967</v>
      </c>
      <c r="I150" s="6" t="s">
        <v>988</v>
      </c>
      <c r="J150" s="6" t="s">
        <v>989</v>
      </c>
      <c r="K150" s="6" t="s">
        <v>534</v>
      </c>
      <c r="L150" s="14" t="s">
        <v>55</v>
      </c>
    </row>
    <row r="151" ht="15.75" hidden="1" customHeight="1">
      <c r="A151" s="6" t="s">
        <v>990</v>
      </c>
      <c r="B151" s="6" t="s">
        <v>991</v>
      </c>
      <c r="C151" s="6" t="s">
        <v>48</v>
      </c>
      <c r="D151" s="6" t="s">
        <v>992</v>
      </c>
      <c r="E151" s="6" t="s">
        <v>35</v>
      </c>
      <c r="F151" s="6" t="s">
        <v>271</v>
      </c>
      <c r="G151" s="6" t="s">
        <v>993</v>
      </c>
      <c r="H151" s="6" t="s">
        <v>994</v>
      </c>
      <c r="I151" s="6" t="s">
        <v>995</v>
      </c>
      <c r="J151" s="6" t="s">
        <v>996</v>
      </c>
      <c r="K151" s="6" t="s">
        <v>534</v>
      </c>
      <c r="L151" s="14" t="s">
        <v>55</v>
      </c>
    </row>
    <row r="152" ht="15.75" hidden="1" customHeight="1">
      <c r="A152" s="6" t="s">
        <v>997</v>
      </c>
      <c r="B152" s="6" t="s">
        <v>998</v>
      </c>
      <c r="C152" s="6" t="s">
        <v>48</v>
      </c>
      <c r="D152" s="6" t="s">
        <v>999</v>
      </c>
      <c r="E152" s="6" t="s">
        <v>35</v>
      </c>
      <c r="F152" s="6" t="s">
        <v>271</v>
      </c>
      <c r="G152" s="6" t="s">
        <v>993</v>
      </c>
      <c r="H152" s="6" t="s">
        <v>994</v>
      </c>
      <c r="I152" s="6" t="s">
        <v>1000</v>
      </c>
      <c r="J152" s="6" t="s">
        <v>1001</v>
      </c>
      <c r="K152" s="6" t="s">
        <v>534</v>
      </c>
      <c r="L152" s="10" t="s">
        <v>609</v>
      </c>
    </row>
    <row r="153" ht="15.75" hidden="1" customHeight="1">
      <c r="A153" s="6" t="s">
        <v>1002</v>
      </c>
      <c r="B153" s="6" t="s">
        <v>1003</v>
      </c>
      <c r="C153" s="6" t="s">
        <v>48</v>
      </c>
      <c r="D153" s="6" t="s">
        <v>1004</v>
      </c>
      <c r="E153" s="6" t="s">
        <v>339</v>
      </c>
      <c r="F153" s="6" t="s">
        <v>603</v>
      </c>
      <c r="G153" s="6" t="s">
        <v>1005</v>
      </c>
      <c r="H153" s="6" t="s">
        <v>1006</v>
      </c>
      <c r="I153" s="6" t="s">
        <v>1007</v>
      </c>
      <c r="J153" s="6" t="s">
        <v>1008</v>
      </c>
      <c r="K153" s="6" t="s">
        <v>534</v>
      </c>
      <c r="L153" s="12" t="s">
        <v>43</v>
      </c>
    </row>
    <row r="154" ht="15.75" hidden="1" customHeight="1">
      <c r="A154" s="6" t="s">
        <v>1009</v>
      </c>
      <c r="B154" s="6" t="s">
        <v>1010</v>
      </c>
      <c r="C154" s="6" t="s">
        <v>48</v>
      </c>
      <c r="D154" s="6" t="s">
        <v>1011</v>
      </c>
      <c r="E154" s="6" t="s">
        <v>339</v>
      </c>
      <c r="F154" s="6" t="s">
        <v>603</v>
      </c>
      <c r="G154" s="6" t="s">
        <v>1005</v>
      </c>
      <c r="H154" s="6" t="s">
        <v>1006</v>
      </c>
      <c r="I154" s="6" t="s">
        <v>1012</v>
      </c>
      <c r="J154" s="6" t="s">
        <v>1013</v>
      </c>
      <c r="K154" s="6" t="s">
        <v>534</v>
      </c>
      <c r="L154" s="14" t="s">
        <v>55</v>
      </c>
    </row>
    <row r="155" ht="15.75" hidden="1" customHeight="1">
      <c r="A155" s="6" t="s">
        <v>1014</v>
      </c>
      <c r="B155" s="6" t="s">
        <v>1015</v>
      </c>
      <c r="C155" s="6" t="s">
        <v>48</v>
      </c>
      <c r="D155" s="6" t="s">
        <v>1016</v>
      </c>
      <c r="E155" s="6" t="s">
        <v>339</v>
      </c>
      <c r="F155" s="6" t="s">
        <v>603</v>
      </c>
      <c r="G155" s="6" t="s">
        <v>1005</v>
      </c>
      <c r="H155" s="6" t="s">
        <v>1006</v>
      </c>
      <c r="I155" s="6" t="s">
        <v>1017</v>
      </c>
      <c r="J155" s="6" t="s">
        <v>1018</v>
      </c>
      <c r="K155" s="6" t="s">
        <v>534</v>
      </c>
      <c r="L155" s="14" t="s">
        <v>55</v>
      </c>
    </row>
    <row r="156" ht="15.75" hidden="1" customHeight="1">
      <c r="A156" s="6" t="s">
        <v>1019</v>
      </c>
      <c r="B156" s="6" t="s">
        <v>1020</v>
      </c>
      <c r="C156" s="6" t="s">
        <v>48</v>
      </c>
      <c r="D156" s="6" t="s">
        <v>1021</v>
      </c>
      <c r="E156" s="6" t="s">
        <v>339</v>
      </c>
      <c r="F156" s="6" t="s">
        <v>603</v>
      </c>
      <c r="G156" s="6" t="s">
        <v>1005</v>
      </c>
      <c r="H156" s="6" t="s">
        <v>1006</v>
      </c>
      <c r="I156" s="6" t="s">
        <v>1022</v>
      </c>
      <c r="J156" s="6" t="s">
        <v>1023</v>
      </c>
      <c r="K156" s="6" t="s">
        <v>534</v>
      </c>
      <c r="L156" s="14" t="s">
        <v>55</v>
      </c>
    </row>
    <row r="157" ht="15.75" hidden="1" customHeight="1">
      <c r="A157" s="6" t="s">
        <v>1024</v>
      </c>
      <c r="B157" s="6" t="s">
        <v>1025</v>
      </c>
      <c r="C157" s="6" t="s">
        <v>48</v>
      </c>
      <c r="D157" s="6" t="s">
        <v>1026</v>
      </c>
      <c r="E157" s="6" t="s">
        <v>339</v>
      </c>
      <c r="F157" s="6" t="s">
        <v>603</v>
      </c>
      <c r="G157" s="6" t="s">
        <v>1005</v>
      </c>
      <c r="H157" s="6" t="s">
        <v>1006</v>
      </c>
      <c r="I157" s="6" t="s">
        <v>1027</v>
      </c>
      <c r="J157" s="6" t="s">
        <v>1028</v>
      </c>
      <c r="K157" s="6" t="s">
        <v>534</v>
      </c>
      <c r="L157" s="14" t="s">
        <v>55</v>
      </c>
    </row>
    <row r="158" ht="15.75" hidden="1" customHeight="1">
      <c r="A158" s="6" t="s">
        <v>1029</v>
      </c>
      <c r="B158" s="6" t="s">
        <v>1030</v>
      </c>
      <c r="C158" s="6" t="s">
        <v>48</v>
      </c>
      <c r="D158" s="6" t="s">
        <v>1031</v>
      </c>
      <c r="E158" s="6" t="s">
        <v>339</v>
      </c>
      <c r="F158" s="6" t="s">
        <v>603</v>
      </c>
      <c r="G158" s="6" t="s">
        <v>1005</v>
      </c>
      <c r="H158" s="6" t="s">
        <v>1006</v>
      </c>
      <c r="I158" s="6" t="s">
        <v>1032</v>
      </c>
      <c r="J158" s="6" t="s">
        <v>1033</v>
      </c>
      <c r="K158" s="6" t="s">
        <v>534</v>
      </c>
      <c r="L158" s="12" t="s">
        <v>43</v>
      </c>
    </row>
    <row r="159" ht="15.75" hidden="1" customHeight="1">
      <c r="A159" s="6" t="s">
        <v>1034</v>
      </c>
      <c r="B159" s="6" t="s">
        <v>1035</v>
      </c>
      <c r="C159" s="6" t="s">
        <v>48</v>
      </c>
      <c r="D159" s="6" t="s">
        <v>1036</v>
      </c>
      <c r="E159" s="6" t="s">
        <v>339</v>
      </c>
      <c r="F159" s="6" t="s">
        <v>1037</v>
      </c>
      <c r="G159" s="6" t="s">
        <v>1038</v>
      </c>
      <c r="H159" s="6" t="s">
        <v>1039</v>
      </c>
      <c r="I159" s="6" t="s">
        <v>1040</v>
      </c>
      <c r="J159" s="6" t="s">
        <v>1041</v>
      </c>
      <c r="K159" s="6" t="s">
        <v>1042</v>
      </c>
      <c r="L159" s="14" t="s">
        <v>55</v>
      </c>
    </row>
    <row r="160" ht="15.75" hidden="1" customHeight="1">
      <c r="A160" s="6" t="s">
        <v>1043</v>
      </c>
      <c r="B160" s="6" t="s">
        <v>1044</v>
      </c>
      <c r="C160" s="6" t="s">
        <v>48</v>
      </c>
      <c r="D160" s="6" t="s">
        <v>1045</v>
      </c>
      <c r="E160" s="6" t="s">
        <v>339</v>
      </c>
      <c r="F160" s="6" t="s">
        <v>1037</v>
      </c>
      <c r="G160" s="6" t="s">
        <v>1038</v>
      </c>
      <c r="H160" s="6" t="s">
        <v>1039</v>
      </c>
      <c r="I160" s="6" t="s">
        <v>1046</v>
      </c>
      <c r="J160" s="6" t="s">
        <v>1047</v>
      </c>
      <c r="K160" s="6" t="s">
        <v>1042</v>
      </c>
      <c r="L160" s="10" t="s">
        <v>609</v>
      </c>
    </row>
    <row r="161" ht="15.75" hidden="1" customHeight="1">
      <c r="A161" s="6" t="s">
        <v>1048</v>
      </c>
      <c r="B161" s="6" t="s">
        <v>1049</v>
      </c>
      <c r="C161" s="6" t="s">
        <v>48</v>
      </c>
      <c r="D161" s="6" t="s">
        <v>1050</v>
      </c>
      <c r="E161" s="6" t="s">
        <v>339</v>
      </c>
      <c r="F161" s="6" t="s">
        <v>1037</v>
      </c>
      <c r="G161" s="6" t="s">
        <v>1038</v>
      </c>
      <c r="H161" s="6" t="s">
        <v>1039</v>
      </c>
      <c r="I161" s="6" t="s">
        <v>1051</v>
      </c>
      <c r="J161" s="6" t="s">
        <v>1052</v>
      </c>
      <c r="K161" s="6" t="s">
        <v>1042</v>
      </c>
      <c r="L161" s="14" t="s">
        <v>55</v>
      </c>
    </row>
    <row r="162" ht="15.75" hidden="1" customHeight="1">
      <c r="A162" s="6" t="s">
        <v>1053</v>
      </c>
      <c r="B162" s="6" t="s">
        <v>1054</v>
      </c>
      <c r="C162" s="6" t="s">
        <v>48</v>
      </c>
      <c r="D162" s="6" t="s">
        <v>1055</v>
      </c>
      <c r="E162" s="6" t="s">
        <v>339</v>
      </c>
      <c r="F162" s="6" t="s">
        <v>1037</v>
      </c>
      <c r="G162" s="6" t="s">
        <v>1038</v>
      </c>
      <c r="H162" s="6" t="s">
        <v>1039</v>
      </c>
      <c r="I162" s="6" t="s">
        <v>1056</v>
      </c>
      <c r="J162" s="6" t="s">
        <v>1057</v>
      </c>
      <c r="K162" s="6" t="s">
        <v>1042</v>
      </c>
      <c r="L162" s="10" t="s">
        <v>609</v>
      </c>
    </row>
    <row r="163" ht="15.75" hidden="1" customHeight="1">
      <c r="A163" s="6" t="s">
        <v>1058</v>
      </c>
      <c r="B163" s="6" t="s">
        <v>1059</v>
      </c>
      <c r="C163" s="6" t="s">
        <v>48</v>
      </c>
      <c r="D163" s="6" t="s">
        <v>1060</v>
      </c>
      <c r="E163" s="6" t="s">
        <v>339</v>
      </c>
      <c r="F163" s="6" t="s">
        <v>1037</v>
      </c>
      <c r="G163" s="6" t="s">
        <v>1038</v>
      </c>
      <c r="H163" s="6" t="s">
        <v>1039</v>
      </c>
      <c r="I163" s="6" t="s">
        <v>1061</v>
      </c>
      <c r="J163" s="6" t="s">
        <v>1062</v>
      </c>
      <c r="K163" s="6" t="s">
        <v>1042</v>
      </c>
      <c r="L163" s="14" t="s">
        <v>55</v>
      </c>
    </row>
    <row r="164" ht="15.75" hidden="1" customHeight="1">
      <c r="A164" s="6" t="s">
        <v>1063</v>
      </c>
      <c r="B164" s="6" t="s">
        <v>1064</v>
      </c>
      <c r="C164" s="6" t="s">
        <v>48</v>
      </c>
      <c r="D164" s="6" t="s">
        <v>1065</v>
      </c>
      <c r="E164" s="6" t="s">
        <v>339</v>
      </c>
      <c r="F164" s="6" t="s">
        <v>1037</v>
      </c>
      <c r="G164" s="6" t="s">
        <v>1038</v>
      </c>
      <c r="H164" s="6" t="s">
        <v>1039</v>
      </c>
      <c r="I164" s="6" t="s">
        <v>1066</v>
      </c>
      <c r="J164" s="6" t="s">
        <v>1067</v>
      </c>
      <c r="K164" s="6" t="s">
        <v>1042</v>
      </c>
      <c r="L164" s="10" t="s">
        <v>609</v>
      </c>
    </row>
    <row r="165" ht="15.75" hidden="1" customHeight="1">
      <c r="A165" s="6" t="s">
        <v>1068</v>
      </c>
      <c r="B165" s="6" t="s">
        <v>1069</v>
      </c>
      <c r="C165" s="6" t="s">
        <v>48</v>
      </c>
      <c r="D165" s="6" t="s">
        <v>1070</v>
      </c>
      <c r="E165" s="6" t="s">
        <v>339</v>
      </c>
      <c r="F165" s="6" t="s">
        <v>1037</v>
      </c>
      <c r="G165" s="6" t="s">
        <v>1038</v>
      </c>
      <c r="H165" s="6" t="s">
        <v>1039</v>
      </c>
      <c r="I165" s="6" t="s">
        <v>1071</v>
      </c>
      <c r="J165" s="6" t="s">
        <v>1072</v>
      </c>
      <c r="K165" s="6" t="s">
        <v>1042</v>
      </c>
      <c r="L165" s="10" t="s">
        <v>609</v>
      </c>
    </row>
    <row r="166" ht="15.75" hidden="1" customHeight="1">
      <c r="A166" s="6" t="s">
        <v>1073</v>
      </c>
      <c r="B166" s="6" t="s">
        <v>1074</v>
      </c>
      <c r="C166" s="6" t="s">
        <v>48</v>
      </c>
      <c r="D166" s="6" t="s">
        <v>1075</v>
      </c>
      <c r="E166" s="6" t="s">
        <v>339</v>
      </c>
      <c r="F166" s="6" t="s">
        <v>1037</v>
      </c>
      <c r="G166" s="6" t="s">
        <v>1038</v>
      </c>
      <c r="H166" s="6" t="s">
        <v>1039</v>
      </c>
      <c r="I166" s="6" t="s">
        <v>1076</v>
      </c>
      <c r="J166" s="6" t="s">
        <v>1077</v>
      </c>
      <c r="K166" s="6" t="s">
        <v>1042</v>
      </c>
      <c r="L166" s="14" t="s">
        <v>55</v>
      </c>
    </row>
    <row r="167" ht="15.75" hidden="1" customHeight="1">
      <c r="A167" s="6" t="s">
        <v>1078</v>
      </c>
      <c r="B167" s="6" t="s">
        <v>1079</v>
      </c>
      <c r="C167" s="6" t="s">
        <v>48</v>
      </c>
      <c r="D167" s="6" t="s">
        <v>1080</v>
      </c>
      <c r="E167" s="6" t="s">
        <v>339</v>
      </c>
      <c r="F167" s="6" t="s">
        <v>1037</v>
      </c>
      <c r="G167" s="6" t="s">
        <v>1038</v>
      </c>
      <c r="H167" s="6" t="s">
        <v>1039</v>
      </c>
      <c r="I167" s="6" t="s">
        <v>1081</v>
      </c>
      <c r="J167" s="6" t="s">
        <v>1082</v>
      </c>
      <c r="K167" s="6" t="s">
        <v>1042</v>
      </c>
      <c r="L167" s="10" t="s">
        <v>609</v>
      </c>
    </row>
    <row r="168" ht="15.75" hidden="1" customHeight="1">
      <c r="A168" s="6" t="s">
        <v>1083</v>
      </c>
      <c r="B168" s="6" t="s">
        <v>1084</v>
      </c>
      <c r="C168" s="6" t="s">
        <v>48</v>
      </c>
      <c r="D168" s="6" t="s">
        <v>1085</v>
      </c>
      <c r="E168" s="6" t="s">
        <v>339</v>
      </c>
      <c r="F168" s="6" t="s">
        <v>1037</v>
      </c>
      <c r="G168" s="6" t="s">
        <v>1086</v>
      </c>
      <c r="H168" s="6" t="s">
        <v>1087</v>
      </c>
      <c r="I168" s="6" t="s">
        <v>1088</v>
      </c>
      <c r="J168" s="6" t="s">
        <v>1089</v>
      </c>
      <c r="K168" s="6" t="s">
        <v>534</v>
      </c>
      <c r="L168" s="10" t="s">
        <v>609</v>
      </c>
    </row>
    <row r="169" ht="15.75" hidden="1" customHeight="1">
      <c r="A169" s="6" t="s">
        <v>1090</v>
      </c>
      <c r="B169" s="6" t="s">
        <v>1091</v>
      </c>
      <c r="C169" s="6" t="s">
        <v>48</v>
      </c>
      <c r="D169" s="6" t="s">
        <v>1092</v>
      </c>
      <c r="E169" s="6" t="s">
        <v>339</v>
      </c>
      <c r="F169" s="6" t="s">
        <v>1037</v>
      </c>
      <c r="G169" s="6" t="s">
        <v>1086</v>
      </c>
      <c r="H169" s="6" t="s">
        <v>1087</v>
      </c>
      <c r="I169" s="6" t="s">
        <v>1093</v>
      </c>
      <c r="J169" s="6" t="s">
        <v>1094</v>
      </c>
      <c r="K169" s="6" t="s">
        <v>534</v>
      </c>
      <c r="L169" s="10" t="s">
        <v>609</v>
      </c>
    </row>
    <row r="170" ht="15.75" hidden="1" customHeight="1">
      <c r="A170" s="6" t="s">
        <v>1095</v>
      </c>
      <c r="B170" s="6" t="s">
        <v>1096</v>
      </c>
      <c r="C170" s="6" t="s">
        <v>48</v>
      </c>
      <c r="D170" s="6" t="s">
        <v>1097</v>
      </c>
      <c r="E170" s="6" t="s">
        <v>35</v>
      </c>
      <c r="F170" s="6" t="s">
        <v>787</v>
      </c>
      <c r="G170" s="6" t="s">
        <v>966</v>
      </c>
      <c r="H170" s="6" t="s">
        <v>967</v>
      </c>
      <c r="I170" s="6" t="s">
        <v>1098</v>
      </c>
      <c r="J170" s="6" t="s">
        <v>1099</v>
      </c>
      <c r="K170" s="6" t="s">
        <v>1100</v>
      </c>
      <c r="L170" s="12" t="s">
        <v>43</v>
      </c>
    </row>
    <row r="171" ht="15.75" hidden="1" customHeight="1">
      <c r="A171" s="6" t="s">
        <v>1101</v>
      </c>
      <c r="B171" s="6" t="s">
        <v>1102</v>
      </c>
      <c r="C171" s="6" t="s">
        <v>48</v>
      </c>
      <c r="D171" s="6" t="s">
        <v>1103</v>
      </c>
      <c r="E171" s="6" t="s">
        <v>35</v>
      </c>
      <c r="F171" s="6" t="s">
        <v>787</v>
      </c>
      <c r="G171" s="6" t="s">
        <v>966</v>
      </c>
      <c r="H171" s="6" t="s">
        <v>967</v>
      </c>
      <c r="I171" s="6" t="s">
        <v>1104</v>
      </c>
      <c r="J171" s="6" t="s">
        <v>1105</v>
      </c>
      <c r="K171" s="6" t="s">
        <v>1106</v>
      </c>
      <c r="L171" s="12" t="s">
        <v>43</v>
      </c>
    </row>
    <row r="172" ht="15.75" hidden="1" customHeight="1">
      <c r="A172" s="6" t="s">
        <v>1107</v>
      </c>
      <c r="B172" s="6" t="s">
        <v>1108</v>
      </c>
      <c r="C172" s="6" t="s">
        <v>48</v>
      </c>
      <c r="D172" s="6" t="s">
        <v>1109</v>
      </c>
      <c r="E172" s="6" t="s">
        <v>35</v>
      </c>
      <c r="F172" s="6" t="s">
        <v>787</v>
      </c>
      <c r="G172" s="6" t="s">
        <v>966</v>
      </c>
      <c r="H172" s="6" t="s">
        <v>967</v>
      </c>
      <c r="I172" s="6" t="s">
        <v>1110</v>
      </c>
      <c r="J172" s="6" t="s">
        <v>1111</v>
      </c>
      <c r="K172" s="6" t="s">
        <v>1106</v>
      </c>
      <c r="L172" s="14" t="s">
        <v>55</v>
      </c>
    </row>
    <row r="173" ht="15.75" hidden="1" customHeight="1">
      <c r="A173" s="6" t="s">
        <v>1112</v>
      </c>
      <c r="B173" s="6" t="s">
        <v>1113</v>
      </c>
      <c r="C173" s="6" t="s">
        <v>48</v>
      </c>
      <c r="D173" s="6" t="s">
        <v>1114</v>
      </c>
      <c r="E173" s="6" t="s">
        <v>35</v>
      </c>
      <c r="F173" s="6" t="s">
        <v>787</v>
      </c>
      <c r="G173" s="6" t="s">
        <v>966</v>
      </c>
      <c r="H173" s="6" t="s">
        <v>967</v>
      </c>
      <c r="I173" s="6" t="s">
        <v>1115</v>
      </c>
      <c r="J173" s="6" t="s">
        <v>1116</v>
      </c>
      <c r="K173" s="6" t="s">
        <v>1106</v>
      </c>
      <c r="L173" s="14" t="s">
        <v>55</v>
      </c>
    </row>
    <row r="174" ht="15.75" hidden="1" customHeight="1">
      <c r="A174" s="6" t="s">
        <v>1117</v>
      </c>
      <c r="B174" s="6" t="s">
        <v>1118</v>
      </c>
      <c r="C174" s="6" t="s">
        <v>48</v>
      </c>
      <c r="D174" s="6" t="s">
        <v>1119</v>
      </c>
      <c r="E174" s="6" t="s">
        <v>35</v>
      </c>
      <c r="F174" s="6" t="s">
        <v>787</v>
      </c>
      <c r="G174" s="6" t="s">
        <v>966</v>
      </c>
      <c r="H174" s="6" t="s">
        <v>967</v>
      </c>
      <c r="I174" s="6" t="s">
        <v>1120</v>
      </c>
      <c r="J174" s="6" t="s">
        <v>1121</v>
      </c>
      <c r="K174" s="6" t="s">
        <v>1106</v>
      </c>
      <c r="L174" s="12" t="s">
        <v>43</v>
      </c>
    </row>
    <row r="175" ht="15.75" hidden="1" customHeight="1">
      <c r="A175" s="6" t="s">
        <v>1122</v>
      </c>
      <c r="B175" s="6" t="s">
        <v>1123</v>
      </c>
      <c r="C175" s="6" t="s">
        <v>48</v>
      </c>
      <c r="D175" s="6" t="s">
        <v>1124</v>
      </c>
      <c r="E175" s="6" t="s">
        <v>35</v>
      </c>
      <c r="F175" s="6" t="s">
        <v>787</v>
      </c>
      <c r="G175" s="6" t="s">
        <v>966</v>
      </c>
      <c r="H175" s="6" t="s">
        <v>967</v>
      </c>
      <c r="I175" s="6" t="s">
        <v>1125</v>
      </c>
      <c r="J175" s="6" t="s">
        <v>1126</v>
      </c>
      <c r="K175" s="6" t="s">
        <v>1106</v>
      </c>
      <c r="L175" s="12" t="s">
        <v>43</v>
      </c>
    </row>
    <row r="176" ht="15.75" hidden="1" customHeight="1">
      <c r="A176" s="6" t="s">
        <v>1127</v>
      </c>
      <c r="B176" s="6" t="s">
        <v>1128</v>
      </c>
      <c r="C176" s="6" t="s">
        <v>48</v>
      </c>
      <c r="D176" s="6" t="s">
        <v>1129</v>
      </c>
      <c r="E176" s="6" t="s">
        <v>35</v>
      </c>
      <c r="F176" s="6" t="s">
        <v>787</v>
      </c>
      <c r="G176" s="6" t="s">
        <v>966</v>
      </c>
      <c r="H176" s="6" t="s">
        <v>967</v>
      </c>
      <c r="I176" s="6" t="s">
        <v>1130</v>
      </c>
      <c r="J176" s="6" t="s">
        <v>1131</v>
      </c>
      <c r="K176" s="6" t="s">
        <v>1106</v>
      </c>
      <c r="L176" s="14" t="s">
        <v>55</v>
      </c>
    </row>
    <row r="177" ht="15.75" hidden="1" customHeight="1">
      <c r="A177" s="6" t="s">
        <v>1132</v>
      </c>
      <c r="B177" s="6" t="s">
        <v>1133</v>
      </c>
      <c r="C177" s="6" t="s">
        <v>48</v>
      </c>
      <c r="D177" s="6" t="s">
        <v>1134</v>
      </c>
      <c r="E177" s="6" t="s">
        <v>35</v>
      </c>
      <c r="F177" s="6" t="s">
        <v>787</v>
      </c>
      <c r="G177" s="6" t="s">
        <v>966</v>
      </c>
      <c r="H177" s="6" t="s">
        <v>967</v>
      </c>
      <c r="I177" s="6" t="s">
        <v>1135</v>
      </c>
      <c r="J177" s="6" t="s">
        <v>1136</v>
      </c>
      <c r="K177" s="6" t="s">
        <v>1106</v>
      </c>
      <c r="L177" s="14" t="s">
        <v>55</v>
      </c>
    </row>
    <row r="178" ht="15.75" hidden="1" customHeight="1">
      <c r="A178" s="6" t="s">
        <v>1137</v>
      </c>
      <c r="B178" s="6" t="s">
        <v>1138</v>
      </c>
      <c r="C178" s="6" t="s">
        <v>48</v>
      </c>
      <c r="D178" s="6" t="s">
        <v>1139</v>
      </c>
      <c r="E178" s="6" t="s">
        <v>35</v>
      </c>
      <c r="F178" s="6" t="s">
        <v>787</v>
      </c>
      <c r="G178" s="6" t="s">
        <v>966</v>
      </c>
      <c r="H178" s="6" t="s">
        <v>967</v>
      </c>
      <c r="I178" s="6" t="s">
        <v>1140</v>
      </c>
      <c r="J178" s="6" t="s">
        <v>1141</v>
      </c>
      <c r="K178" s="6" t="s">
        <v>1106</v>
      </c>
      <c r="L178" s="14" t="s">
        <v>55</v>
      </c>
    </row>
    <row r="179" ht="15.75" hidden="1" customHeight="1">
      <c r="A179" s="6" t="s">
        <v>1142</v>
      </c>
      <c r="B179" s="6" t="s">
        <v>1143</v>
      </c>
      <c r="C179" s="6" t="s">
        <v>48</v>
      </c>
      <c r="D179" s="6" t="s">
        <v>1144</v>
      </c>
      <c r="E179" s="6" t="s">
        <v>35</v>
      </c>
      <c r="F179" s="6" t="s">
        <v>36</v>
      </c>
      <c r="G179" s="6" t="s">
        <v>572</v>
      </c>
      <c r="H179" s="6" t="s">
        <v>573</v>
      </c>
      <c r="I179" s="6" t="s">
        <v>1145</v>
      </c>
      <c r="J179" s="6" t="s">
        <v>1146</v>
      </c>
      <c r="K179" s="6" t="s">
        <v>1147</v>
      </c>
      <c r="L179" s="10" t="s">
        <v>609</v>
      </c>
    </row>
    <row r="180" ht="15.75" hidden="1" customHeight="1">
      <c r="A180" s="6" t="s">
        <v>1148</v>
      </c>
      <c r="B180" s="6" t="s">
        <v>1149</v>
      </c>
      <c r="C180" s="6" t="s">
        <v>48</v>
      </c>
      <c r="D180" s="6" t="s">
        <v>1150</v>
      </c>
      <c r="E180" s="6" t="s">
        <v>35</v>
      </c>
      <c r="F180" s="6" t="s">
        <v>36</v>
      </c>
      <c r="G180" s="6" t="s">
        <v>572</v>
      </c>
      <c r="H180" s="6" t="s">
        <v>573</v>
      </c>
      <c r="I180" s="6" t="s">
        <v>1151</v>
      </c>
      <c r="J180" s="6" t="s">
        <v>1152</v>
      </c>
      <c r="K180" s="6" t="s">
        <v>1147</v>
      </c>
      <c r="L180" s="10" t="s">
        <v>609</v>
      </c>
    </row>
    <row r="181" ht="15.75" hidden="1" customHeight="1">
      <c r="A181" s="6" t="s">
        <v>1153</v>
      </c>
      <c r="B181" s="6" t="s">
        <v>1154</v>
      </c>
      <c r="C181" s="6" t="s">
        <v>48</v>
      </c>
      <c r="D181" s="6" t="s">
        <v>1155</v>
      </c>
      <c r="E181" s="6" t="s">
        <v>35</v>
      </c>
      <c r="F181" s="6" t="s">
        <v>36</v>
      </c>
      <c r="G181" s="6" t="s">
        <v>572</v>
      </c>
      <c r="H181" s="6" t="s">
        <v>573</v>
      </c>
      <c r="I181" s="6" t="s">
        <v>1156</v>
      </c>
      <c r="J181" s="6" t="s">
        <v>1157</v>
      </c>
      <c r="K181" s="6" t="s">
        <v>1147</v>
      </c>
      <c r="L181" s="10" t="s">
        <v>609</v>
      </c>
    </row>
    <row r="182" ht="15.75" hidden="1" customHeight="1">
      <c r="A182" s="6" t="s">
        <v>1158</v>
      </c>
      <c r="B182" s="6" t="s">
        <v>1159</v>
      </c>
      <c r="C182" s="6" t="s">
        <v>48</v>
      </c>
      <c r="D182" s="6" t="s">
        <v>1160</v>
      </c>
      <c r="E182" s="6" t="s">
        <v>35</v>
      </c>
      <c r="F182" s="6" t="s">
        <v>36</v>
      </c>
      <c r="G182" s="6" t="s">
        <v>572</v>
      </c>
      <c r="H182" s="6" t="s">
        <v>573</v>
      </c>
      <c r="I182" s="6" t="s">
        <v>1161</v>
      </c>
      <c r="J182" s="6" t="s">
        <v>1162</v>
      </c>
      <c r="K182" s="6" t="s">
        <v>1147</v>
      </c>
      <c r="L182" s="10" t="s">
        <v>609</v>
      </c>
    </row>
    <row r="183" ht="15.75" hidden="1" customHeight="1">
      <c r="A183" s="6" t="s">
        <v>1163</v>
      </c>
      <c r="B183" s="6" t="s">
        <v>1164</v>
      </c>
      <c r="C183" s="6" t="s">
        <v>48</v>
      </c>
      <c r="D183" s="6" t="s">
        <v>1165</v>
      </c>
      <c r="E183" s="6" t="s">
        <v>35</v>
      </c>
      <c r="F183" s="6" t="s">
        <v>36</v>
      </c>
      <c r="G183" s="6" t="s">
        <v>572</v>
      </c>
      <c r="H183" s="6" t="s">
        <v>573</v>
      </c>
      <c r="I183" s="6" t="s">
        <v>1166</v>
      </c>
      <c r="J183" s="6" t="s">
        <v>1167</v>
      </c>
      <c r="K183" s="6" t="s">
        <v>1147</v>
      </c>
      <c r="L183" s="10" t="s">
        <v>609</v>
      </c>
    </row>
    <row r="184" ht="15.75" hidden="1" customHeight="1">
      <c r="A184" s="6" t="s">
        <v>1168</v>
      </c>
      <c r="B184" s="6" t="s">
        <v>1169</v>
      </c>
      <c r="C184" s="6" t="s">
        <v>48</v>
      </c>
      <c r="D184" s="6" t="s">
        <v>1170</v>
      </c>
      <c r="E184" s="6" t="s">
        <v>35</v>
      </c>
      <c r="F184" s="6" t="s">
        <v>667</v>
      </c>
      <c r="G184" s="6" t="s">
        <v>1171</v>
      </c>
      <c r="H184" s="6" t="s">
        <v>1172</v>
      </c>
      <c r="I184" s="6" t="s">
        <v>1173</v>
      </c>
      <c r="J184" s="6" t="s">
        <v>1174</v>
      </c>
      <c r="K184" s="6" t="s">
        <v>534</v>
      </c>
      <c r="L184" s="14" t="s">
        <v>55</v>
      </c>
    </row>
    <row r="185" ht="15.75" hidden="1" customHeight="1">
      <c r="A185" s="6" t="s">
        <v>1175</v>
      </c>
      <c r="B185" s="6" t="s">
        <v>1176</v>
      </c>
      <c r="C185" s="6" t="s">
        <v>48</v>
      </c>
      <c r="D185" s="6" t="s">
        <v>1177</v>
      </c>
      <c r="E185" s="6" t="s">
        <v>35</v>
      </c>
      <c r="F185" s="6" t="s">
        <v>667</v>
      </c>
      <c r="G185" s="6" t="s">
        <v>1171</v>
      </c>
      <c r="H185" s="6" t="s">
        <v>1172</v>
      </c>
      <c r="I185" s="6" t="s">
        <v>1178</v>
      </c>
      <c r="J185" s="6" t="s">
        <v>1179</v>
      </c>
      <c r="K185" s="6" t="s">
        <v>534</v>
      </c>
      <c r="L185" s="10" t="s">
        <v>609</v>
      </c>
    </row>
    <row r="186" ht="15.75" hidden="1" customHeight="1">
      <c r="A186" s="6" t="s">
        <v>1180</v>
      </c>
      <c r="B186" s="6" t="s">
        <v>1181</v>
      </c>
      <c r="C186" s="6" t="s">
        <v>48</v>
      </c>
      <c r="D186" s="6" t="s">
        <v>1182</v>
      </c>
      <c r="E186" s="6" t="s">
        <v>35</v>
      </c>
      <c r="F186" s="6" t="s">
        <v>787</v>
      </c>
      <c r="G186" s="6" t="s">
        <v>966</v>
      </c>
      <c r="H186" s="6" t="s">
        <v>967</v>
      </c>
      <c r="I186" s="6" t="s">
        <v>1183</v>
      </c>
      <c r="J186" s="6" t="s">
        <v>1184</v>
      </c>
      <c r="K186" s="6" t="s">
        <v>534</v>
      </c>
      <c r="L186" s="12" t="s">
        <v>43</v>
      </c>
    </row>
    <row r="187" ht="15.75" hidden="1" customHeight="1">
      <c r="A187" s="6" t="s">
        <v>1185</v>
      </c>
      <c r="B187" s="6" t="s">
        <v>1186</v>
      </c>
      <c r="C187" s="6" t="s">
        <v>48</v>
      </c>
      <c r="D187" s="6" t="s">
        <v>1187</v>
      </c>
      <c r="E187" s="6" t="s">
        <v>35</v>
      </c>
      <c r="F187" s="6" t="s">
        <v>787</v>
      </c>
      <c r="G187" s="6" t="s">
        <v>966</v>
      </c>
      <c r="H187" s="6" t="s">
        <v>967</v>
      </c>
      <c r="I187" s="6" t="s">
        <v>1188</v>
      </c>
      <c r="J187" s="6" t="s">
        <v>1189</v>
      </c>
      <c r="K187" s="6" t="s">
        <v>534</v>
      </c>
      <c r="L187" s="12" t="s">
        <v>43</v>
      </c>
    </row>
    <row r="188" ht="15.75" hidden="1" customHeight="1">
      <c r="A188" s="6" t="s">
        <v>1190</v>
      </c>
      <c r="B188" s="6" t="s">
        <v>1191</v>
      </c>
      <c r="C188" s="6" t="s">
        <v>48</v>
      </c>
      <c r="D188" s="6" t="s">
        <v>1192</v>
      </c>
      <c r="E188" s="6" t="s">
        <v>35</v>
      </c>
      <c r="F188" s="6" t="s">
        <v>787</v>
      </c>
      <c r="G188" s="6" t="s">
        <v>966</v>
      </c>
      <c r="H188" s="6" t="s">
        <v>967</v>
      </c>
      <c r="I188" s="6" t="s">
        <v>1193</v>
      </c>
      <c r="J188" s="6" t="s">
        <v>1194</v>
      </c>
      <c r="K188" s="6" t="s">
        <v>534</v>
      </c>
      <c r="L188" s="14" t="s">
        <v>55</v>
      </c>
    </row>
    <row r="189" ht="15.75" hidden="1" customHeight="1">
      <c r="A189" s="6" t="s">
        <v>1195</v>
      </c>
      <c r="B189" s="6" t="s">
        <v>1196</v>
      </c>
      <c r="C189" s="6" t="s">
        <v>48</v>
      </c>
      <c r="D189" s="6" t="s">
        <v>1197</v>
      </c>
      <c r="E189" s="6" t="s">
        <v>35</v>
      </c>
      <c r="F189" s="6" t="s">
        <v>787</v>
      </c>
      <c r="G189" s="6" t="s">
        <v>966</v>
      </c>
      <c r="H189" s="6" t="s">
        <v>967</v>
      </c>
      <c r="I189" s="6" t="s">
        <v>1198</v>
      </c>
      <c r="J189" s="6" t="s">
        <v>1199</v>
      </c>
      <c r="K189" s="6" t="s">
        <v>534</v>
      </c>
      <c r="L189" s="14" t="s">
        <v>55</v>
      </c>
    </row>
    <row r="190" ht="15.75" hidden="1" customHeight="1">
      <c r="A190" s="6" t="s">
        <v>1200</v>
      </c>
      <c r="B190" s="6" t="s">
        <v>1201</v>
      </c>
      <c r="C190" s="6" t="s">
        <v>48</v>
      </c>
      <c r="D190" s="6" t="s">
        <v>1202</v>
      </c>
      <c r="E190" s="6" t="s">
        <v>35</v>
      </c>
      <c r="F190" s="6" t="s">
        <v>787</v>
      </c>
      <c r="G190" s="6" t="s">
        <v>966</v>
      </c>
      <c r="H190" s="6" t="s">
        <v>967</v>
      </c>
      <c r="I190" s="6" t="s">
        <v>1203</v>
      </c>
      <c r="J190" s="6" t="s">
        <v>1204</v>
      </c>
      <c r="K190" s="6" t="s">
        <v>534</v>
      </c>
      <c r="L190" s="12" t="s">
        <v>43</v>
      </c>
    </row>
    <row r="191" ht="15.75" hidden="1" customHeight="1">
      <c r="A191" s="6" t="s">
        <v>1205</v>
      </c>
      <c r="B191" s="6" t="s">
        <v>1206</v>
      </c>
      <c r="C191" s="6" t="s">
        <v>48</v>
      </c>
      <c r="D191" s="6" t="s">
        <v>1207</v>
      </c>
      <c r="E191" s="6" t="s">
        <v>339</v>
      </c>
      <c r="F191" s="6" t="s">
        <v>603</v>
      </c>
      <c r="G191" s="6" t="s">
        <v>604</v>
      </c>
      <c r="H191" s="6" t="s">
        <v>605</v>
      </c>
      <c r="I191" s="6" t="s">
        <v>1208</v>
      </c>
      <c r="J191" s="6" t="s">
        <v>1209</v>
      </c>
      <c r="K191" s="6" t="s">
        <v>1210</v>
      </c>
      <c r="L191" s="10" t="s">
        <v>609</v>
      </c>
    </row>
    <row r="192" ht="15.75" hidden="1" customHeight="1">
      <c r="A192" s="6" t="s">
        <v>1211</v>
      </c>
      <c r="B192" s="6" t="s">
        <v>1212</v>
      </c>
      <c r="C192" s="6" t="s">
        <v>48</v>
      </c>
      <c r="D192" s="6" t="s">
        <v>1213</v>
      </c>
      <c r="E192" s="6" t="s">
        <v>339</v>
      </c>
      <c r="F192" s="6" t="s">
        <v>603</v>
      </c>
      <c r="G192" s="6" t="s">
        <v>604</v>
      </c>
      <c r="H192" s="6" t="s">
        <v>605</v>
      </c>
      <c r="I192" s="6" t="s">
        <v>1214</v>
      </c>
      <c r="J192" s="6" t="s">
        <v>1215</v>
      </c>
      <c r="K192" s="6" t="s">
        <v>1210</v>
      </c>
      <c r="L192" s="10" t="s">
        <v>609</v>
      </c>
    </row>
    <row r="193" ht="15.75" hidden="1" customHeight="1">
      <c r="A193" s="6" t="s">
        <v>1216</v>
      </c>
      <c r="B193" s="6" t="s">
        <v>1217</v>
      </c>
      <c r="C193" s="6" t="s">
        <v>48</v>
      </c>
      <c r="D193" s="6" t="s">
        <v>1218</v>
      </c>
      <c r="E193" s="6" t="s">
        <v>339</v>
      </c>
      <c r="F193" s="6" t="s">
        <v>603</v>
      </c>
      <c r="G193" s="6" t="s">
        <v>604</v>
      </c>
      <c r="H193" s="6" t="s">
        <v>605</v>
      </c>
      <c r="I193" s="6" t="s">
        <v>1219</v>
      </c>
      <c r="J193" s="6" t="s">
        <v>1220</v>
      </c>
      <c r="K193" s="6" t="s">
        <v>1210</v>
      </c>
      <c r="L193" s="10" t="s">
        <v>609</v>
      </c>
    </row>
    <row r="194" ht="15.75" hidden="1" customHeight="1">
      <c r="A194" s="6" t="s">
        <v>1221</v>
      </c>
      <c r="B194" s="6" t="s">
        <v>1222</v>
      </c>
      <c r="C194" s="6" t="s">
        <v>48</v>
      </c>
      <c r="D194" s="6" t="s">
        <v>1223</v>
      </c>
      <c r="E194" s="6" t="s">
        <v>339</v>
      </c>
      <c r="F194" s="6" t="s">
        <v>603</v>
      </c>
      <c r="G194" s="6" t="s">
        <v>604</v>
      </c>
      <c r="H194" s="6" t="s">
        <v>605</v>
      </c>
      <c r="I194" s="6" t="s">
        <v>1224</v>
      </c>
      <c r="J194" s="6" t="s">
        <v>1225</v>
      </c>
      <c r="K194" s="6" t="s">
        <v>1210</v>
      </c>
      <c r="L194" s="10" t="s">
        <v>609</v>
      </c>
    </row>
    <row r="195" ht="15.75" hidden="1" customHeight="1">
      <c r="A195" s="6" t="s">
        <v>1226</v>
      </c>
      <c r="B195" s="6" t="s">
        <v>1227</v>
      </c>
      <c r="C195" s="6" t="s">
        <v>48</v>
      </c>
      <c r="D195" s="6" t="s">
        <v>1228</v>
      </c>
      <c r="E195" s="6" t="s">
        <v>339</v>
      </c>
      <c r="F195" s="6" t="s">
        <v>603</v>
      </c>
      <c r="G195" s="6" t="s">
        <v>604</v>
      </c>
      <c r="H195" s="6" t="s">
        <v>605</v>
      </c>
      <c r="I195" s="6" t="s">
        <v>1229</v>
      </c>
      <c r="J195" s="6" t="s">
        <v>1230</v>
      </c>
      <c r="K195" s="6" t="s">
        <v>1231</v>
      </c>
      <c r="L195" s="10" t="s">
        <v>609</v>
      </c>
    </row>
    <row r="196" ht="15.75" hidden="1" customHeight="1">
      <c r="A196" s="6" t="s">
        <v>1232</v>
      </c>
      <c r="B196" s="6" t="s">
        <v>1233</v>
      </c>
      <c r="C196" s="6" t="s">
        <v>48</v>
      </c>
      <c r="D196" s="6" t="s">
        <v>1234</v>
      </c>
      <c r="E196" s="6" t="s">
        <v>339</v>
      </c>
      <c r="F196" s="6" t="s">
        <v>603</v>
      </c>
      <c r="G196" s="6" t="s">
        <v>604</v>
      </c>
      <c r="H196" s="6" t="s">
        <v>605</v>
      </c>
      <c r="I196" s="6" t="s">
        <v>1235</v>
      </c>
      <c r="J196" s="6" t="s">
        <v>1236</v>
      </c>
      <c r="K196" s="6" t="s">
        <v>1231</v>
      </c>
      <c r="L196" s="10" t="s">
        <v>609</v>
      </c>
    </row>
    <row r="197" ht="15.75" hidden="1" customHeight="1">
      <c r="A197" s="6" t="s">
        <v>1237</v>
      </c>
      <c r="B197" s="6" t="s">
        <v>1238</v>
      </c>
      <c r="C197" s="6" t="s">
        <v>48</v>
      </c>
      <c r="D197" s="6" t="s">
        <v>1239</v>
      </c>
      <c r="E197" s="6" t="s">
        <v>339</v>
      </c>
      <c r="F197" s="6" t="s">
        <v>603</v>
      </c>
      <c r="G197" s="6" t="s">
        <v>604</v>
      </c>
      <c r="H197" s="6" t="s">
        <v>605</v>
      </c>
      <c r="I197" s="6" t="s">
        <v>1240</v>
      </c>
      <c r="J197" s="6" t="s">
        <v>1241</v>
      </c>
      <c r="K197" s="6" t="s">
        <v>1231</v>
      </c>
      <c r="L197" s="10" t="s">
        <v>609</v>
      </c>
    </row>
    <row r="198" ht="15.75" hidden="1" customHeight="1">
      <c r="A198" s="6" t="s">
        <v>1242</v>
      </c>
      <c r="B198" s="6" t="s">
        <v>1243</v>
      </c>
      <c r="C198" s="6" t="s">
        <v>48</v>
      </c>
      <c r="D198" s="6" t="s">
        <v>1244</v>
      </c>
      <c r="E198" s="6" t="s">
        <v>339</v>
      </c>
      <c r="F198" s="6" t="s">
        <v>1037</v>
      </c>
      <c r="G198" s="6" t="s">
        <v>1245</v>
      </c>
      <c r="H198" s="6" t="s">
        <v>1246</v>
      </c>
      <c r="I198" s="6" t="s">
        <v>1247</v>
      </c>
      <c r="J198" s="6" t="s">
        <v>1248</v>
      </c>
      <c r="K198" s="6" t="s">
        <v>534</v>
      </c>
      <c r="L198" s="10" t="s">
        <v>609</v>
      </c>
    </row>
    <row r="199" ht="15.75" hidden="1" customHeight="1">
      <c r="A199" s="6" t="s">
        <v>1249</v>
      </c>
      <c r="B199" s="6" t="s">
        <v>1250</v>
      </c>
      <c r="C199" s="6" t="s">
        <v>48</v>
      </c>
      <c r="D199" s="6" t="s">
        <v>1251</v>
      </c>
      <c r="E199" s="6" t="s">
        <v>339</v>
      </c>
      <c r="F199" s="6" t="s">
        <v>1037</v>
      </c>
      <c r="G199" s="6" t="s">
        <v>1245</v>
      </c>
      <c r="H199" s="6" t="s">
        <v>1246</v>
      </c>
      <c r="I199" s="6" t="s">
        <v>1252</v>
      </c>
      <c r="J199" s="6" t="s">
        <v>1253</v>
      </c>
      <c r="K199" s="6" t="s">
        <v>534</v>
      </c>
      <c r="L199" s="10" t="s">
        <v>609</v>
      </c>
    </row>
    <row r="200" ht="15.75" hidden="1" customHeight="1">
      <c r="A200" s="6" t="s">
        <v>1254</v>
      </c>
      <c r="B200" s="6" t="s">
        <v>1255</v>
      </c>
      <c r="C200" s="6" t="s">
        <v>48</v>
      </c>
      <c r="D200" s="6" t="s">
        <v>1256</v>
      </c>
      <c r="E200" s="6" t="s">
        <v>339</v>
      </c>
      <c r="F200" s="6" t="s">
        <v>1037</v>
      </c>
      <c r="G200" s="6" t="s">
        <v>1245</v>
      </c>
      <c r="H200" s="6" t="s">
        <v>1246</v>
      </c>
      <c r="I200" s="6" t="s">
        <v>1257</v>
      </c>
      <c r="J200" s="6" t="s">
        <v>1258</v>
      </c>
      <c r="K200" s="6" t="s">
        <v>534</v>
      </c>
      <c r="L200" s="10" t="s">
        <v>609</v>
      </c>
    </row>
    <row r="201" ht="15.75" hidden="1" customHeight="1">
      <c r="A201" s="6" t="s">
        <v>1259</v>
      </c>
      <c r="B201" s="6" t="s">
        <v>1260</v>
      </c>
      <c r="C201" s="6" t="s">
        <v>48</v>
      </c>
      <c r="D201" s="6" t="s">
        <v>1261</v>
      </c>
      <c r="E201" s="6" t="s">
        <v>339</v>
      </c>
      <c r="F201" s="6" t="s">
        <v>1037</v>
      </c>
      <c r="G201" s="6" t="s">
        <v>1245</v>
      </c>
      <c r="H201" s="6" t="s">
        <v>1246</v>
      </c>
      <c r="I201" s="6" t="s">
        <v>1262</v>
      </c>
      <c r="J201" s="6" t="s">
        <v>1263</v>
      </c>
      <c r="K201" s="6" t="s">
        <v>534</v>
      </c>
      <c r="L201" s="10" t="s">
        <v>609</v>
      </c>
    </row>
    <row r="202" ht="15.75" hidden="1" customHeight="1">
      <c r="A202" s="6" t="s">
        <v>1264</v>
      </c>
      <c r="B202" s="6" t="s">
        <v>1265</v>
      </c>
      <c r="C202" s="6" t="s">
        <v>57</v>
      </c>
      <c r="D202" s="6" t="s">
        <v>21</v>
      </c>
      <c r="E202" s="6" t="s">
        <v>22</v>
      </c>
      <c r="F202" s="6" t="s">
        <v>23</v>
      </c>
      <c r="G202" s="6" t="s">
        <v>24</v>
      </c>
      <c r="H202" s="6" t="s">
        <v>25</v>
      </c>
      <c r="I202" s="6" t="s">
        <v>1266</v>
      </c>
      <c r="J202" s="6" t="s">
        <v>1267</v>
      </c>
      <c r="K202" s="6" t="s">
        <v>29</v>
      </c>
      <c r="L202" s="10" t="s">
        <v>30</v>
      </c>
    </row>
    <row r="203" ht="15.75" hidden="1" customHeight="1">
      <c r="A203" s="6" t="s">
        <v>1268</v>
      </c>
      <c r="B203" s="6" t="s">
        <v>1269</v>
      </c>
      <c r="C203" s="6" t="s">
        <v>57</v>
      </c>
      <c r="D203" s="6" t="s">
        <v>1270</v>
      </c>
      <c r="E203" s="6" t="s">
        <v>331</v>
      </c>
      <c r="F203" s="6" t="s">
        <v>1271</v>
      </c>
      <c r="G203" s="6" t="s">
        <v>1272</v>
      </c>
      <c r="H203" s="6" t="s">
        <v>1273</v>
      </c>
      <c r="I203" s="6" t="s">
        <v>1274</v>
      </c>
      <c r="J203" s="6" t="s">
        <v>1275</v>
      </c>
      <c r="K203" s="6" t="s">
        <v>29</v>
      </c>
      <c r="L203" s="10" t="s">
        <v>30</v>
      </c>
    </row>
    <row r="204" ht="15.75" hidden="1" customHeight="1">
      <c r="A204" s="6" t="s">
        <v>1276</v>
      </c>
      <c r="B204" s="6" t="s">
        <v>1277</v>
      </c>
      <c r="C204" s="6" t="s">
        <v>57</v>
      </c>
      <c r="D204" s="6" t="s">
        <v>1278</v>
      </c>
      <c r="E204" s="6" t="s">
        <v>331</v>
      </c>
      <c r="F204" s="6" t="s">
        <v>1271</v>
      </c>
      <c r="G204" s="6" t="s">
        <v>1272</v>
      </c>
      <c r="H204" s="6" t="s">
        <v>1273</v>
      </c>
      <c r="I204" s="6" t="s">
        <v>1279</v>
      </c>
      <c r="J204" s="6" t="s">
        <v>1280</v>
      </c>
      <c r="K204" s="6" t="s">
        <v>29</v>
      </c>
      <c r="L204" s="10" t="s">
        <v>30</v>
      </c>
    </row>
    <row r="205" ht="15.75" hidden="1" customHeight="1">
      <c r="A205" s="6" t="s">
        <v>1281</v>
      </c>
      <c r="B205" s="6" t="s">
        <v>1282</v>
      </c>
      <c r="C205" s="6" t="s">
        <v>57</v>
      </c>
      <c r="D205" s="6" t="s">
        <v>1283</v>
      </c>
      <c r="E205" s="6" t="s">
        <v>331</v>
      </c>
      <c r="F205" s="6" t="s">
        <v>1271</v>
      </c>
      <c r="G205" s="6" t="s">
        <v>1272</v>
      </c>
      <c r="H205" s="6" t="s">
        <v>1273</v>
      </c>
      <c r="I205" s="6" t="s">
        <v>1284</v>
      </c>
      <c r="J205" s="6" t="s">
        <v>1285</v>
      </c>
      <c r="K205" s="6" t="s">
        <v>29</v>
      </c>
      <c r="L205" s="10" t="s">
        <v>30</v>
      </c>
    </row>
    <row r="206" ht="15.75" hidden="1" customHeight="1">
      <c r="A206" s="6" t="s">
        <v>1286</v>
      </c>
      <c r="B206" s="6" t="s">
        <v>1287</v>
      </c>
      <c r="C206" s="6" t="s">
        <v>57</v>
      </c>
      <c r="D206" s="6" t="s">
        <v>1288</v>
      </c>
      <c r="E206" s="6" t="s">
        <v>331</v>
      </c>
      <c r="F206" s="6" t="s">
        <v>1271</v>
      </c>
      <c r="G206" s="6" t="s">
        <v>1272</v>
      </c>
      <c r="H206" s="6" t="s">
        <v>1273</v>
      </c>
      <c r="I206" s="6" t="s">
        <v>1289</v>
      </c>
      <c r="J206" s="6" t="s">
        <v>1290</v>
      </c>
      <c r="K206" s="6" t="s">
        <v>29</v>
      </c>
      <c r="L206" s="10" t="s">
        <v>30</v>
      </c>
    </row>
    <row r="207" ht="15.75" customHeight="1">
      <c r="A207" s="6" t="s">
        <v>1291</v>
      </c>
      <c r="B207" s="6" t="s">
        <v>1292</v>
      </c>
      <c r="C207" s="6" t="s">
        <v>57</v>
      </c>
      <c r="D207" s="6" t="s">
        <v>1293</v>
      </c>
      <c r="E207" s="6" t="s">
        <v>35</v>
      </c>
      <c r="F207" s="6" t="s">
        <v>271</v>
      </c>
      <c r="G207" s="6" t="s">
        <v>272</v>
      </c>
      <c r="H207" s="6" t="s">
        <v>273</v>
      </c>
      <c r="I207" s="6" t="s">
        <v>1294</v>
      </c>
      <c r="J207" s="6" t="s">
        <v>1295</v>
      </c>
      <c r="K207" s="6" t="s">
        <v>276</v>
      </c>
      <c r="L207" s="14" t="s">
        <v>55</v>
      </c>
    </row>
    <row r="208" ht="15.75" customHeight="1">
      <c r="A208" s="6" t="s">
        <v>1296</v>
      </c>
      <c r="B208" s="6" t="s">
        <v>1297</v>
      </c>
      <c r="C208" s="6" t="s">
        <v>57</v>
      </c>
      <c r="D208" s="6" t="s">
        <v>1298</v>
      </c>
      <c r="E208" s="6" t="s">
        <v>35</v>
      </c>
      <c r="F208" s="6" t="s">
        <v>271</v>
      </c>
      <c r="G208" s="6" t="s">
        <v>272</v>
      </c>
      <c r="H208" s="6" t="s">
        <v>273</v>
      </c>
      <c r="I208" s="6" t="s">
        <v>1299</v>
      </c>
      <c r="J208" s="6" t="s">
        <v>1300</v>
      </c>
      <c r="K208" s="6" t="s">
        <v>276</v>
      </c>
      <c r="L208" s="10" t="s">
        <v>609</v>
      </c>
    </row>
    <row r="209" ht="15.75" customHeight="1">
      <c r="A209" s="6" t="s">
        <v>1301</v>
      </c>
      <c r="B209" s="6" t="s">
        <v>1302</v>
      </c>
      <c r="C209" s="6" t="s">
        <v>57</v>
      </c>
      <c r="D209" s="6" t="s">
        <v>1303</v>
      </c>
      <c r="E209" s="6" t="s">
        <v>35</v>
      </c>
      <c r="F209" s="6" t="s">
        <v>271</v>
      </c>
      <c r="G209" s="6" t="s">
        <v>272</v>
      </c>
      <c r="H209" s="6" t="s">
        <v>273</v>
      </c>
      <c r="I209" s="6" t="s">
        <v>1304</v>
      </c>
      <c r="J209" s="6" t="s">
        <v>1305</v>
      </c>
      <c r="K209" s="6" t="s">
        <v>276</v>
      </c>
      <c r="L209" s="10" t="s">
        <v>609</v>
      </c>
    </row>
    <row r="210" ht="15.75" hidden="1" customHeight="1">
      <c r="A210" s="6" t="s">
        <v>1306</v>
      </c>
      <c r="B210" s="6" t="s">
        <v>1307</v>
      </c>
      <c r="C210" s="6" t="s">
        <v>57</v>
      </c>
      <c r="D210" s="6" t="s">
        <v>1308</v>
      </c>
      <c r="E210" s="6" t="s">
        <v>331</v>
      </c>
      <c r="F210" s="6" t="s">
        <v>1309</v>
      </c>
      <c r="G210" s="6" t="s">
        <v>1310</v>
      </c>
      <c r="H210" s="6" t="s">
        <v>1311</v>
      </c>
      <c r="I210" s="6" t="s">
        <v>1312</v>
      </c>
      <c r="J210" s="6" t="s">
        <v>1313</v>
      </c>
      <c r="K210" s="6" t="s">
        <v>29</v>
      </c>
      <c r="L210" s="10" t="s">
        <v>30</v>
      </c>
    </row>
    <row r="211" ht="15.75" hidden="1" customHeight="1">
      <c r="A211" s="6" t="s">
        <v>1314</v>
      </c>
      <c r="B211" s="6" t="s">
        <v>1315</v>
      </c>
      <c r="C211" s="6" t="s">
        <v>57</v>
      </c>
      <c r="D211" s="6" t="s">
        <v>1316</v>
      </c>
      <c r="E211" s="6" t="s">
        <v>331</v>
      </c>
      <c r="F211" s="6" t="s">
        <v>1309</v>
      </c>
      <c r="G211" s="6" t="s">
        <v>1310</v>
      </c>
      <c r="H211" s="6" t="s">
        <v>1311</v>
      </c>
      <c r="I211" s="6" t="s">
        <v>1317</v>
      </c>
      <c r="J211" s="6" t="s">
        <v>1318</v>
      </c>
      <c r="K211" s="6" t="s">
        <v>29</v>
      </c>
      <c r="L211" s="10" t="s">
        <v>30</v>
      </c>
    </row>
    <row r="212" ht="15.75" hidden="1" customHeight="1">
      <c r="A212" s="6" t="s">
        <v>1319</v>
      </c>
      <c r="B212" s="6" t="s">
        <v>1320</v>
      </c>
      <c r="C212" s="6" t="s">
        <v>57</v>
      </c>
      <c r="D212" s="6" t="s">
        <v>1321</v>
      </c>
      <c r="E212" s="6" t="s">
        <v>22</v>
      </c>
      <c r="F212" s="6" t="s">
        <v>1322</v>
      </c>
      <c r="G212" s="6" t="s">
        <v>1323</v>
      </c>
      <c r="H212" s="6" t="s">
        <v>1324</v>
      </c>
      <c r="I212" s="6" t="s">
        <v>1325</v>
      </c>
      <c r="J212" s="6" t="s">
        <v>1326</v>
      </c>
      <c r="K212" s="6" t="s">
        <v>29</v>
      </c>
      <c r="L212" s="10" t="s">
        <v>30</v>
      </c>
    </row>
    <row r="213" ht="15.75" hidden="1" customHeight="1">
      <c r="A213" s="6" t="s">
        <v>1327</v>
      </c>
      <c r="B213" s="6" t="s">
        <v>1328</v>
      </c>
      <c r="C213" s="6" t="s">
        <v>57</v>
      </c>
      <c r="D213" s="6" t="s">
        <v>1329</v>
      </c>
      <c r="E213" s="6" t="s">
        <v>22</v>
      </c>
      <c r="F213" s="6" t="s">
        <v>1322</v>
      </c>
      <c r="G213" s="6" t="s">
        <v>1323</v>
      </c>
      <c r="H213" s="6" t="s">
        <v>1324</v>
      </c>
      <c r="I213" s="6" t="s">
        <v>1330</v>
      </c>
      <c r="J213" s="6" t="s">
        <v>1331</v>
      </c>
      <c r="K213" s="6" t="s">
        <v>29</v>
      </c>
      <c r="L213" s="10" t="s">
        <v>30</v>
      </c>
    </row>
    <row r="214" ht="15.75" hidden="1" customHeight="1">
      <c r="A214" s="6" t="s">
        <v>1332</v>
      </c>
      <c r="B214" s="6" t="s">
        <v>1333</v>
      </c>
      <c r="C214" s="6" t="s">
        <v>57</v>
      </c>
      <c r="D214" s="6" t="s">
        <v>1334</v>
      </c>
      <c r="E214" s="6" t="s">
        <v>22</v>
      </c>
      <c r="F214" s="6" t="s">
        <v>1322</v>
      </c>
      <c r="G214" s="6" t="s">
        <v>1323</v>
      </c>
      <c r="H214" s="6" t="s">
        <v>1324</v>
      </c>
      <c r="I214" s="6" t="s">
        <v>1335</v>
      </c>
      <c r="J214" s="6" t="s">
        <v>1336</v>
      </c>
      <c r="K214" s="6" t="s">
        <v>29</v>
      </c>
      <c r="L214" s="10" t="s">
        <v>30</v>
      </c>
    </row>
    <row r="215" ht="15.75" hidden="1" customHeight="1">
      <c r="A215" s="6" t="s">
        <v>1337</v>
      </c>
      <c r="B215" s="6" t="s">
        <v>1338</v>
      </c>
      <c r="C215" s="6" t="s">
        <v>57</v>
      </c>
      <c r="D215" s="6" t="s">
        <v>1339</v>
      </c>
      <c r="E215" s="6" t="s">
        <v>339</v>
      </c>
      <c r="F215" s="6" t="s">
        <v>603</v>
      </c>
      <c r="G215" s="6" t="s">
        <v>1005</v>
      </c>
      <c r="H215" s="6" t="s">
        <v>1006</v>
      </c>
      <c r="I215" s="6" t="s">
        <v>1340</v>
      </c>
      <c r="J215" s="6" t="s">
        <v>1341</v>
      </c>
      <c r="K215" s="6" t="s">
        <v>1106</v>
      </c>
      <c r="L215" s="14" t="s">
        <v>55</v>
      </c>
    </row>
    <row r="216" ht="15.75" hidden="1" customHeight="1">
      <c r="A216" s="6" t="s">
        <v>1342</v>
      </c>
      <c r="B216" s="6" t="s">
        <v>1343</v>
      </c>
      <c r="C216" s="6" t="s">
        <v>57</v>
      </c>
      <c r="D216" s="6" t="s">
        <v>1344</v>
      </c>
      <c r="E216" s="6" t="s">
        <v>339</v>
      </c>
      <c r="F216" s="6" t="s">
        <v>603</v>
      </c>
      <c r="G216" s="6" t="s">
        <v>1005</v>
      </c>
      <c r="H216" s="6" t="s">
        <v>1006</v>
      </c>
      <c r="I216" s="6" t="s">
        <v>1345</v>
      </c>
      <c r="J216" s="6" t="s">
        <v>1346</v>
      </c>
      <c r="K216" s="6" t="s">
        <v>1106</v>
      </c>
      <c r="L216" s="10" t="s">
        <v>609</v>
      </c>
    </row>
    <row r="217" ht="15.75" hidden="1" customHeight="1">
      <c r="A217" s="6" t="s">
        <v>1347</v>
      </c>
      <c r="B217" s="6" t="s">
        <v>1348</v>
      </c>
      <c r="C217" s="6" t="s">
        <v>57</v>
      </c>
      <c r="D217" s="6" t="s">
        <v>1349</v>
      </c>
      <c r="E217" s="6" t="s">
        <v>339</v>
      </c>
      <c r="F217" s="6" t="s">
        <v>603</v>
      </c>
      <c r="G217" s="6" t="s">
        <v>1005</v>
      </c>
      <c r="H217" s="6" t="s">
        <v>1006</v>
      </c>
      <c r="I217" s="6" t="s">
        <v>1350</v>
      </c>
      <c r="J217" s="6" t="s">
        <v>1351</v>
      </c>
      <c r="K217" s="6" t="s">
        <v>1106</v>
      </c>
      <c r="L217" s="10" t="s">
        <v>609</v>
      </c>
    </row>
    <row r="218" ht="15.75" hidden="1" customHeight="1">
      <c r="A218" s="6" t="s">
        <v>1352</v>
      </c>
      <c r="B218" s="6" t="s">
        <v>1353</v>
      </c>
      <c r="C218" s="6" t="s">
        <v>57</v>
      </c>
      <c r="D218" s="6" t="s">
        <v>1354</v>
      </c>
      <c r="E218" s="6" t="s">
        <v>339</v>
      </c>
      <c r="F218" s="6" t="s">
        <v>603</v>
      </c>
      <c r="G218" s="6" t="s">
        <v>1005</v>
      </c>
      <c r="H218" s="6" t="s">
        <v>1006</v>
      </c>
      <c r="I218" s="6" t="s">
        <v>1355</v>
      </c>
      <c r="J218" s="6" t="s">
        <v>1356</v>
      </c>
      <c r="K218" s="6" t="s">
        <v>1106</v>
      </c>
      <c r="L218" s="10" t="s">
        <v>609</v>
      </c>
    </row>
    <row r="219" ht="15.75" hidden="1" customHeight="1">
      <c r="A219" s="6" t="s">
        <v>1357</v>
      </c>
      <c r="B219" s="6" t="s">
        <v>1358</v>
      </c>
      <c r="C219" s="6" t="s">
        <v>57</v>
      </c>
      <c r="D219" s="6" t="s">
        <v>1359</v>
      </c>
      <c r="E219" s="6" t="s">
        <v>339</v>
      </c>
      <c r="F219" s="6" t="s">
        <v>603</v>
      </c>
      <c r="G219" s="6" t="s">
        <v>1005</v>
      </c>
      <c r="H219" s="6" t="s">
        <v>1006</v>
      </c>
      <c r="I219" s="6" t="s">
        <v>1360</v>
      </c>
      <c r="J219" s="6" t="s">
        <v>1361</v>
      </c>
      <c r="K219" s="6" t="s">
        <v>1106</v>
      </c>
      <c r="L219" s="10" t="s">
        <v>609</v>
      </c>
    </row>
    <row r="220" ht="15.75" hidden="1" customHeight="1">
      <c r="A220" s="6" t="s">
        <v>1362</v>
      </c>
      <c r="B220" s="6" t="s">
        <v>1363</v>
      </c>
      <c r="C220" s="6" t="s">
        <v>57</v>
      </c>
      <c r="D220" s="6" t="s">
        <v>1364</v>
      </c>
      <c r="E220" s="6" t="s">
        <v>339</v>
      </c>
      <c r="F220" s="6" t="s">
        <v>603</v>
      </c>
      <c r="G220" s="6" t="s">
        <v>1005</v>
      </c>
      <c r="H220" s="6" t="s">
        <v>1006</v>
      </c>
      <c r="I220" s="6" t="s">
        <v>1365</v>
      </c>
      <c r="J220" s="6" t="s">
        <v>1366</v>
      </c>
      <c r="K220" s="6" t="s">
        <v>1106</v>
      </c>
      <c r="L220" s="10" t="s">
        <v>609</v>
      </c>
    </row>
    <row r="221" ht="15.75" hidden="1" customHeight="1">
      <c r="A221" s="6" t="s">
        <v>1367</v>
      </c>
      <c r="B221" s="6" t="s">
        <v>1368</v>
      </c>
      <c r="C221" s="6" t="s">
        <v>57</v>
      </c>
      <c r="D221" s="6" t="s">
        <v>1369</v>
      </c>
      <c r="E221" s="6" t="s">
        <v>331</v>
      </c>
      <c r="F221" s="6" t="s">
        <v>1309</v>
      </c>
      <c r="G221" s="6" t="s">
        <v>1370</v>
      </c>
      <c r="H221" s="6" t="s">
        <v>1371</v>
      </c>
      <c r="I221" s="6" t="s">
        <v>1372</v>
      </c>
      <c r="J221" s="6" t="s">
        <v>1373</v>
      </c>
      <c r="K221" s="6" t="s">
        <v>29</v>
      </c>
      <c r="L221" s="10" t="s">
        <v>30</v>
      </c>
    </row>
    <row r="222" ht="15.75" hidden="1" customHeight="1">
      <c r="A222" s="6" t="s">
        <v>1374</v>
      </c>
      <c r="B222" s="6" t="s">
        <v>1375</v>
      </c>
      <c r="C222" s="6" t="s">
        <v>57</v>
      </c>
      <c r="D222" s="6" t="s">
        <v>1376</v>
      </c>
      <c r="E222" s="6" t="s">
        <v>331</v>
      </c>
      <c r="F222" s="6" t="s">
        <v>1309</v>
      </c>
      <c r="G222" s="6" t="s">
        <v>1370</v>
      </c>
      <c r="H222" s="6" t="s">
        <v>1371</v>
      </c>
      <c r="I222" s="6" t="s">
        <v>1377</v>
      </c>
      <c r="J222" s="6" t="s">
        <v>1378</v>
      </c>
      <c r="K222" s="6" t="s">
        <v>29</v>
      </c>
      <c r="L222" s="10" t="s">
        <v>30</v>
      </c>
    </row>
    <row r="223" ht="15.75" hidden="1" customHeight="1">
      <c r="A223" s="6" t="s">
        <v>1379</v>
      </c>
      <c r="B223" s="6" t="s">
        <v>1380</v>
      </c>
      <c r="C223" s="6" t="s">
        <v>57</v>
      </c>
      <c r="D223" s="6" t="s">
        <v>1381</v>
      </c>
      <c r="E223" s="6" t="s">
        <v>331</v>
      </c>
      <c r="F223" s="6" t="s">
        <v>1309</v>
      </c>
      <c r="G223" s="6" t="s">
        <v>1370</v>
      </c>
      <c r="H223" s="6" t="s">
        <v>1371</v>
      </c>
      <c r="I223" s="6" t="s">
        <v>1382</v>
      </c>
      <c r="J223" s="6" t="s">
        <v>1383</v>
      </c>
      <c r="K223" s="6" t="s">
        <v>29</v>
      </c>
      <c r="L223" s="10" t="s">
        <v>30</v>
      </c>
    </row>
    <row r="224" ht="15.75" hidden="1" customHeight="1">
      <c r="A224" s="6" t="s">
        <v>1384</v>
      </c>
      <c r="B224" s="6" t="s">
        <v>1385</v>
      </c>
      <c r="C224" s="6" t="s">
        <v>57</v>
      </c>
      <c r="D224" s="6" t="s">
        <v>1386</v>
      </c>
      <c r="E224" s="6" t="s">
        <v>331</v>
      </c>
      <c r="F224" s="6" t="s">
        <v>1309</v>
      </c>
      <c r="G224" s="6" t="s">
        <v>1370</v>
      </c>
      <c r="H224" s="6" t="s">
        <v>1371</v>
      </c>
      <c r="I224" s="6" t="s">
        <v>1387</v>
      </c>
      <c r="J224" s="6" t="s">
        <v>1388</v>
      </c>
      <c r="K224" s="6" t="s">
        <v>29</v>
      </c>
      <c r="L224" s="10" t="s">
        <v>30</v>
      </c>
    </row>
    <row r="225" ht="15.75" hidden="1" customHeight="1">
      <c r="A225" s="6" t="s">
        <v>1389</v>
      </c>
      <c r="B225" s="6" t="s">
        <v>1390</v>
      </c>
      <c r="C225" s="6" t="s">
        <v>57</v>
      </c>
      <c r="D225" s="6" t="s">
        <v>1391</v>
      </c>
      <c r="E225" s="6" t="s">
        <v>35</v>
      </c>
      <c r="F225" s="6" t="s">
        <v>271</v>
      </c>
      <c r="G225" s="6" t="s">
        <v>272</v>
      </c>
      <c r="H225" s="6" t="s">
        <v>273</v>
      </c>
      <c r="I225" s="6" t="s">
        <v>1392</v>
      </c>
      <c r="J225" s="6" t="s">
        <v>1393</v>
      </c>
      <c r="K225" s="6" t="s">
        <v>459</v>
      </c>
      <c r="L225" s="14" t="s">
        <v>55</v>
      </c>
    </row>
    <row r="226" ht="15.75" hidden="1" customHeight="1">
      <c r="A226" s="6" t="s">
        <v>1394</v>
      </c>
      <c r="B226" s="6" t="s">
        <v>1395</v>
      </c>
      <c r="C226" s="6" t="s">
        <v>57</v>
      </c>
      <c r="D226" s="6" t="s">
        <v>1396</v>
      </c>
      <c r="E226" s="6" t="s">
        <v>35</v>
      </c>
      <c r="F226" s="6" t="s">
        <v>271</v>
      </c>
      <c r="G226" s="6" t="s">
        <v>272</v>
      </c>
      <c r="H226" s="6" t="s">
        <v>273</v>
      </c>
      <c r="I226" s="6" t="s">
        <v>1397</v>
      </c>
      <c r="J226" s="6" t="s">
        <v>1398</v>
      </c>
      <c r="K226" s="6" t="s">
        <v>459</v>
      </c>
      <c r="L226" s="10" t="s">
        <v>609</v>
      </c>
    </row>
    <row r="227" ht="15.75" hidden="1" customHeight="1">
      <c r="A227" s="6" t="s">
        <v>1399</v>
      </c>
      <c r="B227" s="6" t="s">
        <v>1400</v>
      </c>
      <c r="C227" s="6" t="s">
        <v>75</v>
      </c>
      <c r="D227" s="6" t="s">
        <v>21</v>
      </c>
      <c r="E227" s="6" t="s">
        <v>22</v>
      </c>
      <c r="F227" s="6" t="s">
        <v>23</v>
      </c>
      <c r="G227" s="6" t="s">
        <v>24</v>
      </c>
      <c r="H227" s="6" t="s">
        <v>25</v>
      </c>
      <c r="I227" s="6" t="s">
        <v>1401</v>
      </c>
      <c r="J227" s="6" t="s">
        <v>1402</v>
      </c>
      <c r="K227" s="6" t="s">
        <v>29</v>
      </c>
      <c r="L227" s="10" t="s">
        <v>30</v>
      </c>
    </row>
    <row r="228" ht="15.75" customHeight="1">
      <c r="A228" s="6" t="s">
        <v>1403</v>
      </c>
      <c r="B228" s="6" t="s">
        <v>1404</v>
      </c>
      <c r="C228" s="6" t="s">
        <v>75</v>
      </c>
      <c r="D228" s="6" t="s">
        <v>1405</v>
      </c>
      <c r="E228" s="6" t="s">
        <v>35</v>
      </c>
      <c r="F228" s="6" t="s">
        <v>787</v>
      </c>
      <c r="G228" s="6" t="s">
        <v>788</v>
      </c>
      <c r="H228" s="6" t="s">
        <v>789</v>
      </c>
      <c r="I228" s="6" t="s">
        <v>1406</v>
      </c>
      <c r="J228" s="6" t="s">
        <v>1407</v>
      </c>
      <c r="K228" s="6" t="s">
        <v>1408</v>
      </c>
      <c r="L228" s="12" t="s">
        <v>43</v>
      </c>
    </row>
    <row r="229" ht="15.75" customHeight="1">
      <c r="A229" s="6" t="s">
        <v>1409</v>
      </c>
      <c r="B229" s="6" t="s">
        <v>1410</v>
      </c>
      <c r="C229" s="6" t="s">
        <v>75</v>
      </c>
      <c r="D229" s="6" t="s">
        <v>1411</v>
      </c>
      <c r="E229" s="6" t="s">
        <v>35</v>
      </c>
      <c r="F229" s="6" t="s">
        <v>787</v>
      </c>
      <c r="G229" s="6" t="s">
        <v>788</v>
      </c>
      <c r="H229" s="6" t="s">
        <v>789</v>
      </c>
      <c r="I229" s="6" t="s">
        <v>1412</v>
      </c>
      <c r="J229" s="6" t="s">
        <v>1413</v>
      </c>
      <c r="K229" s="6" t="s">
        <v>1408</v>
      </c>
      <c r="L229" s="14" t="s">
        <v>55</v>
      </c>
    </row>
    <row r="230" ht="15.75" customHeight="1">
      <c r="A230" s="6" t="s">
        <v>1414</v>
      </c>
      <c r="B230" s="6" t="s">
        <v>1415</v>
      </c>
      <c r="C230" s="6" t="s">
        <v>75</v>
      </c>
      <c r="D230" s="6" t="s">
        <v>1416</v>
      </c>
      <c r="E230" s="6" t="s">
        <v>35</v>
      </c>
      <c r="F230" s="6" t="s">
        <v>787</v>
      </c>
      <c r="G230" s="6" t="s">
        <v>788</v>
      </c>
      <c r="H230" s="6" t="s">
        <v>789</v>
      </c>
      <c r="I230" s="6" t="s">
        <v>1417</v>
      </c>
      <c r="J230" s="6" t="s">
        <v>1418</v>
      </c>
      <c r="K230" s="6" t="s">
        <v>1408</v>
      </c>
      <c r="L230" s="14" t="s">
        <v>55</v>
      </c>
    </row>
    <row r="231" ht="15.75" customHeight="1">
      <c r="A231" s="6" t="s">
        <v>1419</v>
      </c>
      <c r="B231" s="6" t="s">
        <v>1420</v>
      </c>
      <c r="C231" s="6" t="s">
        <v>75</v>
      </c>
      <c r="D231" s="6" t="s">
        <v>1421</v>
      </c>
      <c r="E231" s="6" t="s">
        <v>35</v>
      </c>
      <c r="F231" s="6" t="s">
        <v>787</v>
      </c>
      <c r="G231" s="6" t="s">
        <v>788</v>
      </c>
      <c r="H231" s="6" t="s">
        <v>789</v>
      </c>
      <c r="I231" s="6" t="s">
        <v>1422</v>
      </c>
      <c r="J231" s="6" t="s">
        <v>1423</v>
      </c>
      <c r="K231" s="6" t="s">
        <v>1408</v>
      </c>
      <c r="L231" s="14" t="s">
        <v>55</v>
      </c>
    </row>
    <row r="232" ht="15.75" customHeight="1">
      <c r="A232" s="6" t="s">
        <v>1424</v>
      </c>
      <c r="B232" s="6" t="s">
        <v>1425</v>
      </c>
      <c r="C232" s="6" t="s">
        <v>75</v>
      </c>
      <c r="D232" s="6" t="s">
        <v>1426</v>
      </c>
      <c r="E232" s="6" t="s">
        <v>35</v>
      </c>
      <c r="F232" s="6" t="s">
        <v>787</v>
      </c>
      <c r="G232" s="6" t="s">
        <v>788</v>
      </c>
      <c r="H232" s="6" t="s">
        <v>789</v>
      </c>
      <c r="I232" s="6" t="s">
        <v>1427</v>
      </c>
      <c r="J232" s="6" t="s">
        <v>1428</v>
      </c>
      <c r="K232" s="6" t="s">
        <v>1408</v>
      </c>
      <c r="L232" s="14" t="s">
        <v>55</v>
      </c>
    </row>
    <row r="233" ht="15.75" customHeight="1">
      <c r="A233" s="6" t="s">
        <v>1429</v>
      </c>
      <c r="B233" s="6" t="s">
        <v>1430</v>
      </c>
      <c r="C233" s="6" t="s">
        <v>75</v>
      </c>
      <c r="D233" s="6" t="s">
        <v>1431</v>
      </c>
      <c r="E233" s="6" t="s">
        <v>331</v>
      </c>
      <c r="F233" s="6" t="s">
        <v>1309</v>
      </c>
      <c r="G233" s="6" t="s">
        <v>1432</v>
      </c>
      <c r="H233" s="6" t="s">
        <v>1433</v>
      </c>
      <c r="I233" s="6" t="s">
        <v>1434</v>
      </c>
      <c r="J233" s="6" t="s">
        <v>1435</v>
      </c>
      <c r="K233" s="6" t="s">
        <v>1436</v>
      </c>
      <c r="L233" s="12" t="s">
        <v>43</v>
      </c>
    </row>
    <row r="234" ht="15.75" customHeight="1">
      <c r="A234" s="6" t="s">
        <v>1437</v>
      </c>
      <c r="B234" s="6" t="s">
        <v>1438</v>
      </c>
      <c r="C234" s="6" t="s">
        <v>75</v>
      </c>
      <c r="D234" s="6" t="s">
        <v>1439</v>
      </c>
      <c r="E234" s="6" t="s">
        <v>331</v>
      </c>
      <c r="F234" s="6" t="s">
        <v>1309</v>
      </c>
      <c r="G234" s="6" t="s">
        <v>1432</v>
      </c>
      <c r="H234" s="6" t="s">
        <v>1433</v>
      </c>
      <c r="I234" s="6" t="s">
        <v>1440</v>
      </c>
      <c r="J234" s="6" t="s">
        <v>1441</v>
      </c>
      <c r="K234" s="6" t="s">
        <v>1436</v>
      </c>
      <c r="L234" s="14" t="s">
        <v>55</v>
      </c>
    </row>
    <row r="235" ht="15.75" customHeight="1">
      <c r="A235" s="6" t="s">
        <v>1442</v>
      </c>
      <c r="B235" s="6" t="s">
        <v>1443</v>
      </c>
      <c r="C235" s="6" t="s">
        <v>75</v>
      </c>
      <c r="D235" s="6" t="s">
        <v>1444</v>
      </c>
      <c r="E235" s="6" t="s">
        <v>331</v>
      </c>
      <c r="F235" s="6" t="s">
        <v>1309</v>
      </c>
      <c r="G235" s="6" t="s">
        <v>1432</v>
      </c>
      <c r="H235" s="6" t="s">
        <v>1433</v>
      </c>
      <c r="I235" s="6" t="s">
        <v>1445</v>
      </c>
      <c r="J235" s="6" t="s">
        <v>1446</v>
      </c>
      <c r="K235" s="6" t="s">
        <v>1436</v>
      </c>
      <c r="L235" s="14" t="s">
        <v>55</v>
      </c>
    </row>
    <row r="236" ht="15.75" customHeight="1">
      <c r="A236" s="6" t="s">
        <v>1447</v>
      </c>
      <c r="B236" s="6" t="s">
        <v>1448</v>
      </c>
      <c r="C236" s="6" t="s">
        <v>75</v>
      </c>
      <c r="D236" s="6" t="s">
        <v>1449</v>
      </c>
      <c r="E236" s="6" t="s">
        <v>331</v>
      </c>
      <c r="F236" s="6" t="s">
        <v>1309</v>
      </c>
      <c r="G236" s="6" t="s">
        <v>1432</v>
      </c>
      <c r="H236" s="6" t="s">
        <v>1433</v>
      </c>
      <c r="I236" s="6" t="s">
        <v>1450</v>
      </c>
      <c r="J236" s="6" t="s">
        <v>1451</v>
      </c>
      <c r="K236" s="6" t="s">
        <v>1436</v>
      </c>
      <c r="L236" s="14" t="s">
        <v>55</v>
      </c>
    </row>
    <row r="237" ht="15.75" customHeight="1">
      <c r="A237" s="6" t="s">
        <v>1452</v>
      </c>
      <c r="B237" s="6" t="s">
        <v>1453</v>
      </c>
      <c r="C237" s="6" t="s">
        <v>75</v>
      </c>
      <c r="D237" s="6" t="s">
        <v>1454</v>
      </c>
      <c r="E237" s="6" t="s">
        <v>331</v>
      </c>
      <c r="F237" s="6" t="s">
        <v>1309</v>
      </c>
      <c r="G237" s="6" t="s">
        <v>1432</v>
      </c>
      <c r="H237" s="6" t="s">
        <v>1433</v>
      </c>
      <c r="I237" s="6" t="s">
        <v>1455</v>
      </c>
      <c r="J237" s="6" t="s">
        <v>1456</v>
      </c>
      <c r="K237" s="6" t="s">
        <v>1436</v>
      </c>
      <c r="L237" s="14" t="s">
        <v>55</v>
      </c>
    </row>
    <row r="238" ht="15.75" customHeight="1">
      <c r="A238" s="6" t="s">
        <v>1457</v>
      </c>
      <c r="B238" s="6" t="s">
        <v>1458</v>
      </c>
      <c r="C238" s="6" t="s">
        <v>75</v>
      </c>
      <c r="D238" s="6" t="s">
        <v>1459</v>
      </c>
      <c r="E238" s="6" t="s">
        <v>331</v>
      </c>
      <c r="F238" s="6" t="s">
        <v>1309</v>
      </c>
      <c r="G238" s="6" t="s">
        <v>1432</v>
      </c>
      <c r="H238" s="6" t="s">
        <v>1433</v>
      </c>
      <c r="I238" s="6" t="s">
        <v>1460</v>
      </c>
      <c r="J238" s="6" t="s">
        <v>1461</v>
      </c>
      <c r="K238" s="6" t="s">
        <v>1436</v>
      </c>
      <c r="L238" s="14" t="s">
        <v>55</v>
      </c>
    </row>
    <row r="239" ht="15.75" customHeight="1">
      <c r="A239" s="6" t="s">
        <v>1462</v>
      </c>
      <c r="B239" s="6" t="s">
        <v>1463</v>
      </c>
      <c r="C239" s="6" t="s">
        <v>75</v>
      </c>
      <c r="D239" s="6" t="s">
        <v>1464</v>
      </c>
      <c r="E239" s="6" t="s">
        <v>331</v>
      </c>
      <c r="F239" s="6" t="s">
        <v>1309</v>
      </c>
      <c r="G239" s="6" t="s">
        <v>1432</v>
      </c>
      <c r="H239" s="6" t="s">
        <v>1433</v>
      </c>
      <c r="I239" s="6" t="s">
        <v>1465</v>
      </c>
      <c r="J239" s="6" t="s">
        <v>1466</v>
      </c>
      <c r="K239" s="6" t="s">
        <v>1436</v>
      </c>
      <c r="L239" s="14" t="s">
        <v>55</v>
      </c>
    </row>
    <row r="240" ht="15.75" customHeight="1">
      <c r="A240" s="6" t="s">
        <v>1467</v>
      </c>
      <c r="B240" s="6" t="s">
        <v>1468</v>
      </c>
      <c r="C240" s="6" t="s">
        <v>75</v>
      </c>
      <c r="D240" s="6" t="s">
        <v>1469</v>
      </c>
      <c r="E240" s="6" t="s">
        <v>331</v>
      </c>
      <c r="F240" s="6" t="s">
        <v>1309</v>
      </c>
      <c r="G240" s="6" t="s">
        <v>1432</v>
      </c>
      <c r="H240" s="6" t="s">
        <v>1433</v>
      </c>
      <c r="I240" s="6" t="s">
        <v>1470</v>
      </c>
      <c r="J240" s="6" t="s">
        <v>1471</v>
      </c>
      <c r="K240" s="6" t="s">
        <v>1436</v>
      </c>
      <c r="L240" s="14" t="s">
        <v>55</v>
      </c>
    </row>
    <row r="241" ht="15.75" customHeight="1">
      <c r="A241" s="6" t="s">
        <v>1472</v>
      </c>
      <c r="B241" s="6" t="s">
        <v>1473</v>
      </c>
      <c r="C241" s="6" t="s">
        <v>75</v>
      </c>
      <c r="D241" s="6" t="s">
        <v>1474</v>
      </c>
      <c r="E241" s="6" t="s">
        <v>331</v>
      </c>
      <c r="F241" s="6" t="s">
        <v>1309</v>
      </c>
      <c r="G241" s="6" t="s">
        <v>1432</v>
      </c>
      <c r="H241" s="6" t="s">
        <v>1433</v>
      </c>
      <c r="I241" s="6" t="s">
        <v>1475</v>
      </c>
      <c r="J241" s="6" t="s">
        <v>1476</v>
      </c>
      <c r="K241" s="6" t="s">
        <v>1436</v>
      </c>
      <c r="L241" s="14" t="s">
        <v>55</v>
      </c>
    </row>
    <row r="242" ht="15.75" hidden="1" customHeight="1">
      <c r="A242" s="6" t="s">
        <v>1477</v>
      </c>
      <c r="B242" s="6" t="s">
        <v>1478</v>
      </c>
      <c r="C242" s="6" t="s">
        <v>75</v>
      </c>
      <c r="D242" s="6" t="s">
        <v>1479</v>
      </c>
      <c r="E242" s="6" t="s">
        <v>331</v>
      </c>
      <c r="F242" s="6" t="s">
        <v>1309</v>
      </c>
      <c r="G242" s="6" t="s">
        <v>1432</v>
      </c>
      <c r="H242" s="6" t="s">
        <v>1433</v>
      </c>
      <c r="I242" s="6" t="s">
        <v>1480</v>
      </c>
      <c r="J242" s="6" t="s">
        <v>1481</v>
      </c>
      <c r="K242" s="6" t="s">
        <v>497</v>
      </c>
      <c r="L242" s="10" t="s">
        <v>30</v>
      </c>
    </row>
    <row r="243" ht="15.75" hidden="1" customHeight="1">
      <c r="A243" s="6" t="s">
        <v>1482</v>
      </c>
      <c r="B243" s="6" t="s">
        <v>1483</v>
      </c>
      <c r="C243" s="6" t="s">
        <v>75</v>
      </c>
      <c r="D243" s="6" t="s">
        <v>1484</v>
      </c>
      <c r="E243" s="6" t="s">
        <v>331</v>
      </c>
      <c r="F243" s="6" t="s">
        <v>1309</v>
      </c>
      <c r="G243" s="6" t="s">
        <v>1432</v>
      </c>
      <c r="H243" s="6" t="s">
        <v>1433</v>
      </c>
      <c r="I243" s="6" t="s">
        <v>1485</v>
      </c>
      <c r="J243" s="6" t="s">
        <v>1486</v>
      </c>
      <c r="K243" s="6" t="s">
        <v>497</v>
      </c>
      <c r="L243" s="10" t="s">
        <v>30</v>
      </c>
    </row>
    <row r="244" ht="15.75" hidden="1" customHeight="1">
      <c r="A244" s="6" t="s">
        <v>1487</v>
      </c>
      <c r="B244" s="6" t="s">
        <v>1488</v>
      </c>
      <c r="C244" s="6" t="s">
        <v>75</v>
      </c>
      <c r="D244" s="6" t="s">
        <v>1489</v>
      </c>
      <c r="E244" s="6" t="s">
        <v>331</v>
      </c>
      <c r="F244" s="6" t="s">
        <v>1309</v>
      </c>
      <c r="G244" s="6" t="s">
        <v>1432</v>
      </c>
      <c r="H244" s="6" t="s">
        <v>1433</v>
      </c>
      <c r="I244" s="6" t="s">
        <v>1490</v>
      </c>
      <c r="J244" s="6" t="s">
        <v>1491</v>
      </c>
      <c r="K244" s="6" t="s">
        <v>497</v>
      </c>
      <c r="L244" s="10" t="s">
        <v>30</v>
      </c>
    </row>
    <row r="245" ht="15.75" customHeight="1">
      <c r="A245" s="6" t="s">
        <v>1492</v>
      </c>
      <c r="B245" s="6" t="s">
        <v>1493</v>
      </c>
      <c r="C245" s="6" t="s">
        <v>75</v>
      </c>
      <c r="D245" s="6" t="s">
        <v>1494</v>
      </c>
      <c r="E245" s="6" t="s">
        <v>35</v>
      </c>
      <c r="F245" s="6" t="s">
        <v>36</v>
      </c>
      <c r="G245" s="6" t="s">
        <v>165</v>
      </c>
      <c r="H245" s="6" t="s">
        <v>166</v>
      </c>
      <c r="I245" s="6" t="s">
        <v>1495</v>
      </c>
      <c r="J245" s="6" t="s">
        <v>1496</v>
      </c>
      <c r="K245" s="6" t="s">
        <v>1436</v>
      </c>
      <c r="L245" s="12" t="s">
        <v>43</v>
      </c>
    </row>
    <row r="246" ht="15.75" customHeight="1">
      <c r="A246" s="6" t="s">
        <v>1497</v>
      </c>
      <c r="B246" s="6" t="s">
        <v>1498</v>
      </c>
      <c r="C246" s="6" t="s">
        <v>75</v>
      </c>
      <c r="D246" s="6" t="s">
        <v>1499</v>
      </c>
      <c r="E246" s="6" t="s">
        <v>35</v>
      </c>
      <c r="F246" s="6" t="s">
        <v>36</v>
      </c>
      <c r="G246" s="6" t="s">
        <v>165</v>
      </c>
      <c r="H246" s="6" t="s">
        <v>166</v>
      </c>
      <c r="I246" s="6" t="s">
        <v>1500</v>
      </c>
      <c r="J246" s="6" t="s">
        <v>1501</v>
      </c>
      <c r="K246" s="6" t="s">
        <v>1436</v>
      </c>
      <c r="L246" s="12" t="s">
        <v>43</v>
      </c>
    </row>
    <row r="247" ht="15.75" customHeight="1">
      <c r="A247" s="6" t="s">
        <v>1502</v>
      </c>
      <c r="B247" s="6" t="s">
        <v>1503</v>
      </c>
      <c r="C247" s="6" t="s">
        <v>75</v>
      </c>
      <c r="D247" s="6" t="s">
        <v>1504</v>
      </c>
      <c r="E247" s="6" t="s">
        <v>35</v>
      </c>
      <c r="F247" s="6" t="s">
        <v>36</v>
      </c>
      <c r="G247" s="6" t="s">
        <v>165</v>
      </c>
      <c r="H247" s="6" t="s">
        <v>166</v>
      </c>
      <c r="I247" s="6" t="s">
        <v>1505</v>
      </c>
      <c r="J247" s="6" t="s">
        <v>1506</v>
      </c>
      <c r="K247" s="6" t="s">
        <v>1436</v>
      </c>
      <c r="L247" s="14" t="s">
        <v>55</v>
      </c>
    </row>
    <row r="248" ht="15.75" customHeight="1">
      <c r="A248" s="6" t="s">
        <v>1507</v>
      </c>
      <c r="B248" s="6" t="s">
        <v>1508</v>
      </c>
      <c r="C248" s="6" t="s">
        <v>75</v>
      </c>
      <c r="D248" s="6" t="s">
        <v>1509</v>
      </c>
      <c r="E248" s="6" t="s">
        <v>35</v>
      </c>
      <c r="F248" s="6" t="s">
        <v>36</v>
      </c>
      <c r="G248" s="6" t="s">
        <v>165</v>
      </c>
      <c r="H248" s="6" t="s">
        <v>166</v>
      </c>
      <c r="I248" s="6" t="s">
        <v>1510</v>
      </c>
      <c r="J248" s="6" t="s">
        <v>1511</v>
      </c>
      <c r="K248" s="6" t="s">
        <v>1436</v>
      </c>
      <c r="L248" s="14" t="s">
        <v>55</v>
      </c>
    </row>
    <row r="249" ht="15.75" customHeight="1">
      <c r="A249" s="6" t="s">
        <v>1512</v>
      </c>
      <c r="B249" s="6" t="s">
        <v>1513</v>
      </c>
      <c r="C249" s="6" t="s">
        <v>75</v>
      </c>
      <c r="D249" s="6" t="s">
        <v>1514</v>
      </c>
      <c r="E249" s="6" t="s">
        <v>35</v>
      </c>
      <c r="F249" s="6" t="s">
        <v>36</v>
      </c>
      <c r="G249" s="6" t="s">
        <v>165</v>
      </c>
      <c r="H249" s="6" t="s">
        <v>166</v>
      </c>
      <c r="I249" s="6" t="s">
        <v>1515</v>
      </c>
      <c r="J249" s="6" t="s">
        <v>1516</v>
      </c>
      <c r="K249" s="6" t="s">
        <v>1436</v>
      </c>
      <c r="L249" s="14" t="s">
        <v>55</v>
      </c>
    </row>
    <row r="250" ht="15.75" customHeight="1">
      <c r="A250" s="6" t="s">
        <v>1517</v>
      </c>
      <c r="B250" s="6" t="s">
        <v>1518</v>
      </c>
      <c r="C250" s="6" t="s">
        <v>75</v>
      </c>
      <c r="D250" s="6" t="s">
        <v>1519</v>
      </c>
      <c r="E250" s="6" t="s">
        <v>35</v>
      </c>
      <c r="F250" s="6" t="s">
        <v>36</v>
      </c>
      <c r="G250" s="6" t="s">
        <v>165</v>
      </c>
      <c r="H250" s="6" t="s">
        <v>166</v>
      </c>
      <c r="I250" s="6" t="s">
        <v>1520</v>
      </c>
      <c r="J250" s="6" t="s">
        <v>1521</v>
      </c>
      <c r="K250" s="6" t="s">
        <v>1436</v>
      </c>
      <c r="L250" s="14" t="s">
        <v>55</v>
      </c>
    </row>
    <row r="251" ht="15.75" customHeight="1">
      <c r="A251" s="6" t="s">
        <v>1522</v>
      </c>
      <c r="B251" s="6" t="s">
        <v>1523</v>
      </c>
      <c r="C251" s="6" t="s">
        <v>75</v>
      </c>
      <c r="D251" s="6" t="s">
        <v>1524</v>
      </c>
      <c r="E251" s="6" t="s">
        <v>35</v>
      </c>
      <c r="F251" s="6" t="s">
        <v>787</v>
      </c>
      <c r="G251" s="6" t="s">
        <v>788</v>
      </c>
      <c r="H251" s="6" t="s">
        <v>789</v>
      </c>
      <c r="I251" s="6" t="s">
        <v>1525</v>
      </c>
      <c r="J251" s="6" t="s">
        <v>1526</v>
      </c>
      <c r="K251" s="6" t="s">
        <v>1408</v>
      </c>
      <c r="L251" s="12" t="s">
        <v>43</v>
      </c>
    </row>
    <row r="252" ht="15.75" customHeight="1">
      <c r="A252" s="6" t="s">
        <v>1527</v>
      </c>
      <c r="B252" s="6" t="s">
        <v>1528</v>
      </c>
      <c r="C252" s="6" t="s">
        <v>75</v>
      </c>
      <c r="D252" s="6" t="s">
        <v>1529</v>
      </c>
      <c r="E252" s="6" t="s">
        <v>35</v>
      </c>
      <c r="F252" s="6" t="s">
        <v>787</v>
      </c>
      <c r="G252" s="6" t="s">
        <v>788</v>
      </c>
      <c r="H252" s="6" t="s">
        <v>789</v>
      </c>
      <c r="I252" s="6" t="s">
        <v>1530</v>
      </c>
      <c r="J252" s="6" t="s">
        <v>1531</v>
      </c>
      <c r="K252" s="6" t="s">
        <v>1408</v>
      </c>
      <c r="L252" s="14" t="s">
        <v>55</v>
      </c>
    </row>
    <row r="253" ht="15.75" customHeight="1">
      <c r="A253" s="6" t="s">
        <v>1532</v>
      </c>
      <c r="B253" s="6" t="s">
        <v>1533</v>
      </c>
      <c r="C253" s="6" t="s">
        <v>75</v>
      </c>
      <c r="D253" s="6" t="s">
        <v>1534</v>
      </c>
      <c r="E253" s="6" t="s">
        <v>35</v>
      </c>
      <c r="F253" s="6" t="s">
        <v>787</v>
      </c>
      <c r="G253" s="6" t="s">
        <v>788</v>
      </c>
      <c r="H253" s="6" t="s">
        <v>789</v>
      </c>
      <c r="I253" s="6" t="s">
        <v>1535</v>
      </c>
      <c r="J253" s="6" t="s">
        <v>1536</v>
      </c>
      <c r="K253" s="6" t="s">
        <v>1408</v>
      </c>
      <c r="L253" s="14" t="s">
        <v>55</v>
      </c>
    </row>
    <row r="254" ht="15.75" hidden="1" customHeight="1">
      <c r="A254" s="6" t="s">
        <v>1537</v>
      </c>
      <c r="B254" s="6" t="s">
        <v>1538</v>
      </c>
      <c r="C254" s="6" t="s">
        <v>75</v>
      </c>
      <c r="D254" s="6" t="s">
        <v>1539</v>
      </c>
      <c r="E254" s="6" t="s">
        <v>35</v>
      </c>
      <c r="F254" s="6" t="s">
        <v>787</v>
      </c>
      <c r="G254" s="6" t="s">
        <v>788</v>
      </c>
      <c r="H254" s="6" t="s">
        <v>789</v>
      </c>
      <c r="I254" s="6" t="s">
        <v>1540</v>
      </c>
      <c r="J254" s="6" t="s">
        <v>1541</v>
      </c>
      <c r="K254" s="6" t="s">
        <v>1542</v>
      </c>
      <c r="L254" s="12" t="s">
        <v>43</v>
      </c>
    </row>
    <row r="255" ht="15.75" hidden="1" customHeight="1">
      <c r="A255" s="6" t="s">
        <v>1543</v>
      </c>
      <c r="B255" s="6" t="s">
        <v>1544</v>
      </c>
      <c r="C255" s="6" t="s">
        <v>75</v>
      </c>
      <c r="D255" s="6" t="s">
        <v>1545</v>
      </c>
      <c r="E255" s="6" t="s">
        <v>35</v>
      </c>
      <c r="F255" s="6" t="s">
        <v>787</v>
      </c>
      <c r="G255" s="6" t="s">
        <v>788</v>
      </c>
      <c r="H255" s="6" t="s">
        <v>789</v>
      </c>
      <c r="I255" s="6" t="s">
        <v>1546</v>
      </c>
      <c r="J255" s="6" t="s">
        <v>1547</v>
      </c>
      <c r="K255" s="6" t="s">
        <v>1542</v>
      </c>
      <c r="L255" s="14" t="s">
        <v>55</v>
      </c>
    </row>
    <row r="256" ht="15.75" hidden="1" customHeight="1">
      <c r="A256" s="6" t="s">
        <v>1548</v>
      </c>
      <c r="B256" s="6" t="s">
        <v>1549</v>
      </c>
      <c r="C256" s="6" t="s">
        <v>75</v>
      </c>
      <c r="D256" s="6" t="s">
        <v>1550</v>
      </c>
      <c r="E256" s="6" t="s">
        <v>35</v>
      </c>
      <c r="F256" s="6" t="s">
        <v>787</v>
      </c>
      <c r="G256" s="6" t="s">
        <v>788</v>
      </c>
      <c r="H256" s="6" t="s">
        <v>789</v>
      </c>
      <c r="I256" s="6" t="s">
        <v>1551</v>
      </c>
      <c r="J256" s="6" t="s">
        <v>1552</v>
      </c>
      <c r="K256" s="6" t="s">
        <v>1542</v>
      </c>
      <c r="L256" s="14" t="s">
        <v>55</v>
      </c>
    </row>
    <row r="257" ht="15.75" hidden="1" customHeight="1">
      <c r="A257" s="6" t="s">
        <v>1553</v>
      </c>
      <c r="B257" s="6" t="s">
        <v>1554</v>
      </c>
      <c r="C257" s="6" t="s">
        <v>75</v>
      </c>
      <c r="D257" s="6" t="s">
        <v>1555</v>
      </c>
      <c r="E257" s="6" t="s">
        <v>35</v>
      </c>
      <c r="F257" s="6" t="s">
        <v>787</v>
      </c>
      <c r="G257" s="6" t="s">
        <v>788</v>
      </c>
      <c r="H257" s="6" t="s">
        <v>789</v>
      </c>
      <c r="I257" s="6" t="s">
        <v>1556</v>
      </c>
      <c r="J257" s="6" t="s">
        <v>1557</v>
      </c>
      <c r="K257" s="6" t="s">
        <v>1542</v>
      </c>
      <c r="L257" s="14" t="s">
        <v>55</v>
      </c>
    </row>
    <row r="258" ht="15.75" hidden="1" customHeight="1">
      <c r="A258" s="6" t="s">
        <v>1558</v>
      </c>
      <c r="B258" s="6" t="s">
        <v>1559</v>
      </c>
      <c r="C258" s="6" t="s">
        <v>75</v>
      </c>
      <c r="D258" s="6" t="s">
        <v>1560</v>
      </c>
      <c r="E258" s="6" t="s">
        <v>35</v>
      </c>
      <c r="F258" s="6" t="s">
        <v>787</v>
      </c>
      <c r="G258" s="6" t="s">
        <v>788</v>
      </c>
      <c r="H258" s="6" t="s">
        <v>789</v>
      </c>
      <c r="I258" s="6" t="s">
        <v>1561</v>
      </c>
      <c r="J258" s="6" t="s">
        <v>1562</v>
      </c>
      <c r="K258" s="6" t="s">
        <v>1542</v>
      </c>
      <c r="L258" s="12" t="s">
        <v>43</v>
      </c>
    </row>
    <row r="259" ht="15.75" hidden="1" customHeight="1">
      <c r="A259" s="6" t="s">
        <v>1563</v>
      </c>
      <c r="B259" s="6" t="s">
        <v>1564</v>
      </c>
      <c r="C259" s="6" t="s">
        <v>75</v>
      </c>
      <c r="D259" s="6" t="s">
        <v>1565</v>
      </c>
      <c r="E259" s="6" t="s">
        <v>35</v>
      </c>
      <c r="F259" s="6" t="s">
        <v>787</v>
      </c>
      <c r="G259" s="6" t="s">
        <v>788</v>
      </c>
      <c r="H259" s="6" t="s">
        <v>789</v>
      </c>
      <c r="I259" s="6" t="s">
        <v>1566</v>
      </c>
      <c r="J259" s="6" t="s">
        <v>1567</v>
      </c>
      <c r="K259" s="6" t="s">
        <v>1542</v>
      </c>
      <c r="L259" s="14" t="s">
        <v>55</v>
      </c>
    </row>
    <row r="260" ht="15.75" hidden="1" customHeight="1">
      <c r="A260" s="6" t="s">
        <v>1568</v>
      </c>
      <c r="B260" s="6" t="s">
        <v>1569</v>
      </c>
      <c r="C260" s="6" t="s">
        <v>75</v>
      </c>
      <c r="D260" s="6" t="s">
        <v>1570</v>
      </c>
      <c r="E260" s="6" t="s">
        <v>35</v>
      </c>
      <c r="F260" s="6" t="s">
        <v>787</v>
      </c>
      <c r="G260" s="6" t="s">
        <v>788</v>
      </c>
      <c r="H260" s="6" t="s">
        <v>789</v>
      </c>
      <c r="I260" s="6" t="s">
        <v>1571</v>
      </c>
      <c r="J260" s="6" t="s">
        <v>1572</v>
      </c>
      <c r="K260" s="6" t="s">
        <v>1542</v>
      </c>
      <c r="L260" s="14" t="s">
        <v>55</v>
      </c>
    </row>
    <row r="261" ht="15.75" hidden="1" customHeight="1">
      <c r="A261" s="6" t="s">
        <v>1573</v>
      </c>
      <c r="B261" s="6" t="s">
        <v>1574</v>
      </c>
      <c r="C261" s="6" t="s">
        <v>75</v>
      </c>
      <c r="D261" s="6" t="s">
        <v>1575</v>
      </c>
      <c r="E261" s="6" t="s">
        <v>35</v>
      </c>
      <c r="F261" s="6" t="s">
        <v>787</v>
      </c>
      <c r="G261" s="6" t="s">
        <v>788</v>
      </c>
      <c r="H261" s="6" t="s">
        <v>789</v>
      </c>
      <c r="I261" s="6" t="s">
        <v>1576</v>
      </c>
      <c r="J261" s="6" t="s">
        <v>1577</v>
      </c>
      <c r="K261" s="6" t="s">
        <v>1542</v>
      </c>
      <c r="L261" s="14" t="s">
        <v>55</v>
      </c>
    </row>
    <row r="262" ht="15.75" hidden="1" customHeight="1">
      <c r="A262" s="6" t="s">
        <v>1578</v>
      </c>
      <c r="B262" s="6" t="s">
        <v>1579</v>
      </c>
      <c r="C262" s="6" t="s">
        <v>75</v>
      </c>
      <c r="D262" s="6" t="s">
        <v>1580</v>
      </c>
      <c r="E262" s="6" t="s">
        <v>35</v>
      </c>
      <c r="F262" s="6" t="s">
        <v>787</v>
      </c>
      <c r="G262" s="6" t="s">
        <v>788</v>
      </c>
      <c r="H262" s="6" t="s">
        <v>789</v>
      </c>
      <c r="I262" s="6" t="s">
        <v>1581</v>
      </c>
      <c r="J262" s="6" t="s">
        <v>1582</v>
      </c>
      <c r="K262" s="6" t="s">
        <v>1542</v>
      </c>
      <c r="L262" s="14" t="s">
        <v>55</v>
      </c>
    </row>
    <row r="263" ht="15.75" hidden="1" customHeight="1">
      <c r="A263" s="6" t="s">
        <v>1583</v>
      </c>
      <c r="B263" s="6" t="s">
        <v>1584</v>
      </c>
      <c r="C263" s="6" t="s">
        <v>75</v>
      </c>
      <c r="D263" s="6" t="s">
        <v>1585</v>
      </c>
      <c r="E263" s="6" t="s">
        <v>35</v>
      </c>
      <c r="F263" s="6" t="s">
        <v>787</v>
      </c>
      <c r="G263" s="6" t="s">
        <v>788</v>
      </c>
      <c r="H263" s="6" t="s">
        <v>789</v>
      </c>
      <c r="I263" s="6" t="s">
        <v>1586</v>
      </c>
      <c r="J263" s="6" t="s">
        <v>1587</v>
      </c>
      <c r="K263" s="6" t="s">
        <v>1542</v>
      </c>
      <c r="L263" s="14" t="s">
        <v>55</v>
      </c>
    </row>
    <row r="264" ht="15.75" customHeight="1">
      <c r="A264" s="6" t="s">
        <v>1588</v>
      </c>
      <c r="B264" s="6" t="s">
        <v>1589</v>
      </c>
      <c r="C264" s="6" t="s">
        <v>75</v>
      </c>
      <c r="D264" s="6" t="s">
        <v>1590</v>
      </c>
      <c r="E264" s="6" t="s">
        <v>331</v>
      </c>
      <c r="F264" s="6" t="s">
        <v>1591</v>
      </c>
      <c r="G264" s="6" t="s">
        <v>1592</v>
      </c>
      <c r="H264" s="6" t="s">
        <v>1593</v>
      </c>
      <c r="I264" s="6" t="s">
        <v>1594</v>
      </c>
      <c r="J264" s="6" t="s">
        <v>1595</v>
      </c>
      <c r="K264" s="6" t="s">
        <v>1436</v>
      </c>
      <c r="L264" s="12" t="s">
        <v>43</v>
      </c>
    </row>
    <row r="265" ht="15.75" customHeight="1">
      <c r="A265" s="6" t="s">
        <v>1596</v>
      </c>
      <c r="B265" s="6" t="s">
        <v>1597</v>
      </c>
      <c r="C265" s="6" t="s">
        <v>75</v>
      </c>
      <c r="D265" s="6" t="s">
        <v>1598</v>
      </c>
      <c r="E265" s="6" t="s">
        <v>331</v>
      </c>
      <c r="F265" s="6" t="s">
        <v>1591</v>
      </c>
      <c r="G265" s="6" t="s">
        <v>1592</v>
      </c>
      <c r="H265" s="6" t="s">
        <v>1593</v>
      </c>
      <c r="I265" s="6" t="s">
        <v>1599</v>
      </c>
      <c r="J265" s="6" t="s">
        <v>1600</v>
      </c>
      <c r="K265" s="6" t="s">
        <v>1436</v>
      </c>
      <c r="L265" s="14" t="s">
        <v>55</v>
      </c>
    </row>
    <row r="266" ht="15.75" customHeight="1">
      <c r="A266" s="6" t="s">
        <v>1601</v>
      </c>
      <c r="B266" s="6" t="s">
        <v>1602</v>
      </c>
      <c r="C266" s="6" t="s">
        <v>75</v>
      </c>
      <c r="D266" s="6" t="s">
        <v>1603</v>
      </c>
      <c r="E266" s="6" t="s">
        <v>331</v>
      </c>
      <c r="F266" s="6" t="s">
        <v>1591</v>
      </c>
      <c r="G266" s="6" t="s">
        <v>1592</v>
      </c>
      <c r="H266" s="6" t="s">
        <v>1593</v>
      </c>
      <c r="I266" s="6" t="s">
        <v>1604</v>
      </c>
      <c r="J266" s="6" t="s">
        <v>1605</v>
      </c>
      <c r="K266" s="6" t="s">
        <v>1436</v>
      </c>
      <c r="L266" s="14" t="s">
        <v>55</v>
      </c>
    </row>
    <row r="267" ht="15.75" customHeight="1">
      <c r="A267" s="6" t="s">
        <v>1606</v>
      </c>
      <c r="B267" s="6" t="s">
        <v>1607</v>
      </c>
      <c r="C267" s="6" t="s">
        <v>75</v>
      </c>
      <c r="D267" s="6" t="s">
        <v>1608</v>
      </c>
      <c r="E267" s="6" t="s">
        <v>331</v>
      </c>
      <c r="F267" s="6" t="s">
        <v>1591</v>
      </c>
      <c r="G267" s="6" t="s">
        <v>1592</v>
      </c>
      <c r="H267" s="6" t="s">
        <v>1593</v>
      </c>
      <c r="I267" s="6" t="s">
        <v>1609</v>
      </c>
      <c r="J267" s="6" t="s">
        <v>1610</v>
      </c>
      <c r="K267" s="6" t="s">
        <v>1436</v>
      </c>
      <c r="L267" s="14" t="s">
        <v>55</v>
      </c>
    </row>
    <row r="268" ht="15.75" customHeight="1">
      <c r="A268" s="6" t="s">
        <v>1611</v>
      </c>
      <c r="B268" s="6" t="s">
        <v>1612</v>
      </c>
      <c r="C268" s="6" t="s">
        <v>75</v>
      </c>
      <c r="D268" s="6" t="s">
        <v>1613</v>
      </c>
      <c r="E268" s="6" t="s">
        <v>331</v>
      </c>
      <c r="F268" s="6" t="s">
        <v>1591</v>
      </c>
      <c r="G268" s="6" t="s">
        <v>1592</v>
      </c>
      <c r="H268" s="6" t="s">
        <v>1593</v>
      </c>
      <c r="I268" s="6" t="s">
        <v>1614</v>
      </c>
      <c r="J268" s="6" t="s">
        <v>1615</v>
      </c>
      <c r="K268" s="6" t="s">
        <v>1436</v>
      </c>
      <c r="L268" s="14" t="s">
        <v>55</v>
      </c>
    </row>
    <row r="269" ht="15.75" customHeight="1">
      <c r="A269" s="6" t="s">
        <v>1616</v>
      </c>
      <c r="B269" s="6" t="s">
        <v>1617</v>
      </c>
      <c r="C269" s="6" t="s">
        <v>75</v>
      </c>
      <c r="D269" s="6" t="s">
        <v>1618</v>
      </c>
      <c r="E269" s="6" t="s">
        <v>331</v>
      </c>
      <c r="F269" s="6" t="s">
        <v>1591</v>
      </c>
      <c r="G269" s="6" t="s">
        <v>1592</v>
      </c>
      <c r="H269" s="6" t="s">
        <v>1593</v>
      </c>
      <c r="I269" s="6" t="s">
        <v>1619</v>
      </c>
      <c r="J269" s="6" t="s">
        <v>1620</v>
      </c>
      <c r="K269" s="6" t="s">
        <v>1436</v>
      </c>
      <c r="L269" s="14" t="s">
        <v>55</v>
      </c>
    </row>
    <row r="270" ht="15.75" customHeight="1">
      <c r="A270" s="6" t="s">
        <v>1621</v>
      </c>
      <c r="B270" s="6" t="s">
        <v>1622</v>
      </c>
      <c r="C270" s="6" t="s">
        <v>75</v>
      </c>
      <c r="D270" s="6" t="s">
        <v>1623</v>
      </c>
      <c r="E270" s="6" t="s">
        <v>331</v>
      </c>
      <c r="F270" s="6" t="s">
        <v>1591</v>
      </c>
      <c r="G270" s="6" t="s">
        <v>1592</v>
      </c>
      <c r="H270" s="6" t="s">
        <v>1593</v>
      </c>
      <c r="I270" s="6" t="s">
        <v>1624</v>
      </c>
      <c r="J270" s="6" t="s">
        <v>1625</v>
      </c>
      <c r="K270" s="6" t="s">
        <v>1436</v>
      </c>
      <c r="L270" s="14" t="s">
        <v>55</v>
      </c>
    </row>
    <row r="271" ht="15.75" customHeight="1">
      <c r="A271" s="6" t="s">
        <v>1626</v>
      </c>
      <c r="B271" s="6" t="s">
        <v>1627</v>
      </c>
      <c r="C271" s="6" t="s">
        <v>75</v>
      </c>
      <c r="D271" s="6" t="s">
        <v>1628</v>
      </c>
      <c r="E271" s="6" t="s">
        <v>331</v>
      </c>
      <c r="F271" s="6" t="s">
        <v>1591</v>
      </c>
      <c r="G271" s="6" t="s">
        <v>1592</v>
      </c>
      <c r="H271" s="6" t="s">
        <v>1593</v>
      </c>
      <c r="I271" s="6" t="s">
        <v>1629</v>
      </c>
      <c r="J271" s="6" t="s">
        <v>1630</v>
      </c>
      <c r="K271" s="6" t="s">
        <v>1436</v>
      </c>
      <c r="L271" s="14" t="s">
        <v>55</v>
      </c>
    </row>
    <row r="272" ht="15.75" customHeight="1">
      <c r="A272" s="6" t="s">
        <v>1631</v>
      </c>
      <c r="B272" s="6" t="s">
        <v>1632</v>
      </c>
      <c r="C272" s="6" t="s">
        <v>75</v>
      </c>
      <c r="D272" s="6" t="s">
        <v>1633</v>
      </c>
      <c r="E272" s="6" t="s">
        <v>331</v>
      </c>
      <c r="F272" s="6" t="s">
        <v>1591</v>
      </c>
      <c r="G272" s="6" t="s">
        <v>1592</v>
      </c>
      <c r="H272" s="6" t="s">
        <v>1593</v>
      </c>
      <c r="I272" s="6" t="s">
        <v>1634</v>
      </c>
      <c r="J272" s="6" t="s">
        <v>1635</v>
      </c>
      <c r="K272" s="6" t="s">
        <v>1436</v>
      </c>
      <c r="L272" s="14" t="s">
        <v>55</v>
      </c>
    </row>
    <row r="273" ht="15.75" hidden="1" customHeight="1">
      <c r="A273" s="6" t="s">
        <v>1636</v>
      </c>
      <c r="B273" s="6" t="s">
        <v>1637</v>
      </c>
      <c r="C273" s="6" t="s">
        <v>75</v>
      </c>
      <c r="D273" s="6" t="s">
        <v>1638</v>
      </c>
      <c r="E273" s="6" t="s">
        <v>35</v>
      </c>
      <c r="F273" s="6" t="s">
        <v>787</v>
      </c>
      <c r="G273" s="6" t="s">
        <v>788</v>
      </c>
      <c r="H273" s="6" t="s">
        <v>789</v>
      </c>
      <c r="I273" s="6" t="s">
        <v>1639</v>
      </c>
      <c r="J273" s="6" t="s">
        <v>1640</v>
      </c>
      <c r="K273" s="6" t="s">
        <v>497</v>
      </c>
      <c r="L273" s="10" t="s">
        <v>30</v>
      </c>
    </row>
    <row r="274" ht="15.75" hidden="1" customHeight="1">
      <c r="A274" s="6" t="s">
        <v>1641</v>
      </c>
      <c r="B274" s="6" t="s">
        <v>1642</v>
      </c>
      <c r="C274" s="6" t="s">
        <v>75</v>
      </c>
      <c r="D274" s="6" t="s">
        <v>1643</v>
      </c>
      <c r="E274" s="6" t="s">
        <v>35</v>
      </c>
      <c r="F274" s="6" t="s">
        <v>787</v>
      </c>
      <c r="G274" s="6" t="s">
        <v>1644</v>
      </c>
      <c r="H274" s="6" t="s">
        <v>1645</v>
      </c>
      <c r="I274" s="6" t="s">
        <v>1646</v>
      </c>
      <c r="J274" s="6" t="s">
        <v>1647</v>
      </c>
      <c r="K274" s="6" t="s">
        <v>1648</v>
      </c>
      <c r="L274" s="10" t="s">
        <v>609</v>
      </c>
    </row>
    <row r="275" ht="15.75" hidden="1" customHeight="1">
      <c r="A275" s="6" t="s">
        <v>1649</v>
      </c>
      <c r="B275" s="6" t="s">
        <v>1650</v>
      </c>
      <c r="C275" s="6" t="s">
        <v>75</v>
      </c>
      <c r="D275" s="6" t="s">
        <v>1651</v>
      </c>
      <c r="E275" s="6" t="s">
        <v>35</v>
      </c>
      <c r="F275" s="6" t="s">
        <v>787</v>
      </c>
      <c r="G275" s="6" t="s">
        <v>1644</v>
      </c>
      <c r="H275" s="6" t="s">
        <v>1645</v>
      </c>
      <c r="I275" s="6" t="s">
        <v>1652</v>
      </c>
      <c r="J275" s="6" t="s">
        <v>1653</v>
      </c>
      <c r="K275" s="6" t="s">
        <v>1648</v>
      </c>
      <c r="L275" s="10" t="s">
        <v>609</v>
      </c>
    </row>
    <row r="276" ht="15.75" hidden="1" customHeight="1">
      <c r="A276" s="6" t="s">
        <v>1654</v>
      </c>
      <c r="B276" s="6" t="s">
        <v>1655</v>
      </c>
      <c r="C276" s="6" t="s">
        <v>75</v>
      </c>
      <c r="D276" s="6" t="s">
        <v>1656</v>
      </c>
      <c r="E276" s="6" t="s">
        <v>35</v>
      </c>
      <c r="F276" s="6" t="s">
        <v>787</v>
      </c>
      <c r="G276" s="6" t="s">
        <v>1657</v>
      </c>
      <c r="H276" s="6" t="s">
        <v>1658</v>
      </c>
      <c r="I276" s="6" t="s">
        <v>1659</v>
      </c>
      <c r="J276" s="6" t="s">
        <v>1660</v>
      </c>
      <c r="K276" s="6" t="s">
        <v>641</v>
      </c>
      <c r="L276" s="14" t="s">
        <v>55</v>
      </c>
    </row>
    <row r="277" ht="15.75" hidden="1" customHeight="1">
      <c r="A277" s="6" t="s">
        <v>1661</v>
      </c>
      <c r="B277" s="6" t="s">
        <v>1662</v>
      </c>
      <c r="C277" s="6" t="s">
        <v>75</v>
      </c>
      <c r="D277" s="6" t="s">
        <v>1663</v>
      </c>
      <c r="E277" s="6" t="s">
        <v>35</v>
      </c>
      <c r="F277" s="6" t="s">
        <v>787</v>
      </c>
      <c r="G277" s="6" t="s">
        <v>1657</v>
      </c>
      <c r="H277" s="6" t="s">
        <v>1658</v>
      </c>
      <c r="I277" s="6" t="s">
        <v>1664</v>
      </c>
      <c r="J277" s="6" t="s">
        <v>1665</v>
      </c>
      <c r="K277" s="6" t="s">
        <v>641</v>
      </c>
      <c r="L277" s="10" t="s">
        <v>609</v>
      </c>
    </row>
    <row r="278" ht="15.75" hidden="1" customHeight="1">
      <c r="A278" s="6" t="s">
        <v>1666</v>
      </c>
      <c r="B278" s="6" t="s">
        <v>1667</v>
      </c>
      <c r="C278" s="6" t="s">
        <v>75</v>
      </c>
      <c r="D278" s="6" t="s">
        <v>1668</v>
      </c>
      <c r="E278" s="6" t="s">
        <v>35</v>
      </c>
      <c r="F278" s="6" t="s">
        <v>787</v>
      </c>
      <c r="G278" s="6" t="s">
        <v>1657</v>
      </c>
      <c r="H278" s="6" t="s">
        <v>1658</v>
      </c>
      <c r="I278" s="6" t="s">
        <v>1669</v>
      </c>
      <c r="J278" s="6" t="s">
        <v>1670</v>
      </c>
      <c r="K278" s="6" t="s">
        <v>641</v>
      </c>
      <c r="L278" s="14" t="s">
        <v>55</v>
      </c>
    </row>
    <row r="279" ht="15.75" hidden="1" customHeight="1">
      <c r="A279" s="6" t="s">
        <v>1671</v>
      </c>
      <c r="B279" s="6" t="s">
        <v>1672</v>
      </c>
      <c r="C279" s="6" t="s">
        <v>75</v>
      </c>
      <c r="D279" s="6" t="s">
        <v>1673</v>
      </c>
      <c r="E279" s="6" t="s">
        <v>35</v>
      </c>
      <c r="F279" s="6" t="s">
        <v>787</v>
      </c>
      <c r="G279" s="6" t="s">
        <v>1657</v>
      </c>
      <c r="H279" s="6" t="s">
        <v>1658</v>
      </c>
      <c r="I279" s="6" t="s">
        <v>1674</v>
      </c>
      <c r="J279" s="6" t="s">
        <v>1675</v>
      </c>
      <c r="K279" s="6" t="s">
        <v>641</v>
      </c>
      <c r="L279" s="10" t="s">
        <v>609</v>
      </c>
    </row>
    <row r="280" ht="15.75" hidden="1" customHeight="1">
      <c r="A280" s="6" t="s">
        <v>1676</v>
      </c>
      <c r="B280" s="6" t="s">
        <v>1677</v>
      </c>
      <c r="C280" s="6" t="s">
        <v>75</v>
      </c>
      <c r="D280" s="6" t="s">
        <v>1678</v>
      </c>
      <c r="E280" s="6" t="s">
        <v>331</v>
      </c>
      <c r="F280" s="6" t="s">
        <v>1591</v>
      </c>
      <c r="G280" s="6" t="s">
        <v>1679</v>
      </c>
      <c r="H280" s="6" t="s">
        <v>1680</v>
      </c>
      <c r="I280" s="6" t="s">
        <v>1681</v>
      </c>
      <c r="J280" s="6" t="s">
        <v>1682</v>
      </c>
      <c r="K280" s="6" t="s">
        <v>1683</v>
      </c>
      <c r="L280" s="10" t="s">
        <v>609</v>
      </c>
    </row>
    <row r="281" ht="15.75" hidden="1" customHeight="1">
      <c r="A281" s="6" t="s">
        <v>1684</v>
      </c>
      <c r="B281" s="6" t="s">
        <v>1685</v>
      </c>
      <c r="C281" s="6" t="s">
        <v>75</v>
      </c>
      <c r="D281" s="6" t="s">
        <v>1686</v>
      </c>
      <c r="E281" s="6" t="s">
        <v>331</v>
      </c>
      <c r="F281" s="6" t="s">
        <v>1591</v>
      </c>
      <c r="G281" s="6" t="s">
        <v>1679</v>
      </c>
      <c r="H281" s="6" t="s">
        <v>1680</v>
      </c>
      <c r="I281" s="6" t="s">
        <v>1687</v>
      </c>
      <c r="J281" s="6" t="s">
        <v>1688</v>
      </c>
      <c r="K281" s="6" t="s">
        <v>1683</v>
      </c>
      <c r="L281" s="10" t="s">
        <v>609</v>
      </c>
    </row>
    <row r="282" ht="15.75" hidden="1" customHeight="1">
      <c r="A282" s="6" t="s">
        <v>1689</v>
      </c>
      <c r="B282" s="6" t="s">
        <v>1690</v>
      </c>
      <c r="C282" s="6" t="s">
        <v>75</v>
      </c>
      <c r="D282" s="6" t="s">
        <v>1691</v>
      </c>
      <c r="E282" s="6" t="s">
        <v>331</v>
      </c>
      <c r="F282" s="6" t="s">
        <v>1591</v>
      </c>
      <c r="G282" s="6" t="s">
        <v>1679</v>
      </c>
      <c r="H282" s="6" t="s">
        <v>1680</v>
      </c>
      <c r="I282" s="6" t="s">
        <v>1692</v>
      </c>
      <c r="J282" s="6" t="s">
        <v>1693</v>
      </c>
      <c r="K282" s="6" t="s">
        <v>497</v>
      </c>
      <c r="L282" s="10" t="s">
        <v>30</v>
      </c>
    </row>
    <row r="283" ht="15.75" hidden="1" customHeight="1">
      <c r="A283" s="6" t="s">
        <v>1694</v>
      </c>
      <c r="B283" s="6" t="s">
        <v>1695</v>
      </c>
      <c r="C283" s="6" t="s">
        <v>75</v>
      </c>
      <c r="D283" s="6" t="s">
        <v>1696</v>
      </c>
      <c r="E283" s="6" t="s">
        <v>35</v>
      </c>
      <c r="F283" s="6" t="s">
        <v>787</v>
      </c>
      <c r="G283" s="6" t="s">
        <v>1657</v>
      </c>
      <c r="H283" s="6" t="s">
        <v>1658</v>
      </c>
      <c r="I283" s="6" t="s">
        <v>1697</v>
      </c>
      <c r="J283" s="6" t="s">
        <v>1698</v>
      </c>
      <c r="K283" s="6" t="s">
        <v>1699</v>
      </c>
      <c r="L283" s="14" t="s">
        <v>55</v>
      </c>
    </row>
    <row r="284" ht="15.75" hidden="1" customHeight="1">
      <c r="A284" s="6" t="s">
        <v>1700</v>
      </c>
      <c r="B284" s="6" t="s">
        <v>1701</v>
      </c>
      <c r="C284" s="6" t="s">
        <v>90</v>
      </c>
      <c r="D284" s="6" t="s">
        <v>21</v>
      </c>
      <c r="E284" s="6" t="s">
        <v>22</v>
      </c>
      <c r="F284" s="6" t="s">
        <v>23</v>
      </c>
      <c r="G284" s="6" t="s">
        <v>24</v>
      </c>
      <c r="H284" s="6" t="s">
        <v>25</v>
      </c>
      <c r="I284" s="6" t="s">
        <v>1702</v>
      </c>
      <c r="J284" s="6" t="s">
        <v>1703</v>
      </c>
      <c r="K284" s="6" t="s">
        <v>29</v>
      </c>
      <c r="L284" s="10" t="s">
        <v>30</v>
      </c>
    </row>
    <row r="285" ht="15.75" hidden="1" customHeight="1">
      <c r="A285" s="6" t="s">
        <v>1704</v>
      </c>
      <c r="B285" s="6" t="s">
        <v>1705</v>
      </c>
      <c r="C285" s="6" t="s">
        <v>90</v>
      </c>
      <c r="D285" s="6" t="s">
        <v>1706</v>
      </c>
      <c r="E285" s="6" t="s">
        <v>35</v>
      </c>
      <c r="F285" s="6" t="s">
        <v>271</v>
      </c>
      <c r="G285" s="6" t="s">
        <v>1707</v>
      </c>
      <c r="H285" s="6" t="s">
        <v>1708</v>
      </c>
      <c r="I285" s="6" t="s">
        <v>1709</v>
      </c>
      <c r="J285" s="6" t="s">
        <v>1710</v>
      </c>
      <c r="K285" s="6" t="s">
        <v>562</v>
      </c>
      <c r="L285" s="10" t="s">
        <v>30</v>
      </c>
    </row>
    <row r="286" ht="15.75" hidden="1" customHeight="1">
      <c r="A286" s="6" t="s">
        <v>1711</v>
      </c>
      <c r="B286" s="6" t="s">
        <v>1712</v>
      </c>
      <c r="C286" s="6" t="s">
        <v>90</v>
      </c>
      <c r="D286" s="6" t="s">
        <v>1713</v>
      </c>
      <c r="E286" s="6" t="s">
        <v>35</v>
      </c>
      <c r="F286" s="6" t="s">
        <v>271</v>
      </c>
      <c r="G286" s="6" t="s">
        <v>1707</v>
      </c>
      <c r="H286" s="6" t="s">
        <v>1708</v>
      </c>
      <c r="I286" s="6" t="s">
        <v>1714</v>
      </c>
      <c r="J286" s="6" t="s">
        <v>1715</v>
      </c>
      <c r="K286" s="6" t="s">
        <v>562</v>
      </c>
      <c r="L286" s="10" t="s">
        <v>30</v>
      </c>
    </row>
    <row r="287" ht="15.75" hidden="1" customHeight="1">
      <c r="A287" s="6" t="s">
        <v>1716</v>
      </c>
      <c r="B287" s="6" t="s">
        <v>1717</v>
      </c>
      <c r="C287" s="6" t="s">
        <v>90</v>
      </c>
      <c r="D287" s="6" t="s">
        <v>1718</v>
      </c>
      <c r="E287" s="6" t="s">
        <v>35</v>
      </c>
      <c r="F287" s="6" t="s">
        <v>271</v>
      </c>
      <c r="G287" s="6" t="s">
        <v>1707</v>
      </c>
      <c r="H287" s="6" t="s">
        <v>1708</v>
      </c>
      <c r="I287" s="6" t="s">
        <v>1719</v>
      </c>
      <c r="J287" s="6" t="s">
        <v>1720</v>
      </c>
      <c r="K287" s="6" t="s">
        <v>562</v>
      </c>
      <c r="L287" s="10" t="s">
        <v>30</v>
      </c>
    </row>
    <row r="288" ht="15.75" hidden="1" customHeight="1">
      <c r="A288" s="6" t="s">
        <v>1721</v>
      </c>
      <c r="B288" s="6" t="s">
        <v>1722</v>
      </c>
      <c r="C288" s="6" t="s">
        <v>90</v>
      </c>
      <c r="D288" s="6" t="s">
        <v>1723</v>
      </c>
      <c r="E288" s="6" t="s">
        <v>35</v>
      </c>
      <c r="F288" s="6" t="s">
        <v>271</v>
      </c>
      <c r="G288" s="6" t="s">
        <v>1707</v>
      </c>
      <c r="H288" s="6" t="s">
        <v>1708</v>
      </c>
      <c r="I288" s="6" t="s">
        <v>1724</v>
      </c>
      <c r="J288" s="6" t="s">
        <v>1725</v>
      </c>
      <c r="K288" s="6" t="s">
        <v>562</v>
      </c>
      <c r="L288" s="10" t="s">
        <v>30</v>
      </c>
    </row>
    <row r="289" ht="15.75" hidden="1" customHeight="1">
      <c r="A289" s="6" t="s">
        <v>1726</v>
      </c>
      <c r="B289" s="6" t="s">
        <v>1727</v>
      </c>
      <c r="C289" s="6" t="s">
        <v>90</v>
      </c>
      <c r="D289" s="6" t="s">
        <v>1728</v>
      </c>
      <c r="E289" s="6" t="s">
        <v>35</v>
      </c>
      <c r="F289" s="6" t="s">
        <v>271</v>
      </c>
      <c r="G289" s="6" t="s">
        <v>1707</v>
      </c>
      <c r="H289" s="6" t="s">
        <v>1708</v>
      </c>
      <c r="I289" s="6" t="s">
        <v>1729</v>
      </c>
      <c r="J289" s="6" t="s">
        <v>1730</v>
      </c>
      <c r="K289" s="6" t="s">
        <v>562</v>
      </c>
      <c r="L289" s="10" t="s">
        <v>30</v>
      </c>
    </row>
    <row r="290" ht="15.75" hidden="1" customHeight="1">
      <c r="A290" s="6" t="s">
        <v>1731</v>
      </c>
      <c r="B290" s="6" t="s">
        <v>1732</v>
      </c>
      <c r="C290" s="6" t="s">
        <v>90</v>
      </c>
      <c r="D290" s="6" t="s">
        <v>1733</v>
      </c>
      <c r="E290" s="6" t="s">
        <v>35</v>
      </c>
      <c r="F290" s="6" t="s">
        <v>271</v>
      </c>
      <c r="G290" s="6" t="s">
        <v>1707</v>
      </c>
      <c r="H290" s="6" t="s">
        <v>1708</v>
      </c>
      <c r="I290" s="6" t="s">
        <v>1734</v>
      </c>
      <c r="J290" s="6" t="s">
        <v>1735</v>
      </c>
      <c r="K290" s="6" t="s">
        <v>562</v>
      </c>
      <c r="L290" s="10" t="s">
        <v>30</v>
      </c>
    </row>
    <row r="291" ht="15.75" hidden="1" customHeight="1">
      <c r="A291" s="6" t="s">
        <v>1736</v>
      </c>
      <c r="B291" s="6" t="s">
        <v>1737</v>
      </c>
      <c r="C291" s="6" t="s">
        <v>90</v>
      </c>
      <c r="D291" s="6" t="s">
        <v>1738</v>
      </c>
      <c r="E291" s="6" t="s">
        <v>35</v>
      </c>
      <c r="F291" s="6" t="s">
        <v>271</v>
      </c>
      <c r="G291" s="6" t="s">
        <v>1707</v>
      </c>
      <c r="H291" s="6" t="s">
        <v>1708</v>
      </c>
      <c r="I291" s="6" t="s">
        <v>1739</v>
      </c>
      <c r="J291" s="6" t="s">
        <v>1740</v>
      </c>
      <c r="K291" s="6" t="s">
        <v>562</v>
      </c>
      <c r="L291" s="10" t="s">
        <v>30</v>
      </c>
    </row>
    <row r="292" ht="15.75" hidden="1" customHeight="1">
      <c r="A292" s="6" t="s">
        <v>1741</v>
      </c>
      <c r="B292" s="6" t="s">
        <v>1742</v>
      </c>
      <c r="C292" s="6" t="s">
        <v>90</v>
      </c>
      <c r="D292" s="6" t="s">
        <v>1743</v>
      </c>
      <c r="E292" s="6" t="s">
        <v>35</v>
      </c>
      <c r="F292" s="6" t="s">
        <v>271</v>
      </c>
      <c r="G292" s="6" t="s">
        <v>1707</v>
      </c>
      <c r="H292" s="6" t="s">
        <v>1708</v>
      </c>
      <c r="I292" s="6" t="s">
        <v>1744</v>
      </c>
      <c r="J292" s="6" t="s">
        <v>1745</v>
      </c>
      <c r="K292" s="6" t="s">
        <v>562</v>
      </c>
      <c r="L292" s="10" t="s">
        <v>30</v>
      </c>
    </row>
    <row r="293" ht="15.75" hidden="1" customHeight="1">
      <c r="A293" s="6" t="s">
        <v>1746</v>
      </c>
      <c r="B293" s="6" t="s">
        <v>1747</v>
      </c>
      <c r="C293" s="6" t="s">
        <v>90</v>
      </c>
      <c r="D293" s="6" t="s">
        <v>1748</v>
      </c>
      <c r="E293" s="6" t="s">
        <v>35</v>
      </c>
      <c r="F293" s="6" t="s">
        <v>882</v>
      </c>
      <c r="G293" s="6" t="s">
        <v>920</v>
      </c>
      <c r="H293" s="6" t="s">
        <v>921</v>
      </c>
      <c r="I293" s="6" t="s">
        <v>1749</v>
      </c>
      <c r="J293" s="6" t="s">
        <v>1750</v>
      </c>
      <c r="K293" s="6" t="s">
        <v>562</v>
      </c>
      <c r="L293" s="10" t="s">
        <v>30</v>
      </c>
    </row>
    <row r="294" ht="15.75" hidden="1" customHeight="1">
      <c r="A294" s="6" t="s">
        <v>1751</v>
      </c>
      <c r="B294" s="6" t="s">
        <v>1752</v>
      </c>
      <c r="C294" s="6" t="s">
        <v>90</v>
      </c>
      <c r="D294" s="6" t="s">
        <v>1753</v>
      </c>
      <c r="E294" s="6" t="s">
        <v>35</v>
      </c>
      <c r="F294" s="6" t="s">
        <v>882</v>
      </c>
      <c r="G294" s="6" t="s">
        <v>920</v>
      </c>
      <c r="H294" s="6" t="s">
        <v>921</v>
      </c>
      <c r="I294" s="6" t="s">
        <v>1754</v>
      </c>
      <c r="J294" s="6" t="s">
        <v>1755</v>
      </c>
      <c r="K294" s="6" t="s">
        <v>562</v>
      </c>
      <c r="L294" s="10" t="s">
        <v>30</v>
      </c>
    </row>
    <row r="295" ht="15.75" hidden="1" customHeight="1">
      <c r="A295" s="6" t="s">
        <v>1756</v>
      </c>
      <c r="B295" s="6" t="s">
        <v>1757</v>
      </c>
      <c r="C295" s="6" t="s">
        <v>90</v>
      </c>
      <c r="D295" s="6" t="s">
        <v>1758</v>
      </c>
      <c r="E295" s="6" t="s">
        <v>35</v>
      </c>
      <c r="F295" s="6" t="s">
        <v>882</v>
      </c>
      <c r="G295" s="6" t="s">
        <v>920</v>
      </c>
      <c r="H295" s="6" t="s">
        <v>921</v>
      </c>
      <c r="I295" s="6" t="s">
        <v>1759</v>
      </c>
      <c r="J295" s="6" t="s">
        <v>1760</v>
      </c>
      <c r="K295" s="6" t="s">
        <v>562</v>
      </c>
      <c r="L295" s="10" t="s">
        <v>30</v>
      </c>
    </row>
    <row r="296" ht="15.75" hidden="1" customHeight="1">
      <c r="A296" s="6" t="s">
        <v>1761</v>
      </c>
      <c r="B296" s="6" t="s">
        <v>1762</v>
      </c>
      <c r="C296" s="6" t="s">
        <v>90</v>
      </c>
      <c r="D296" s="6" t="s">
        <v>1763</v>
      </c>
      <c r="E296" s="6" t="s">
        <v>331</v>
      </c>
      <c r="F296" s="6" t="s">
        <v>1271</v>
      </c>
      <c r="G296" s="6" t="s">
        <v>1764</v>
      </c>
      <c r="H296" s="6" t="s">
        <v>1765</v>
      </c>
      <c r="I296" s="6" t="s">
        <v>1766</v>
      </c>
      <c r="J296" s="6" t="s">
        <v>1767</v>
      </c>
      <c r="K296" s="6" t="s">
        <v>562</v>
      </c>
      <c r="L296" s="10" t="s">
        <v>30</v>
      </c>
    </row>
    <row r="297" ht="15.75" hidden="1" customHeight="1">
      <c r="A297" s="6" t="s">
        <v>1768</v>
      </c>
      <c r="B297" s="6" t="s">
        <v>1769</v>
      </c>
      <c r="C297" s="6" t="s">
        <v>90</v>
      </c>
      <c r="D297" s="6" t="s">
        <v>1770</v>
      </c>
      <c r="E297" s="6" t="s">
        <v>331</v>
      </c>
      <c r="F297" s="6" t="s">
        <v>1271</v>
      </c>
      <c r="G297" s="6" t="s">
        <v>1764</v>
      </c>
      <c r="H297" s="6" t="s">
        <v>1765</v>
      </c>
      <c r="I297" s="6" t="s">
        <v>1771</v>
      </c>
      <c r="J297" s="6" t="s">
        <v>1772</v>
      </c>
      <c r="K297" s="6" t="s">
        <v>562</v>
      </c>
      <c r="L297" s="10" t="s">
        <v>30</v>
      </c>
    </row>
    <row r="298" ht="15.75" hidden="1" customHeight="1">
      <c r="A298" s="6" t="s">
        <v>1773</v>
      </c>
      <c r="B298" s="6" t="s">
        <v>1774</v>
      </c>
      <c r="C298" s="6" t="s">
        <v>90</v>
      </c>
      <c r="D298" s="6" t="s">
        <v>1775</v>
      </c>
      <c r="E298" s="6" t="s">
        <v>331</v>
      </c>
      <c r="F298" s="6" t="s">
        <v>1271</v>
      </c>
      <c r="G298" s="6" t="s">
        <v>1764</v>
      </c>
      <c r="H298" s="6" t="s">
        <v>1765</v>
      </c>
      <c r="I298" s="6" t="s">
        <v>1776</v>
      </c>
      <c r="J298" s="6" t="s">
        <v>1777</v>
      </c>
      <c r="K298" s="6" t="s">
        <v>562</v>
      </c>
      <c r="L298" s="10" t="s">
        <v>30</v>
      </c>
    </row>
    <row r="299" ht="15.75" hidden="1" customHeight="1">
      <c r="A299" s="6" t="s">
        <v>1778</v>
      </c>
      <c r="B299" s="6" t="s">
        <v>1779</v>
      </c>
      <c r="C299" s="6" t="s">
        <v>90</v>
      </c>
      <c r="D299" s="6" t="s">
        <v>1780</v>
      </c>
      <c r="E299" s="6" t="s">
        <v>331</v>
      </c>
      <c r="F299" s="6" t="s">
        <v>1271</v>
      </c>
      <c r="G299" s="6" t="s">
        <v>1764</v>
      </c>
      <c r="H299" s="6" t="s">
        <v>1765</v>
      </c>
      <c r="I299" s="6" t="s">
        <v>1781</v>
      </c>
      <c r="J299" s="6" t="s">
        <v>1782</v>
      </c>
      <c r="K299" s="6" t="s">
        <v>562</v>
      </c>
      <c r="L299" s="10" t="s">
        <v>30</v>
      </c>
    </row>
    <row r="300" ht="15.75" hidden="1" customHeight="1">
      <c r="A300" s="6" t="s">
        <v>1783</v>
      </c>
      <c r="B300" s="6" t="s">
        <v>1784</v>
      </c>
      <c r="C300" s="6" t="s">
        <v>90</v>
      </c>
      <c r="D300" s="6" t="s">
        <v>1785</v>
      </c>
      <c r="E300" s="6" t="s">
        <v>331</v>
      </c>
      <c r="F300" s="6" t="s">
        <v>1271</v>
      </c>
      <c r="G300" s="6" t="s">
        <v>1764</v>
      </c>
      <c r="H300" s="6" t="s">
        <v>1765</v>
      </c>
      <c r="I300" s="6" t="s">
        <v>1786</v>
      </c>
      <c r="J300" s="6" t="s">
        <v>1787</v>
      </c>
      <c r="K300" s="6" t="s">
        <v>562</v>
      </c>
      <c r="L300" s="10" t="s">
        <v>30</v>
      </c>
    </row>
    <row r="301" ht="15.75" hidden="1" customHeight="1">
      <c r="A301" s="6" t="s">
        <v>1788</v>
      </c>
      <c r="B301" s="6" t="s">
        <v>1789</v>
      </c>
      <c r="C301" s="6" t="s">
        <v>90</v>
      </c>
      <c r="D301" s="6" t="s">
        <v>1790</v>
      </c>
      <c r="E301" s="6" t="s">
        <v>331</v>
      </c>
      <c r="F301" s="6" t="s">
        <v>1271</v>
      </c>
      <c r="G301" s="6" t="s">
        <v>1764</v>
      </c>
      <c r="H301" s="6" t="s">
        <v>1765</v>
      </c>
      <c r="I301" s="6" t="s">
        <v>1791</v>
      </c>
      <c r="J301" s="6" t="s">
        <v>1792</v>
      </c>
      <c r="K301" s="6" t="s">
        <v>562</v>
      </c>
      <c r="L301" s="10" t="s">
        <v>30</v>
      </c>
    </row>
    <row r="302" ht="15.75" hidden="1" customHeight="1">
      <c r="A302" s="6" t="s">
        <v>1793</v>
      </c>
      <c r="B302" s="6" t="s">
        <v>1794</v>
      </c>
      <c r="C302" s="6" t="s">
        <v>90</v>
      </c>
      <c r="D302" s="6" t="s">
        <v>1795</v>
      </c>
      <c r="E302" s="6" t="s">
        <v>35</v>
      </c>
      <c r="F302" s="6" t="s">
        <v>271</v>
      </c>
      <c r="G302" s="6" t="s">
        <v>1707</v>
      </c>
      <c r="H302" s="6" t="s">
        <v>1708</v>
      </c>
      <c r="I302" s="6" t="s">
        <v>1796</v>
      </c>
      <c r="J302" s="6" t="s">
        <v>1797</v>
      </c>
      <c r="K302" s="6" t="s">
        <v>1798</v>
      </c>
      <c r="L302" s="14" t="s">
        <v>55</v>
      </c>
    </row>
    <row r="303" ht="15.75" hidden="1" customHeight="1">
      <c r="A303" s="6" t="s">
        <v>1799</v>
      </c>
      <c r="B303" s="6" t="s">
        <v>1800</v>
      </c>
      <c r="C303" s="6" t="s">
        <v>90</v>
      </c>
      <c r="D303" s="6" t="s">
        <v>1801</v>
      </c>
      <c r="E303" s="6" t="s">
        <v>35</v>
      </c>
      <c r="F303" s="6" t="s">
        <v>271</v>
      </c>
      <c r="G303" s="6" t="s">
        <v>1707</v>
      </c>
      <c r="H303" s="6" t="s">
        <v>1708</v>
      </c>
      <c r="I303" s="6" t="s">
        <v>1802</v>
      </c>
      <c r="J303" s="6" t="s">
        <v>1803</v>
      </c>
      <c r="K303" s="6" t="s">
        <v>1798</v>
      </c>
      <c r="L303" s="10" t="s">
        <v>609</v>
      </c>
    </row>
    <row r="304" ht="15.75" hidden="1" customHeight="1">
      <c r="A304" s="6" t="s">
        <v>1804</v>
      </c>
      <c r="B304" s="6" t="s">
        <v>1805</v>
      </c>
      <c r="C304" s="6" t="s">
        <v>90</v>
      </c>
      <c r="D304" s="6" t="s">
        <v>1806</v>
      </c>
      <c r="E304" s="6" t="s">
        <v>35</v>
      </c>
      <c r="F304" s="6" t="s">
        <v>271</v>
      </c>
      <c r="G304" s="6" t="s">
        <v>1707</v>
      </c>
      <c r="H304" s="6" t="s">
        <v>1708</v>
      </c>
      <c r="I304" s="6" t="s">
        <v>1807</v>
      </c>
      <c r="J304" s="6" t="s">
        <v>1808</v>
      </c>
      <c r="K304" s="6" t="s">
        <v>1798</v>
      </c>
      <c r="L304" s="10" t="s">
        <v>609</v>
      </c>
    </row>
    <row r="305" ht="15.75" hidden="1" customHeight="1">
      <c r="A305" s="6" t="s">
        <v>1809</v>
      </c>
      <c r="B305" s="6" t="s">
        <v>1810</v>
      </c>
      <c r="C305" s="6" t="s">
        <v>90</v>
      </c>
      <c r="D305" s="6" t="s">
        <v>1811</v>
      </c>
      <c r="E305" s="6" t="s">
        <v>35</v>
      </c>
      <c r="F305" s="6" t="s">
        <v>271</v>
      </c>
      <c r="G305" s="6" t="s">
        <v>1707</v>
      </c>
      <c r="H305" s="6" t="s">
        <v>1708</v>
      </c>
      <c r="I305" s="6" t="s">
        <v>1812</v>
      </c>
      <c r="J305" s="6" t="s">
        <v>1813</v>
      </c>
      <c r="K305" s="6" t="s">
        <v>1798</v>
      </c>
      <c r="L305" s="10" t="s">
        <v>609</v>
      </c>
    </row>
    <row r="306" ht="15.75" customHeight="1">
      <c r="A306" s="6" t="s">
        <v>1814</v>
      </c>
      <c r="B306" s="6" t="s">
        <v>1815</v>
      </c>
      <c r="C306" s="6" t="s">
        <v>90</v>
      </c>
      <c r="D306" s="6" t="s">
        <v>1816</v>
      </c>
      <c r="E306" s="6" t="s">
        <v>35</v>
      </c>
      <c r="F306" s="6" t="s">
        <v>271</v>
      </c>
      <c r="G306" s="6" t="s">
        <v>1707</v>
      </c>
      <c r="H306" s="6" t="s">
        <v>1708</v>
      </c>
      <c r="I306" s="6" t="s">
        <v>1817</v>
      </c>
      <c r="J306" s="6" t="s">
        <v>1818</v>
      </c>
      <c r="K306" s="6" t="s">
        <v>1819</v>
      </c>
      <c r="L306" s="14" t="s">
        <v>55</v>
      </c>
    </row>
    <row r="307" ht="15.75" customHeight="1">
      <c r="A307" s="6" t="s">
        <v>1820</v>
      </c>
      <c r="B307" s="6" t="s">
        <v>1821</v>
      </c>
      <c r="C307" s="6" t="s">
        <v>90</v>
      </c>
      <c r="D307" s="6" t="s">
        <v>1822</v>
      </c>
      <c r="E307" s="6" t="s">
        <v>35</v>
      </c>
      <c r="F307" s="6" t="s">
        <v>271</v>
      </c>
      <c r="G307" s="6" t="s">
        <v>1707</v>
      </c>
      <c r="H307" s="6" t="s">
        <v>1708</v>
      </c>
      <c r="I307" s="6" t="s">
        <v>1823</v>
      </c>
      <c r="J307" s="6" t="s">
        <v>1824</v>
      </c>
      <c r="K307" s="6" t="s">
        <v>1819</v>
      </c>
      <c r="L307" s="10" t="s">
        <v>609</v>
      </c>
    </row>
    <row r="308" ht="15.75" customHeight="1">
      <c r="A308" s="6" t="s">
        <v>1825</v>
      </c>
      <c r="B308" s="6" t="s">
        <v>1826</v>
      </c>
      <c r="C308" s="6" t="s">
        <v>90</v>
      </c>
      <c r="D308" s="6" t="s">
        <v>1827</v>
      </c>
      <c r="E308" s="6" t="s">
        <v>35</v>
      </c>
      <c r="F308" s="6" t="s">
        <v>271</v>
      </c>
      <c r="G308" s="6" t="s">
        <v>1707</v>
      </c>
      <c r="H308" s="6" t="s">
        <v>1708</v>
      </c>
      <c r="I308" s="6" t="s">
        <v>1828</v>
      </c>
      <c r="J308" s="6" t="s">
        <v>1829</v>
      </c>
      <c r="K308" s="6" t="s">
        <v>1819</v>
      </c>
      <c r="L308" s="10" t="s">
        <v>609</v>
      </c>
    </row>
    <row r="309" ht="15.75" customHeight="1">
      <c r="A309" s="6" t="s">
        <v>1830</v>
      </c>
      <c r="B309" s="6" t="s">
        <v>1831</v>
      </c>
      <c r="C309" s="6" t="s">
        <v>90</v>
      </c>
      <c r="D309" s="6" t="s">
        <v>1832</v>
      </c>
      <c r="E309" s="6" t="s">
        <v>35</v>
      </c>
      <c r="F309" s="6" t="s">
        <v>271</v>
      </c>
      <c r="G309" s="6" t="s">
        <v>1707</v>
      </c>
      <c r="H309" s="6" t="s">
        <v>1708</v>
      </c>
      <c r="I309" s="6" t="s">
        <v>1833</v>
      </c>
      <c r="J309" s="6" t="s">
        <v>1834</v>
      </c>
      <c r="K309" s="6" t="s">
        <v>1819</v>
      </c>
      <c r="L309" s="10" t="s">
        <v>609</v>
      </c>
    </row>
    <row r="310" ht="15.75" customHeight="1">
      <c r="A310" s="6" t="s">
        <v>1835</v>
      </c>
      <c r="B310" s="6" t="s">
        <v>1836</v>
      </c>
      <c r="C310" s="6" t="s">
        <v>90</v>
      </c>
      <c r="D310" s="6" t="s">
        <v>1837</v>
      </c>
      <c r="E310" s="6" t="s">
        <v>35</v>
      </c>
      <c r="F310" s="6" t="s">
        <v>271</v>
      </c>
      <c r="G310" s="6" t="s">
        <v>1707</v>
      </c>
      <c r="H310" s="6" t="s">
        <v>1708</v>
      </c>
      <c r="I310" s="6" t="s">
        <v>1838</v>
      </c>
      <c r="J310" s="6" t="s">
        <v>1839</v>
      </c>
      <c r="K310" s="6" t="s">
        <v>1819</v>
      </c>
      <c r="L310" s="10" t="s">
        <v>609</v>
      </c>
    </row>
    <row r="311" ht="15.75" customHeight="1">
      <c r="A311" s="6" t="s">
        <v>1840</v>
      </c>
      <c r="B311" s="6" t="s">
        <v>1841</v>
      </c>
      <c r="C311" s="6" t="s">
        <v>90</v>
      </c>
      <c r="D311" s="6" t="s">
        <v>1842</v>
      </c>
      <c r="E311" s="6" t="s">
        <v>35</v>
      </c>
      <c r="F311" s="6" t="s">
        <v>271</v>
      </c>
      <c r="G311" s="6" t="s">
        <v>1707</v>
      </c>
      <c r="H311" s="6" t="s">
        <v>1708</v>
      </c>
      <c r="I311" s="6" t="s">
        <v>1843</v>
      </c>
      <c r="J311" s="6" t="s">
        <v>1844</v>
      </c>
      <c r="K311" s="6" t="s">
        <v>1819</v>
      </c>
      <c r="L311" s="10" t="s">
        <v>609</v>
      </c>
    </row>
    <row r="312" ht="15.75" hidden="1" customHeight="1">
      <c r="A312" s="6" t="s">
        <v>1845</v>
      </c>
      <c r="B312" s="6" t="s">
        <v>1846</v>
      </c>
      <c r="C312" s="6" t="s">
        <v>90</v>
      </c>
      <c r="D312" s="6" t="s">
        <v>1847</v>
      </c>
      <c r="E312" s="6" t="s">
        <v>35</v>
      </c>
      <c r="F312" s="6" t="s">
        <v>271</v>
      </c>
      <c r="G312" s="6" t="s">
        <v>1707</v>
      </c>
      <c r="H312" s="6" t="s">
        <v>1708</v>
      </c>
      <c r="I312" s="6" t="s">
        <v>1848</v>
      </c>
      <c r="J312" s="6" t="s">
        <v>1849</v>
      </c>
      <c r="K312" s="6" t="s">
        <v>459</v>
      </c>
      <c r="L312" s="14" t="s">
        <v>55</v>
      </c>
    </row>
    <row r="313" ht="15.75" hidden="1" customHeight="1">
      <c r="A313" s="6" t="s">
        <v>1850</v>
      </c>
      <c r="B313" s="6" t="s">
        <v>1851</v>
      </c>
      <c r="C313" s="6" t="s">
        <v>90</v>
      </c>
      <c r="D313" s="6" t="s">
        <v>1852</v>
      </c>
      <c r="E313" s="6" t="s">
        <v>35</v>
      </c>
      <c r="F313" s="6" t="s">
        <v>271</v>
      </c>
      <c r="G313" s="6" t="s">
        <v>1707</v>
      </c>
      <c r="H313" s="6" t="s">
        <v>1708</v>
      </c>
      <c r="I313" s="6" t="s">
        <v>1853</v>
      </c>
      <c r="J313" s="6" t="s">
        <v>1854</v>
      </c>
      <c r="K313" s="6" t="s">
        <v>459</v>
      </c>
      <c r="L313" s="10" t="s">
        <v>609</v>
      </c>
    </row>
    <row r="314" ht="15.75" hidden="1" customHeight="1">
      <c r="A314" s="6" t="s">
        <v>1855</v>
      </c>
      <c r="B314" s="6" t="s">
        <v>1856</v>
      </c>
      <c r="C314" s="6" t="s">
        <v>90</v>
      </c>
      <c r="D314" s="6" t="s">
        <v>1857</v>
      </c>
      <c r="E314" s="6" t="s">
        <v>35</v>
      </c>
      <c r="F314" s="6" t="s">
        <v>271</v>
      </c>
      <c r="G314" s="6" t="s">
        <v>1707</v>
      </c>
      <c r="H314" s="6" t="s">
        <v>1708</v>
      </c>
      <c r="I314" s="6" t="s">
        <v>1858</v>
      </c>
      <c r="J314" s="6" t="s">
        <v>1859</v>
      </c>
      <c r="K314" s="6" t="s">
        <v>459</v>
      </c>
      <c r="L314" s="10" t="s">
        <v>609</v>
      </c>
    </row>
    <row r="315" ht="15.75" hidden="1" customHeight="1">
      <c r="A315" s="6" t="s">
        <v>1860</v>
      </c>
      <c r="B315" s="6" t="s">
        <v>1861</v>
      </c>
      <c r="C315" s="6" t="s">
        <v>90</v>
      </c>
      <c r="D315" s="6" t="s">
        <v>1862</v>
      </c>
      <c r="E315" s="6" t="s">
        <v>35</v>
      </c>
      <c r="F315" s="6" t="s">
        <v>271</v>
      </c>
      <c r="G315" s="6" t="s">
        <v>1707</v>
      </c>
      <c r="H315" s="6" t="s">
        <v>1708</v>
      </c>
      <c r="I315" s="6" t="s">
        <v>1863</v>
      </c>
      <c r="J315" s="6" t="s">
        <v>1864</v>
      </c>
      <c r="K315" s="6" t="s">
        <v>459</v>
      </c>
      <c r="L315" s="10" t="s">
        <v>609</v>
      </c>
    </row>
    <row r="316" ht="15.75" hidden="1" customHeight="1">
      <c r="A316" s="6" t="s">
        <v>1865</v>
      </c>
      <c r="B316" s="6" t="s">
        <v>1866</v>
      </c>
      <c r="C316" s="6" t="s">
        <v>90</v>
      </c>
      <c r="D316" s="6" t="s">
        <v>1867</v>
      </c>
      <c r="E316" s="6" t="s">
        <v>35</v>
      </c>
      <c r="F316" s="6" t="s">
        <v>271</v>
      </c>
      <c r="G316" s="6" t="s">
        <v>1707</v>
      </c>
      <c r="H316" s="6" t="s">
        <v>1708</v>
      </c>
      <c r="I316" s="6" t="s">
        <v>1868</v>
      </c>
      <c r="J316" s="6" t="s">
        <v>1869</v>
      </c>
      <c r="K316" s="6" t="s">
        <v>459</v>
      </c>
      <c r="L316" s="10" t="s">
        <v>609</v>
      </c>
    </row>
    <row r="317" ht="15.75" hidden="1" customHeight="1">
      <c r="A317" s="6" t="s">
        <v>1870</v>
      </c>
      <c r="B317" s="6" t="s">
        <v>1871</v>
      </c>
      <c r="C317" s="6" t="s">
        <v>90</v>
      </c>
      <c r="D317" s="6" t="s">
        <v>1872</v>
      </c>
      <c r="E317" s="6" t="s">
        <v>35</v>
      </c>
      <c r="F317" s="6" t="s">
        <v>271</v>
      </c>
      <c r="G317" s="6" t="s">
        <v>1707</v>
      </c>
      <c r="H317" s="6" t="s">
        <v>1708</v>
      </c>
      <c r="I317" s="6" t="s">
        <v>1873</v>
      </c>
      <c r="J317" s="6" t="s">
        <v>1874</v>
      </c>
      <c r="K317" s="6" t="s">
        <v>459</v>
      </c>
      <c r="L317" s="10" t="s">
        <v>609</v>
      </c>
    </row>
    <row r="318" ht="15.75" customHeight="1">
      <c r="A318" s="6" t="s">
        <v>1875</v>
      </c>
      <c r="B318" s="6" t="s">
        <v>1876</v>
      </c>
      <c r="C318" s="6" t="s">
        <v>90</v>
      </c>
      <c r="D318" s="6" t="s">
        <v>1877</v>
      </c>
      <c r="E318" s="6" t="s">
        <v>35</v>
      </c>
      <c r="F318" s="6" t="s">
        <v>667</v>
      </c>
      <c r="G318" s="6" t="s">
        <v>1171</v>
      </c>
      <c r="H318" s="6" t="s">
        <v>1172</v>
      </c>
      <c r="I318" s="6" t="s">
        <v>1878</v>
      </c>
      <c r="J318" s="6" t="s">
        <v>1879</v>
      </c>
      <c r="K318" s="6" t="s">
        <v>1880</v>
      </c>
      <c r="L318" s="12" t="s">
        <v>43</v>
      </c>
    </row>
    <row r="319" ht="15.75" customHeight="1">
      <c r="A319" s="6" t="s">
        <v>1881</v>
      </c>
      <c r="B319" s="6" t="s">
        <v>1882</v>
      </c>
      <c r="C319" s="6" t="s">
        <v>90</v>
      </c>
      <c r="D319" s="6" t="s">
        <v>1883</v>
      </c>
      <c r="E319" s="6" t="s">
        <v>35</v>
      </c>
      <c r="F319" s="6" t="s">
        <v>667</v>
      </c>
      <c r="G319" s="6" t="s">
        <v>1171</v>
      </c>
      <c r="H319" s="6" t="s">
        <v>1172</v>
      </c>
      <c r="I319" s="6" t="s">
        <v>1884</v>
      </c>
      <c r="J319" s="6" t="s">
        <v>1885</v>
      </c>
      <c r="K319" s="6" t="s">
        <v>1880</v>
      </c>
      <c r="L319" s="12" t="s">
        <v>43</v>
      </c>
    </row>
    <row r="320" ht="15.75" customHeight="1">
      <c r="A320" s="6" t="s">
        <v>1886</v>
      </c>
      <c r="B320" s="6" t="s">
        <v>1887</v>
      </c>
      <c r="C320" s="6" t="s">
        <v>90</v>
      </c>
      <c r="D320" s="6" t="s">
        <v>1888</v>
      </c>
      <c r="E320" s="6" t="s">
        <v>35</v>
      </c>
      <c r="F320" s="6" t="s">
        <v>667</v>
      </c>
      <c r="G320" s="6" t="s">
        <v>1171</v>
      </c>
      <c r="H320" s="6" t="s">
        <v>1172</v>
      </c>
      <c r="I320" s="6" t="s">
        <v>1889</v>
      </c>
      <c r="J320" s="6" t="s">
        <v>1890</v>
      </c>
      <c r="K320" s="6" t="s">
        <v>1880</v>
      </c>
      <c r="L320" s="14" t="s">
        <v>55</v>
      </c>
    </row>
    <row r="321" ht="15.75" customHeight="1">
      <c r="A321" s="6" t="s">
        <v>1891</v>
      </c>
      <c r="B321" s="6" t="s">
        <v>1892</v>
      </c>
      <c r="C321" s="6" t="s">
        <v>90</v>
      </c>
      <c r="D321" s="6" t="s">
        <v>1893</v>
      </c>
      <c r="E321" s="6" t="s">
        <v>35</v>
      </c>
      <c r="F321" s="6" t="s">
        <v>667</v>
      </c>
      <c r="G321" s="6" t="s">
        <v>1171</v>
      </c>
      <c r="H321" s="6" t="s">
        <v>1172</v>
      </c>
      <c r="I321" s="6" t="s">
        <v>1894</v>
      </c>
      <c r="J321" s="6" t="s">
        <v>1895</v>
      </c>
      <c r="K321" s="6" t="s">
        <v>1880</v>
      </c>
      <c r="L321" s="14" t="s">
        <v>55</v>
      </c>
    </row>
    <row r="322" ht="15.75" customHeight="1">
      <c r="A322" s="6" t="s">
        <v>1896</v>
      </c>
      <c r="B322" s="6" t="s">
        <v>1897</v>
      </c>
      <c r="C322" s="6" t="s">
        <v>90</v>
      </c>
      <c r="D322" s="6" t="s">
        <v>1898</v>
      </c>
      <c r="E322" s="6" t="s">
        <v>35</v>
      </c>
      <c r="F322" s="6" t="s">
        <v>667</v>
      </c>
      <c r="G322" s="6" t="s">
        <v>1171</v>
      </c>
      <c r="H322" s="6" t="s">
        <v>1172</v>
      </c>
      <c r="I322" s="6" t="s">
        <v>1899</v>
      </c>
      <c r="J322" s="6" t="s">
        <v>1900</v>
      </c>
      <c r="K322" s="6" t="s">
        <v>1880</v>
      </c>
      <c r="L322" s="14" t="s">
        <v>55</v>
      </c>
    </row>
    <row r="323" ht="15.75" customHeight="1">
      <c r="A323" s="6" t="s">
        <v>1901</v>
      </c>
      <c r="B323" s="6" t="s">
        <v>1902</v>
      </c>
      <c r="C323" s="6" t="s">
        <v>90</v>
      </c>
      <c r="D323" s="6" t="s">
        <v>1903</v>
      </c>
      <c r="E323" s="6" t="s">
        <v>35</v>
      </c>
      <c r="F323" s="6" t="s">
        <v>667</v>
      </c>
      <c r="G323" s="6" t="s">
        <v>1171</v>
      </c>
      <c r="H323" s="6" t="s">
        <v>1172</v>
      </c>
      <c r="I323" s="6" t="s">
        <v>1904</v>
      </c>
      <c r="J323" s="6" t="s">
        <v>1905</v>
      </c>
      <c r="K323" s="6" t="s">
        <v>1880</v>
      </c>
      <c r="L323" s="14" t="s">
        <v>55</v>
      </c>
    </row>
    <row r="324" ht="15.75" customHeight="1">
      <c r="A324" s="6" t="s">
        <v>1906</v>
      </c>
      <c r="B324" s="6" t="s">
        <v>1907</v>
      </c>
      <c r="C324" s="6" t="s">
        <v>90</v>
      </c>
      <c r="D324" s="6" t="s">
        <v>1908</v>
      </c>
      <c r="E324" s="6" t="s">
        <v>35</v>
      </c>
      <c r="F324" s="6" t="s">
        <v>667</v>
      </c>
      <c r="G324" s="6" t="s">
        <v>1171</v>
      </c>
      <c r="H324" s="6" t="s">
        <v>1172</v>
      </c>
      <c r="I324" s="6" t="s">
        <v>1909</v>
      </c>
      <c r="J324" s="6" t="s">
        <v>1910</v>
      </c>
      <c r="K324" s="6" t="s">
        <v>1880</v>
      </c>
      <c r="L324" s="14" t="s">
        <v>55</v>
      </c>
    </row>
    <row r="325" ht="15.75" customHeight="1">
      <c r="A325" s="6" t="s">
        <v>1911</v>
      </c>
      <c r="B325" s="6" t="s">
        <v>1912</v>
      </c>
      <c r="C325" s="6" t="s">
        <v>90</v>
      </c>
      <c r="D325" s="6" t="s">
        <v>1913</v>
      </c>
      <c r="E325" s="6" t="s">
        <v>35</v>
      </c>
      <c r="F325" s="6" t="s">
        <v>667</v>
      </c>
      <c r="G325" s="6" t="s">
        <v>1171</v>
      </c>
      <c r="H325" s="6" t="s">
        <v>1172</v>
      </c>
      <c r="I325" s="6" t="s">
        <v>1914</v>
      </c>
      <c r="J325" s="6" t="s">
        <v>1915</v>
      </c>
      <c r="K325" s="6" t="s">
        <v>1880</v>
      </c>
      <c r="L325" s="12" t="s">
        <v>43</v>
      </c>
    </row>
    <row r="326" ht="15.75" hidden="1" customHeight="1">
      <c r="A326" s="6" t="s">
        <v>1916</v>
      </c>
      <c r="B326" s="6" t="s">
        <v>1917</v>
      </c>
      <c r="C326" s="6" t="s">
        <v>90</v>
      </c>
      <c r="D326" s="6" t="s">
        <v>1918</v>
      </c>
      <c r="E326" s="6" t="s">
        <v>351</v>
      </c>
      <c r="F326" s="6" t="s">
        <v>1919</v>
      </c>
      <c r="G326" s="6" t="s">
        <v>1920</v>
      </c>
      <c r="H326" s="6" t="s">
        <v>1921</v>
      </c>
      <c r="I326" s="6" t="s">
        <v>1922</v>
      </c>
      <c r="J326" s="6" t="s">
        <v>1923</v>
      </c>
      <c r="K326" s="6" t="s">
        <v>1924</v>
      </c>
      <c r="L326" s="14" t="s">
        <v>55</v>
      </c>
    </row>
    <row r="327" ht="15.75" hidden="1" customHeight="1">
      <c r="A327" s="6" t="s">
        <v>1925</v>
      </c>
      <c r="B327" s="6" t="s">
        <v>1926</v>
      </c>
      <c r="C327" s="6" t="s">
        <v>90</v>
      </c>
      <c r="D327" s="6" t="s">
        <v>1927</v>
      </c>
      <c r="E327" s="6" t="s">
        <v>351</v>
      </c>
      <c r="F327" s="6" t="s">
        <v>1919</v>
      </c>
      <c r="G327" s="6" t="s">
        <v>1920</v>
      </c>
      <c r="H327" s="6" t="s">
        <v>1921</v>
      </c>
      <c r="I327" s="6" t="s">
        <v>1928</v>
      </c>
      <c r="J327" s="6" t="s">
        <v>1929</v>
      </c>
      <c r="K327" s="6" t="s">
        <v>1924</v>
      </c>
      <c r="L327" s="10" t="s">
        <v>609</v>
      </c>
    </row>
    <row r="328" ht="15.75" hidden="1" customHeight="1">
      <c r="A328" s="6" t="s">
        <v>1930</v>
      </c>
      <c r="B328" s="6" t="s">
        <v>1931</v>
      </c>
      <c r="C328" s="6" t="s">
        <v>90</v>
      </c>
      <c r="D328" s="6" t="s">
        <v>1932</v>
      </c>
      <c r="E328" s="6" t="s">
        <v>351</v>
      </c>
      <c r="F328" s="6" t="s">
        <v>1919</v>
      </c>
      <c r="G328" s="6" t="s">
        <v>1920</v>
      </c>
      <c r="H328" s="6" t="s">
        <v>1921</v>
      </c>
      <c r="I328" s="6" t="s">
        <v>1933</v>
      </c>
      <c r="J328" s="6" t="s">
        <v>1934</v>
      </c>
      <c r="K328" s="6" t="s">
        <v>1924</v>
      </c>
      <c r="L328" s="10" t="s">
        <v>609</v>
      </c>
    </row>
    <row r="329" ht="15.75" hidden="1" customHeight="1">
      <c r="A329" s="6" t="s">
        <v>1935</v>
      </c>
      <c r="B329" s="6" t="s">
        <v>1936</v>
      </c>
      <c r="C329" s="6" t="s">
        <v>90</v>
      </c>
      <c r="D329" s="6" t="s">
        <v>1937</v>
      </c>
      <c r="E329" s="6" t="s">
        <v>351</v>
      </c>
      <c r="F329" s="6" t="s">
        <v>1919</v>
      </c>
      <c r="G329" s="6" t="s">
        <v>1920</v>
      </c>
      <c r="H329" s="6" t="s">
        <v>1921</v>
      </c>
      <c r="I329" s="6" t="s">
        <v>1938</v>
      </c>
      <c r="J329" s="6" t="s">
        <v>1939</v>
      </c>
      <c r="K329" s="6" t="s">
        <v>1924</v>
      </c>
      <c r="L329" s="10" t="s">
        <v>609</v>
      </c>
    </row>
    <row r="330" ht="15.75" hidden="1" customHeight="1">
      <c r="A330" s="6" t="s">
        <v>1940</v>
      </c>
      <c r="B330" s="6" t="s">
        <v>1941</v>
      </c>
      <c r="C330" s="6" t="s">
        <v>90</v>
      </c>
      <c r="D330" s="6" t="s">
        <v>1942</v>
      </c>
      <c r="E330" s="6" t="s">
        <v>35</v>
      </c>
      <c r="F330" s="6" t="s">
        <v>271</v>
      </c>
      <c r="G330" s="6" t="s">
        <v>1707</v>
      </c>
      <c r="H330" s="6" t="s">
        <v>1708</v>
      </c>
      <c r="I330" s="6" t="s">
        <v>1943</v>
      </c>
      <c r="J330" s="6" t="s">
        <v>1944</v>
      </c>
      <c r="K330" s="6" t="s">
        <v>459</v>
      </c>
      <c r="L330" s="10" t="s">
        <v>609</v>
      </c>
    </row>
    <row r="331" ht="15.75" hidden="1" customHeight="1">
      <c r="A331" s="6" t="s">
        <v>1945</v>
      </c>
      <c r="B331" s="6" t="s">
        <v>1946</v>
      </c>
      <c r="C331" s="6" t="s">
        <v>90</v>
      </c>
      <c r="D331" s="6" t="s">
        <v>1947</v>
      </c>
      <c r="E331" s="6" t="s">
        <v>35</v>
      </c>
      <c r="F331" s="6" t="s">
        <v>271</v>
      </c>
      <c r="G331" s="6" t="s">
        <v>1707</v>
      </c>
      <c r="H331" s="6" t="s">
        <v>1708</v>
      </c>
      <c r="I331" s="6" t="s">
        <v>1948</v>
      </c>
      <c r="J331" s="6" t="s">
        <v>1949</v>
      </c>
      <c r="K331" s="6" t="s">
        <v>1699</v>
      </c>
      <c r="L331" s="10" t="s">
        <v>609</v>
      </c>
    </row>
    <row r="332" ht="15.75" hidden="1" customHeight="1">
      <c r="A332" s="6" t="s">
        <v>1950</v>
      </c>
      <c r="B332" s="6" t="s">
        <v>1951</v>
      </c>
      <c r="C332" s="6" t="s">
        <v>90</v>
      </c>
      <c r="D332" s="6" t="s">
        <v>1952</v>
      </c>
      <c r="E332" s="6" t="s">
        <v>35</v>
      </c>
      <c r="F332" s="6" t="s">
        <v>271</v>
      </c>
      <c r="G332" s="6" t="s">
        <v>1707</v>
      </c>
      <c r="H332" s="6" t="s">
        <v>1708</v>
      </c>
      <c r="I332" s="6" t="s">
        <v>1953</v>
      </c>
      <c r="J332" s="6" t="s">
        <v>1954</v>
      </c>
      <c r="K332" s="6" t="s">
        <v>1100</v>
      </c>
      <c r="L332" s="10" t="s">
        <v>609</v>
      </c>
    </row>
    <row r="333" ht="15.75" hidden="1" customHeight="1">
      <c r="A333" s="6" t="s">
        <v>1955</v>
      </c>
      <c r="B333" s="6" t="s">
        <v>1956</v>
      </c>
      <c r="C333" s="6" t="s">
        <v>112</v>
      </c>
      <c r="D333" s="6" t="s">
        <v>21</v>
      </c>
      <c r="E333" s="6" t="s">
        <v>22</v>
      </c>
      <c r="F333" s="6" t="s">
        <v>23</v>
      </c>
      <c r="G333" s="6" t="s">
        <v>24</v>
      </c>
      <c r="H333" s="6" t="s">
        <v>25</v>
      </c>
      <c r="I333" s="6" t="s">
        <v>1957</v>
      </c>
      <c r="J333" s="6" t="s">
        <v>1958</v>
      </c>
      <c r="K333" s="6" t="s">
        <v>29</v>
      </c>
      <c r="L333" s="10" t="s">
        <v>30</v>
      </c>
    </row>
    <row r="334" ht="15.75" customHeight="1">
      <c r="A334" s="6" t="s">
        <v>1959</v>
      </c>
      <c r="B334" s="6" t="s">
        <v>1960</v>
      </c>
      <c r="C334" s="6" t="s">
        <v>112</v>
      </c>
      <c r="D334" s="6" t="s">
        <v>1961</v>
      </c>
      <c r="E334" s="6" t="s">
        <v>35</v>
      </c>
      <c r="F334" s="6" t="s">
        <v>36</v>
      </c>
      <c r="G334" s="6" t="s">
        <v>572</v>
      </c>
      <c r="H334" s="6" t="s">
        <v>573</v>
      </c>
      <c r="I334" s="6" t="s">
        <v>1962</v>
      </c>
      <c r="J334" s="6" t="s">
        <v>1963</v>
      </c>
      <c r="K334" s="6" t="s">
        <v>1964</v>
      </c>
      <c r="L334" s="12" t="s">
        <v>43</v>
      </c>
    </row>
    <row r="335" ht="15.75" customHeight="1">
      <c r="A335" s="6" t="s">
        <v>1965</v>
      </c>
      <c r="B335" s="6" t="s">
        <v>1966</v>
      </c>
      <c r="C335" s="6" t="s">
        <v>112</v>
      </c>
      <c r="D335" s="6" t="s">
        <v>1967</v>
      </c>
      <c r="E335" s="6" t="s">
        <v>35</v>
      </c>
      <c r="F335" s="6" t="s">
        <v>36</v>
      </c>
      <c r="G335" s="6" t="s">
        <v>572</v>
      </c>
      <c r="H335" s="6" t="s">
        <v>573</v>
      </c>
      <c r="I335" s="6" t="s">
        <v>1968</v>
      </c>
      <c r="J335" s="6" t="s">
        <v>1969</v>
      </c>
      <c r="K335" s="6" t="s">
        <v>1964</v>
      </c>
      <c r="L335" s="12" t="s">
        <v>43</v>
      </c>
    </row>
    <row r="336" ht="15.75" customHeight="1">
      <c r="A336" s="6" t="s">
        <v>1970</v>
      </c>
      <c r="B336" s="6" t="s">
        <v>1971</v>
      </c>
      <c r="C336" s="6" t="s">
        <v>112</v>
      </c>
      <c r="D336" s="6" t="s">
        <v>1972</v>
      </c>
      <c r="E336" s="6" t="s">
        <v>35</v>
      </c>
      <c r="F336" s="6" t="s">
        <v>36</v>
      </c>
      <c r="G336" s="6" t="s">
        <v>572</v>
      </c>
      <c r="H336" s="6" t="s">
        <v>573</v>
      </c>
      <c r="I336" s="6" t="s">
        <v>1973</v>
      </c>
      <c r="J336" s="6" t="s">
        <v>1974</v>
      </c>
      <c r="K336" s="6" t="s">
        <v>1964</v>
      </c>
      <c r="L336" s="12" t="s">
        <v>43</v>
      </c>
    </row>
    <row r="337" ht="15.75" customHeight="1">
      <c r="A337" s="6" t="s">
        <v>1975</v>
      </c>
      <c r="B337" s="6" t="s">
        <v>1976</v>
      </c>
      <c r="C337" s="6" t="s">
        <v>112</v>
      </c>
      <c r="D337" s="6" t="s">
        <v>1977</v>
      </c>
      <c r="E337" s="6" t="s">
        <v>35</v>
      </c>
      <c r="F337" s="6" t="s">
        <v>36</v>
      </c>
      <c r="G337" s="6" t="s">
        <v>572</v>
      </c>
      <c r="H337" s="6" t="s">
        <v>573</v>
      </c>
      <c r="I337" s="6" t="s">
        <v>1978</v>
      </c>
      <c r="J337" s="6" t="s">
        <v>1979</v>
      </c>
      <c r="K337" s="6" t="s">
        <v>1964</v>
      </c>
      <c r="L337" s="14" t="s">
        <v>55</v>
      </c>
    </row>
    <row r="338" ht="15.75" customHeight="1">
      <c r="A338" s="6" t="s">
        <v>1980</v>
      </c>
      <c r="B338" s="6" t="s">
        <v>1981</v>
      </c>
      <c r="C338" s="6" t="s">
        <v>112</v>
      </c>
      <c r="D338" s="6" t="s">
        <v>1982</v>
      </c>
      <c r="E338" s="6" t="s">
        <v>35</v>
      </c>
      <c r="F338" s="6" t="s">
        <v>36</v>
      </c>
      <c r="G338" s="6" t="s">
        <v>572</v>
      </c>
      <c r="H338" s="6" t="s">
        <v>573</v>
      </c>
      <c r="I338" s="6" t="s">
        <v>1983</v>
      </c>
      <c r="J338" s="6" t="s">
        <v>1984</v>
      </c>
      <c r="K338" s="6" t="s">
        <v>1964</v>
      </c>
      <c r="L338" s="14" t="s">
        <v>55</v>
      </c>
    </row>
    <row r="339" ht="15.75" customHeight="1">
      <c r="A339" s="6" t="s">
        <v>1985</v>
      </c>
      <c r="B339" s="6" t="s">
        <v>1986</v>
      </c>
      <c r="C339" s="6" t="s">
        <v>112</v>
      </c>
      <c r="D339" s="6" t="s">
        <v>1987</v>
      </c>
      <c r="E339" s="6" t="s">
        <v>35</v>
      </c>
      <c r="F339" s="6" t="s">
        <v>36</v>
      </c>
      <c r="G339" s="6" t="s">
        <v>572</v>
      </c>
      <c r="H339" s="6" t="s">
        <v>573</v>
      </c>
      <c r="I339" s="6" t="s">
        <v>1988</v>
      </c>
      <c r="J339" s="6" t="s">
        <v>1989</v>
      </c>
      <c r="K339" s="6" t="s">
        <v>1964</v>
      </c>
      <c r="L339" s="14" t="s">
        <v>55</v>
      </c>
    </row>
    <row r="340" ht="15.75" customHeight="1">
      <c r="A340" s="6" t="s">
        <v>1990</v>
      </c>
      <c r="B340" s="6" t="s">
        <v>1991</v>
      </c>
      <c r="C340" s="6" t="s">
        <v>112</v>
      </c>
      <c r="D340" s="6" t="s">
        <v>1992</v>
      </c>
      <c r="E340" s="6" t="s">
        <v>35</v>
      </c>
      <c r="F340" s="6" t="s">
        <v>36</v>
      </c>
      <c r="G340" s="6" t="s">
        <v>572</v>
      </c>
      <c r="H340" s="6" t="s">
        <v>573</v>
      </c>
      <c r="I340" s="6" t="s">
        <v>1993</v>
      </c>
      <c r="J340" s="6" t="s">
        <v>1994</v>
      </c>
      <c r="K340" s="6" t="s">
        <v>1964</v>
      </c>
      <c r="L340" s="14" t="s">
        <v>55</v>
      </c>
    </row>
    <row r="341" ht="15.75" customHeight="1">
      <c r="A341" s="6" t="s">
        <v>1995</v>
      </c>
      <c r="B341" s="6" t="s">
        <v>1996</v>
      </c>
      <c r="C341" s="6" t="s">
        <v>112</v>
      </c>
      <c r="D341" s="6" t="s">
        <v>1997</v>
      </c>
      <c r="E341" s="6" t="s">
        <v>35</v>
      </c>
      <c r="F341" s="6" t="s">
        <v>36</v>
      </c>
      <c r="G341" s="6" t="s">
        <v>572</v>
      </c>
      <c r="H341" s="6" t="s">
        <v>573</v>
      </c>
      <c r="I341" s="6" t="s">
        <v>1998</v>
      </c>
      <c r="J341" s="6" t="s">
        <v>1999</v>
      </c>
      <c r="K341" s="6" t="s">
        <v>1964</v>
      </c>
      <c r="L341" s="14" t="s">
        <v>55</v>
      </c>
    </row>
    <row r="342" ht="15.75" customHeight="1">
      <c r="A342" s="6" t="s">
        <v>2000</v>
      </c>
      <c r="B342" s="6" t="s">
        <v>2001</v>
      </c>
      <c r="C342" s="6" t="s">
        <v>112</v>
      </c>
      <c r="D342" s="6" t="s">
        <v>2002</v>
      </c>
      <c r="E342" s="6" t="s">
        <v>35</v>
      </c>
      <c r="F342" s="6" t="s">
        <v>36</v>
      </c>
      <c r="G342" s="6" t="s">
        <v>572</v>
      </c>
      <c r="H342" s="6" t="s">
        <v>573</v>
      </c>
      <c r="I342" s="6" t="s">
        <v>2003</v>
      </c>
      <c r="J342" s="6" t="s">
        <v>2004</v>
      </c>
      <c r="K342" s="6" t="s">
        <v>1964</v>
      </c>
      <c r="L342" s="14" t="s">
        <v>55</v>
      </c>
    </row>
    <row r="343" ht="15.75" hidden="1" customHeight="1">
      <c r="A343" s="6" t="s">
        <v>2005</v>
      </c>
      <c r="B343" s="6" t="s">
        <v>2006</v>
      </c>
      <c r="C343" s="6" t="s">
        <v>112</v>
      </c>
      <c r="D343" s="6" t="s">
        <v>2007</v>
      </c>
      <c r="E343" s="6" t="s">
        <v>35</v>
      </c>
      <c r="F343" s="6" t="s">
        <v>36</v>
      </c>
      <c r="G343" s="6" t="s">
        <v>572</v>
      </c>
      <c r="H343" s="6" t="s">
        <v>573</v>
      </c>
      <c r="I343" s="6" t="s">
        <v>2008</v>
      </c>
      <c r="J343" s="6" t="s">
        <v>2009</v>
      </c>
      <c r="K343" s="6" t="s">
        <v>2010</v>
      </c>
      <c r="L343" s="12" t="s">
        <v>43</v>
      </c>
    </row>
    <row r="344" ht="15.75" hidden="1" customHeight="1">
      <c r="A344" s="6" t="s">
        <v>2011</v>
      </c>
      <c r="B344" s="6" t="s">
        <v>2012</v>
      </c>
      <c r="C344" s="6" t="s">
        <v>112</v>
      </c>
      <c r="D344" s="6" t="s">
        <v>2013</v>
      </c>
      <c r="E344" s="6" t="s">
        <v>35</v>
      </c>
      <c r="F344" s="6" t="s">
        <v>36</v>
      </c>
      <c r="G344" s="6" t="s">
        <v>572</v>
      </c>
      <c r="H344" s="6" t="s">
        <v>573</v>
      </c>
      <c r="I344" s="6" t="s">
        <v>2014</v>
      </c>
      <c r="J344" s="6" t="s">
        <v>2015</v>
      </c>
      <c r="K344" s="6" t="s">
        <v>2010</v>
      </c>
      <c r="L344" s="12" t="s">
        <v>43</v>
      </c>
    </row>
    <row r="345" ht="15.75" hidden="1" customHeight="1">
      <c r="A345" s="6" t="s">
        <v>2016</v>
      </c>
      <c r="B345" s="6" t="s">
        <v>2017</v>
      </c>
      <c r="C345" s="6" t="s">
        <v>112</v>
      </c>
      <c r="D345" s="6" t="s">
        <v>2018</v>
      </c>
      <c r="E345" s="6" t="s">
        <v>35</v>
      </c>
      <c r="F345" s="6" t="s">
        <v>36</v>
      </c>
      <c r="G345" s="6" t="s">
        <v>572</v>
      </c>
      <c r="H345" s="6" t="s">
        <v>573</v>
      </c>
      <c r="I345" s="6" t="s">
        <v>2019</v>
      </c>
      <c r="J345" s="6" t="s">
        <v>2020</v>
      </c>
      <c r="K345" s="6" t="s">
        <v>2010</v>
      </c>
      <c r="L345" s="14" t="s">
        <v>55</v>
      </c>
    </row>
    <row r="346" ht="15.75" hidden="1" customHeight="1">
      <c r="A346" s="6" t="s">
        <v>2021</v>
      </c>
      <c r="B346" s="6" t="s">
        <v>2022</v>
      </c>
      <c r="C346" s="6" t="s">
        <v>112</v>
      </c>
      <c r="D346" s="6" t="s">
        <v>2023</v>
      </c>
      <c r="E346" s="6" t="s">
        <v>35</v>
      </c>
      <c r="F346" s="6" t="s">
        <v>36</v>
      </c>
      <c r="G346" s="6" t="s">
        <v>572</v>
      </c>
      <c r="H346" s="6" t="s">
        <v>573</v>
      </c>
      <c r="I346" s="6" t="s">
        <v>2024</v>
      </c>
      <c r="J346" s="6" t="s">
        <v>2025</v>
      </c>
      <c r="K346" s="6" t="s">
        <v>2010</v>
      </c>
      <c r="L346" s="14" t="s">
        <v>55</v>
      </c>
    </row>
    <row r="347" ht="15.75" hidden="1" customHeight="1">
      <c r="A347" s="6" t="s">
        <v>2026</v>
      </c>
      <c r="B347" s="6" t="s">
        <v>2027</v>
      </c>
      <c r="C347" s="6" t="s">
        <v>112</v>
      </c>
      <c r="D347" s="6" t="s">
        <v>2028</v>
      </c>
      <c r="E347" s="6" t="s">
        <v>35</v>
      </c>
      <c r="F347" s="6" t="s">
        <v>36</v>
      </c>
      <c r="G347" s="6" t="s">
        <v>37</v>
      </c>
      <c r="H347" s="6" t="s">
        <v>38</v>
      </c>
      <c r="I347" s="6" t="s">
        <v>2029</v>
      </c>
      <c r="J347" s="6" t="s">
        <v>2030</v>
      </c>
      <c r="K347" s="6" t="s">
        <v>509</v>
      </c>
      <c r="L347" s="14" t="s">
        <v>55</v>
      </c>
    </row>
    <row r="348" ht="15.75" hidden="1" customHeight="1">
      <c r="A348" s="6" t="s">
        <v>2031</v>
      </c>
      <c r="B348" s="6" t="s">
        <v>2032</v>
      </c>
      <c r="C348" s="6" t="s">
        <v>112</v>
      </c>
      <c r="D348" s="6" t="s">
        <v>2033</v>
      </c>
      <c r="E348" s="6" t="s">
        <v>35</v>
      </c>
      <c r="F348" s="6" t="s">
        <v>36</v>
      </c>
      <c r="G348" s="6" t="s">
        <v>37</v>
      </c>
      <c r="H348" s="6" t="s">
        <v>38</v>
      </c>
      <c r="I348" s="6" t="s">
        <v>2034</v>
      </c>
      <c r="J348" s="6" t="s">
        <v>2035</v>
      </c>
      <c r="K348" s="6" t="s">
        <v>509</v>
      </c>
      <c r="L348" s="10" t="s">
        <v>609</v>
      </c>
    </row>
    <row r="349" ht="15.75" hidden="1" customHeight="1">
      <c r="A349" s="6" t="s">
        <v>2036</v>
      </c>
      <c r="B349" s="6" t="s">
        <v>2037</v>
      </c>
      <c r="C349" s="6" t="s">
        <v>112</v>
      </c>
      <c r="D349" s="6" t="s">
        <v>2038</v>
      </c>
      <c r="E349" s="6" t="s">
        <v>35</v>
      </c>
      <c r="F349" s="6" t="s">
        <v>36</v>
      </c>
      <c r="G349" s="6" t="s">
        <v>37</v>
      </c>
      <c r="H349" s="6" t="s">
        <v>38</v>
      </c>
      <c r="I349" s="6" t="s">
        <v>2039</v>
      </c>
      <c r="J349" s="6" t="s">
        <v>2040</v>
      </c>
      <c r="K349" s="6" t="s">
        <v>509</v>
      </c>
      <c r="L349" s="10" t="s">
        <v>609</v>
      </c>
    </row>
    <row r="350" ht="15.75" hidden="1" customHeight="1">
      <c r="A350" s="6" t="s">
        <v>2041</v>
      </c>
      <c r="B350" s="6" t="s">
        <v>2042</v>
      </c>
      <c r="C350" s="6" t="s">
        <v>112</v>
      </c>
      <c r="D350" s="6" t="s">
        <v>2043</v>
      </c>
      <c r="E350" s="6" t="s">
        <v>35</v>
      </c>
      <c r="F350" s="6" t="s">
        <v>36</v>
      </c>
      <c r="G350" s="6" t="s">
        <v>37</v>
      </c>
      <c r="H350" s="6" t="s">
        <v>38</v>
      </c>
      <c r="I350" s="6" t="s">
        <v>2044</v>
      </c>
      <c r="J350" s="6" t="s">
        <v>2045</v>
      </c>
      <c r="K350" s="6" t="s">
        <v>509</v>
      </c>
      <c r="L350" s="10" t="s">
        <v>609</v>
      </c>
    </row>
    <row r="351" ht="15.75" hidden="1" customHeight="1">
      <c r="A351" s="6" t="s">
        <v>2046</v>
      </c>
      <c r="B351" s="6" t="s">
        <v>2047</v>
      </c>
      <c r="C351" s="6" t="s">
        <v>112</v>
      </c>
      <c r="D351" s="6" t="s">
        <v>2048</v>
      </c>
      <c r="E351" s="6" t="s">
        <v>35</v>
      </c>
      <c r="F351" s="6" t="s">
        <v>36</v>
      </c>
      <c r="G351" s="6" t="s">
        <v>37</v>
      </c>
      <c r="H351" s="6" t="s">
        <v>38</v>
      </c>
      <c r="I351" s="6" t="s">
        <v>2049</v>
      </c>
      <c r="J351" s="6" t="s">
        <v>2050</v>
      </c>
      <c r="K351" s="6" t="s">
        <v>509</v>
      </c>
      <c r="L351" s="10" t="s">
        <v>609</v>
      </c>
    </row>
    <row r="352" ht="15.75" hidden="1" customHeight="1">
      <c r="A352" s="6" t="s">
        <v>2051</v>
      </c>
      <c r="B352" s="6" t="s">
        <v>2052</v>
      </c>
      <c r="C352" s="6" t="s">
        <v>112</v>
      </c>
      <c r="D352" s="6" t="s">
        <v>2053</v>
      </c>
      <c r="E352" s="6" t="s">
        <v>35</v>
      </c>
      <c r="F352" s="6" t="s">
        <v>36</v>
      </c>
      <c r="G352" s="6" t="s">
        <v>37</v>
      </c>
      <c r="H352" s="6" t="s">
        <v>38</v>
      </c>
      <c r="I352" s="6" t="s">
        <v>2054</v>
      </c>
      <c r="J352" s="6" t="s">
        <v>2055</v>
      </c>
      <c r="K352" s="6" t="s">
        <v>509</v>
      </c>
      <c r="L352" s="10" t="s">
        <v>609</v>
      </c>
    </row>
    <row r="353" ht="15.75" hidden="1" customHeight="1">
      <c r="A353" s="6" t="s">
        <v>2056</v>
      </c>
      <c r="B353" s="6" t="s">
        <v>2057</v>
      </c>
      <c r="C353" s="6" t="s">
        <v>112</v>
      </c>
      <c r="D353" s="6" t="s">
        <v>2058</v>
      </c>
      <c r="E353" s="6" t="s">
        <v>35</v>
      </c>
      <c r="F353" s="6" t="s">
        <v>36</v>
      </c>
      <c r="G353" s="6" t="s">
        <v>37</v>
      </c>
      <c r="H353" s="6" t="s">
        <v>38</v>
      </c>
      <c r="I353" s="6" t="s">
        <v>2059</v>
      </c>
      <c r="J353" s="6" t="s">
        <v>2060</v>
      </c>
      <c r="K353" s="6" t="s">
        <v>509</v>
      </c>
      <c r="L353" s="10" t="s">
        <v>609</v>
      </c>
    </row>
    <row r="354" ht="15.75" hidden="1" customHeight="1">
      <c r="A354" s="6" t="s">
        <v>2061</v>
      </c>
      <c r="B354" s="6" t="s">
        <v>2062</v>
      </c>
      <c r="C354" s="6" t="s">
        <v>112</v>
      </c>
      <c r="D354" s="6" t="s">
        <v>2063</v>
      </c>
      <c r="E354" s="6" t="s">
        <v>35</v>
      </c>
      <c r="F354" s="6" t="s">
        <v>36</v>
      </c>
      <c r="G354" s="6" t="s">
        <v>37</v>
      </c>
      <c r="H354" s="6" t="s">
        <v>38</v>
      </c>
      <c r="I354" s="6" t="s">
        <v>2064</v>
      </c>
      <c r="J354" s="6" t="s">
        <v>2065</v>
      </c>
      <c r="K354" s="6" t="s">
        <v>509</v>
      </c>
      <c r="L354" s="10" t="s">
        <v>609</v>
      </c>
    </row>
    <row r="355" ht="15.75" hidden="1" customHeight="1">
      <c r="A355" s="6" t="s">
        <v>2066</v>
      </c>
      <c r="B355" s="6" t="s">
        <v>2067</v>
      </c>
      <c r="C355" s="6" t="s">
        <v>112</v>
      </c>
      <c r="D355" s="6" t="s">
        <v>2068</v>
      </c>
      <c r="E355" s="6" t="s">
        <v>35</v>
      </c>
      <c r="F355" s="6" t="s">
        <v>36</v>
      </c>
      <c r="G355" s="6" t="s">
        <v>37</v>
      </c>
      <c r="H355" s="6" t="s">
        <v>38</v>
      </c>
      <c r="I355" s="6" t="s">
        <v>2069</v>
      </c>
      <c r="J355" s="6" t="s">
        <v>2070</v>
      </c>
      <c r="K355" s="6" t="s">
        <v>2071</v>
      </c>
      <c r="L355" s="12" t="s">
        <v>43</v>
      </c>
    </row>
    <row r="356" ht="15.75" hidden="1" customHeight="1">
      <c r="A356" s="6" t="s">
        <v>2072</v>
      </c>
      <c r="B356" s="6" t="s">
        <v>2073</v>
      </c>
      <c r="C356" s="6" t="s">
        <v>112</v>
      </c>
      <c r="D356" s="6" t="s">
        <v>2074</v>
      </c>
      <c r="E356" s="6" t="s">
        <v>35</v>
      </c>
      <c r="F356" s="6" t="s">
        <v>36</v>
      </c>
      <c r="G356" s="6" t="s">
        <v>37</v>
      </c>
      <c r="H356" s="6" t="s">
        <v>38</v>
      </c>
      <c r="I356" s="6" t="s">
        <v>2075</v>
      </c>
      <c r="J356" s="6" t="s">
        <v>2076</v>
      </c>
      <c r="K356" s="6" t="s">
        <v>2071</v>
      </c>
      <c r="L356" s="14" t="s">
        <v>55</v>
      </c>
    </row>
    <row r="357" ht="15.75" hidden="1" customHeight="1">
      <c r="A357" s="6" t="s">
        <v>2077</v>
      </c>
      <c r="B357" s="6" t="s">
        <v>2078</v>
      </c>
      <c r="C357" s="6" t="s">
        <v>112</v>
      </c>
      <c r="D357" s="6" t="s">
        <v>2079</v>
      </c>
      <c r="E357" s="6" t="s">
        <v>35</v>
      </c>
      <c r="F357" s="6" t="s">
        <v>36</v>
      </c>
      <c r="G357" s="6" t="s">
        <v>37</v>
      </c>
      <c r="H357" s="6" t="s">
        <v>38</v>
      </c>
      <c r="I357" s="6" t="s">
        <v>2080</v>
      </c>
      <c r="J357" s="6" t="s">
        <v>2081</v>
      </c>
      <c r="K357" s="6" t="s">
        <v>2071</v>
      </c>
      <c r="L357" s="14" t="s">
        <v>55</v>
      </c>
    </row>
    <row r="358" ht="15.75" hidden="1" customHeight="1">
      <c r="A358" s="6" t="s">
        <v>2082</v>
      </c>
      <c r="B358" s="6" t="s">
        <v>2083</v>
      </c>
      <c r="C358" s="6" t="s">
        <v>112</v>
      </c>
      <c r="D358" s="6" t="s">
        <v>2084</v>
      </c>
      <c r="E358" s="6" t="s">
        <v>35</v>
      </c>
      <c r="F358" s="6" t="s">
        <v>36</v>
      </c>
      <c r="G358" s="6" t="s">
        <v>37</v>
      </c>
      <c r="H358" s="6" t="s">
        <v>38</v>
      </c>
      <c r="I358" s="6" t="s">
        <v>2085</v>
      </c>
      <c r="J358" s="6" t="s">
        <v>2086</v>
      </c>
      <c r="K358" s="6" t="s">
        <v>2071</v>
      </c>
      <c r="L358" s="14" t="s">
        <v>55</v>
      </c>
    </row>
    <row r="359" ht="15.75" hidden="1" customHeight="1">
      <c r="A359" s="6" t="s">
        <v>2087</v>
      </c>
      <c r="B359" s="6" t="s">
        <v>2088</v>
      </c>
      <c r="C359" s="6" t="s">
        <v>112</v>
      </c>
      <c r="D359" s="6" t="s">
        <v>2089</v>
      </c>
      <c r="E359" s="6" t="s">
        <v>35</v>
      </c>
      <c r="F359" s="6" t="s">
        <v>36</v>
      </c>
      <c r="G359" s="6" t="s">
        <v>37</v>
      </c>
      <c r="H359" s="6" t="s">
        <v>38</v>
      </c>
      <c r="I359" s="6" t="s">
        <v>2090</v>
      </c>
      <c r="J359" s="6" t="s">
        <v>2091</v>
      </c>
      <c r="K359" s="6" t="s">
        <v>2071</v>
      </c>
      <c r="L359" s="14" t="s">
        <v>55</v>
      </c>
    </row>
    <row r="360" ht="15.75" hidden="1" customHeight="1">
      <c r="A360" s="6" t="s">
        <v>2092</v>
      </c>
      <c r="B360" s="6" t="s">
        <v>2093</v>
      </c>
      <c r="C360" s="6" t="s">
        <v>112</v>
      </c>
      <c r="D360" s="6" t="s">
        <v>2094</v>
      </c>
      <c r="E360" s="6" t="s">
        <v>35</v>
      </c>
      <c r="F360" s="6" t="s">
        <v>36</v>
      </c>
      <c r="G360" s="6" t="s">
        <v>37</v>
      </c>
      <c r="H360" s="6" t="s">
        <v>38</v>
      </c>
      <c r="I360" s="6" t="s">
        <v>2095</v>
      </c>
      <c r="J360" s="6" t="s">
        <v>2096</v>
      </c>
      <c r="K360" s="6" t="s">
        <v>2071</v>
      </c>
      <c r="L360" s="14" t="s">
        <v>55</v>
      </c>
    </row>
    <row r="361" ht="15.75" hidden="1" customHeight="1">
      <c r="A361" s="6" t="s">
        <v>2097</v>
      </c>
      <c r="B361" s="6" t="s">
        <v>2098</v>
      </c>
      <c r="C361" s="6" t="s">
        <v>112</v>
      </c>
      <c r="D361" s="6" t="s">
        <v>2099</v>
      </c>
      <c r="E361" s="6" t="s">
        <v>35</v>
      </c>
      <c r="F361" s="6" t="s">
        <v>36</v>
      </c>
      <c r="G361" s="6" t="s">
        <v>37</v>
      </c>
      <c r="H361" s="6" t="s">
        <v>38</v>
      </c>
      <c r="I361" s="6" t="s">
        <v>2100</v>
      </c>
      <c r="J361" s="6" t="s">
        <v>2101</v>
      </c>
      <c r="K361" s="6" t="s">
        <v>2071</v>
      </c>
      <c r="L361" s="14" t="s">
        <v>55</v>
      </c>
    </row>
    <row r="362" ht="15.75" hidden="1" customHeight="1">
      <c r="A362" s="6" t="s">
        <v>2102</v>
      </c>
      <c r="B362" s="6" t="s">
        <v>2103</v>
      </c>
      <c r="C362" s="6" t="s">
        <v>112</v>
      </c>
      <c r="D362" s="6" t="s">
        <v>2104</v>
      </c>
      <c r="E362" s="6" t="s">
        <v>35</v>
      </c>
      <c r="F362" s="6" t="s">
        <v>36</v>
      </c>
      <c r="G362" s="6" t="s">
        <v>37</v>
      </c>
      <c r="H362" s="6" t="s">
        <v>38</v>
      </c>
      <c r="I362" s="6" t="s">
        <v>2105</v>
      </c>
      <c r="J362" s="6" t="s">
        <v>2106</v>
      </c>
      <c r="K362" s="6" t="s">
        <v>2071</v>
      </c>
      <c r="L362" s="14" t="s">
        <v>55</v>
      </c>
    </row>
    <row r="363" ht="15.75" hidden="1" customHeight="1">
      <c r="A363" s="6" t="s">
        <v>2107</v>
      </c>
      <c r="B363" s="6" t="s">
        <v>2108</v>
      </c>
      <c r="C363" s="6" t="s">
        <v>112</v>
      </c>
      <c r="D363" s="6" t="s">
        <v>2109</v>
      </c>
      <c r="E363" s="6" t="s">
        <v>35</v>
      </c>
      <c r="F363" s="6" t="s">
        <v>36</v>
      </c>
      <c r="G363" s="6" t="s">
        <v>37</v>
      </c>
      <c r="H363" s="6" t="s">
        <v>38</v>
      </c>
      <c r="I363" s="6" t="s">
        <v>2110</v>
      </c>
      <c r="J363" s="6" t="s">
        <v>2111</v>
      </c>
      <c r="K363" s="6" t="s">
        <v>2071</v>
      </c>
      <c r="L363" s="14" t="s">
        <v>55</v>
      </c>
    </row>
    <row r="364" ht="15.75" hidden="1" customHeight="1">
      <c r="A364" s="6" t="s">
        <v>2112</v>
      </c>
      <c r="B364" s="6" t="s">
        <v>2113</v>
      </c>
      <c r="C364" s="6" t="s">
        <v>112</v>
      </c>
      <c r="D364" s="6" t="s">
        <v>2114</v>
      </c>
      <c r="E364" s="6" t="s">
        <v>35</v>
      </c>
      <c r="F364" s="6" t="s">
        <v>36</v>
      </c>
      <c r="G364" s="6" t="s">
        <v>37</v>
      </c>
      <c r="H364" s="6" t="s">
        <v>38</v>
      </c>
      <c r="I364" s="6" t="s">
        <v>2115</v>
      </c>
      <c r="J364" s="6" t="s">
        <v>2116</v>
      </c>
      <c r="K364" s="6" t="s">
        <v>2071</v>
      </c>
      <c r="L364" s="14" t="s">
        <v>55</v>
      </c>
    </row>
    <row r="365" ht="15.75" hidden="1" customHeight="1">
      <c r="A365" s="6" t="s">
        <v>2117</v>
      </c>
      <c r="B365" s="6" t="s">
        <v>2118</v>
      </c>
      <c r="C365" s="6" t="s">
        <v>112</v>
      </c>
      <c r="D365" s="6" t="s">
        <v>2119</v>
      </c>
      <c r="E365" s="6" t="s">
        <v>35</v>
      </c>
      <c r="F365" s="6" t="s">
        <v>36</v>
      </c>
      <c r="G365" s="6" t="s">
        <v>37</v>
      </c>
      <c r="H365" s="6" t="s">
        <v>38</v>
      </c>
      <c r="I365" s="6" t="s">
        <v>2120</v>
      </c>
      <c r="J365" s="6" t="s">
        <v>2121</v>
      </c>
      <c r="K365" s="6" t="s">
        <v>2071</v>
      </c>
      <c r="L365" s="14" t="s">
        <v>55</v>
      </c>
    </row>
    <row r="366" ht="15.75" hidden="1" customHeight="1">
      <c r="A366" s="6" t="s">
        <v>2122</v>
      </c>
      <c r="B366" s="6" t="s">
        <v>2123</v>
      </c>
      <c r="C366" s="6" t="s">
        <v>112</v>
      </c>
      <c r="D366" s="6" t="s">
        <v>2124</v>
      </c>
      <c r="E366" s="6" t="s">
        <v>35</v>
      </c>
      <c r="F366" s="6" t="s">
        <v>36</v>
      </c>
      <c r="G366" s="6" t="s">
        <v>37</v>
      </c>
      <c r="H366" s="6" t="s">
        <v>38</v>
      </c>
      <c r="I366" s="6" t="s">
        <v>2125</v>
      </c>
      <c r="J366" s="6" t="s">
        <v>2126</v>
      </c>
      <c r="K366" s="6" t="s">
        <v>2071</v>
      </c>
      <c r="L366" s="14" t="s">
        <v>55</v>
      </c>
    </row>
    <row r="367" ht="15.75" hidden="1" customHeight="1">
      <c r="A367" s="6" t="s">
        <v>2127</v>
      </c>
      <c r="B367" s="6" t="s">
        <v>2128</v>
      </c>
      <c r="C367" s="6" t="s">
        <v>112</v>
      </c>
      <c r="D367" s="6" t="s">
        <v>2129</v>
      </c>
      <c r="E367" s="6" t="s">
        <v>35</v>
      </c>
      <c r="F367" s="6" t="s">
        <v>36</v>
      </c>
      <c r="G367" s="6" t="s">
        <v>37</v>
      </c>
      <c r="H367" s="6" t="s">
        <v>38</v>
      </c>
      <c r="I367" s="6" t="s">
        <v>2130</v>
      </c>
      <c r="J367" s="6" t="s">
        <v>2131</v>
      </c>
      <c r="K367" s="6" t="s">
        <v>2071</v>
      </c>
      <c r="L367" s="14" t="s">
        <v>55</v>
      </c>
    </row>
    <row r="368" ht="15.75" hidden="1" customHeight="1">
      <c r="A368" s="6" t="s">
        <v>2132</v>
      </c>
      <c r="B368" s="6" t="s">
        <v>2133</v>
      </c>
      <c r="C368" s="6" t="s">
        <v>112</v>
      </c>
      <c r="D368" s="6" t="s">
        <v>2134</v>
      </c>
      <c r="E368" s="6" t="s">
        <v>35</v>
      </c>
      <c r="F368" s="6" t="s">
        <v>36</v>
      </c>
      <c r="G368" s="6" t="s">
        <v>37</v>
      </c>
      <c r="H368" s="6" t="s">
        <v>38</v>
      </c>
      <c r="I368" s="6" t="s">
        <v>2135</v>
      </c>
      <c r="J368" s="6" t="s">
        <v>2136</v>
      </c>
      <c r="K368" s="6" t="s">
        <v>2071</v>
      </c>
      <c r="L368" s="14" t="s">
        <v>55</v>
      </c>
    </row>
    <row r="369" ht="15.75" hidden="1" customHeight="1">
      <c r="A369" s="6" t="s">
        <v>2137</v>
      </c>
      <c r="B369" s="6" t="s">
        <v>2138</v>
      </c>
      <c r="C369" s="6" t="s">
        <v>112</v>
      </c>
      <c r="D369" s="6" t="s">
        <v>2139</v>
      </c>
      <c r="E369" s="6" t="s">
        <v>35</v>
      </c>
      <c r="F369" s="6" t="s">
        <v>36</v>
      </c>
      <c r="G369" s="6" t="s">
        <v>37</v>
      </c>
      <c r="H369" s="6" t="s">
        <v>38</v>
      </c>
      <c r="I369" s="6" t="s">
        <v>2140</v>
      </c>
      <c r="J369" s="6" t="s">
        <v>2141</v>
      </c>
      <c r="K369" s="6" t="s">
        <v>2071</v>
      </c>
      <c r="L369" s="14" t="s">
        <v>55</v>
      </c>
    </row>
    <row r="370" ht="15.75" hidden="1" customHeight="1">
      <c r="A370" s="6" t="s">
        <v>2142</v>
      </c>
      <c r="B370" s="6" t="s">
        <v>2143</v>
      </c>
      <c r="C370" s="6" t="s">
        <v>112</v>
      </c>
      <c r="D370" s="6" t="s">
        <v>2144</v>
      </c>
      <c r="E370" s="6" t="s">
        <v>35</v>
      </c>
      <c r="F370" s="6" t="s">
        <v>36</v>
      </c>
      <c r="G370" s="6" t="s">
        <v>37</v>
      </c>
      <c r="H370" s="6" t="s">
        <v>38</v>
      </c>
      <c r="I370" s="6" t="s">
        <v>2145</v>
      </c>
      <c r="J370" s="6" t="s">
        <v>2146</v>
      </c>
      <c r="K370" s="6" t="s">
        <v>2071</v>
      </c>
      <c r="L370" s="14" t="s">
        <v>55</v>
      </c>
    </row>
    <row r="371" ht="15.75" hidden="1" customHeight="1">
      <c r="A371" s="6" t="s">
        <v>2147</v>
      </c>
      <c r="B371" s="6" t="s">
        <v>2148</v>
      </c>
      <c r="C371" s="6" t="s">
        <v>112</v>
      </c>
      <c r="D371" s="6" t="s">
        <v>2149</v>
      </c>
      <c r="E371" s="6" t="s">
        <v>35</v>
      </c>
      <c r="F371" s="6" t="s">
        <v>36</v>
      </c>
      <c r="G371" s="6" t="s">
        <v>572</v>
      </c>
      <c r="H371" s="6" t="s">
        <v>573</v>
      </c>
      <c r="I371" s="6" t="s">
        <v>2150</v>
      </c>
      <c r="J371" s="6" t="s">
        <v>2151</v>
      </c>
      <c r="K371" s="6" t="s">
        <v>1648</v>
      </c>
      <c r="L371" s="14" t="s">
        <v>55</v>
      </c>
    </row>
    <row r="372" ht="15.75" hidden="1" customHeight="1">
      <c r="A372" s="6" t="s">
        <v>2152</v>
      </c>
      <c r="B372" s="6" t="s">
        <v>2153</v>
      </c>
      <c r="C372" s="6" t="s">
        <v>112</v>
      </c>
      <c r="D372" s="6" t="s">
        <v>2154</v>
      </c>
      <c r="E372" s="6" t="s">
        <v>35</v>
      </c>
      <c r="F372" s="6" t="s">
        <v>36</v>
      </c>
      <c r="G372" s="6" t="s">
        <v>572</v>
      </c>
      <c r="H372" s="6" t="s">
        <v>573</v>
      </c>
      <c r="I372" s="6" t="s">
        <v>2155</v>
      </c>
      <c r="J372" s="6" t="s">
        <v>2156</v>
      </c>
      <c r="K372" s="6" t="s">
        <v>2157</v>
      </c>
      <c r="L372" s="14" t="s">
        <v>55</v>
      </c>
    </row>
    <row r="373" ht="15.75" customHeight="1">
      <c r="A373" s="6" t="s">
        <v>2158</v>
      </c>
      <c r="B373" s="6" t="s">
        <v>2159</v>
      </c>
      <c r="C373" s="6" t="s">
        <v>112</v>
      </c>
      <c r="D373" s="6" t="s">
        <v>2160</v>
      </c>
      <c r="E373" s="6" t="s">
        <v>35</v>
      </c>
      <c r="F373" s="6" t="s">
        <v>36</v>
      </c>
      <c r="G373" s="6" t="s">
        <v>572</v>
      </c>
      <c r="H373" s="6" t="s">
        <v>573</v>
      </c>
      <c r="I373" s="6" t="s">
        <v>2161</v>
      </c>
      <c r="J373" s="6" t="s">
        <v>2162</v>
      </c>
      <c r="K373" s="6" t="s">
        <v>2163</v>
      </c>
      <c r="L373" s="12" t="s">
        <v>43</v>
      </c>
    </row>
    <row r="374" ht="15.75" customHeight="1">
      <c r="A374" s="6" t="s">
        <v>2164</v>
      </c>
      <c r="B374" s="6" t="s">
        <v>2165</v>
      </c>
      <c r="C374" s="6" t="s">
        <v>112</v>
      </c>
      <c r="D374" s="6" t="s">
        <v>2166</v>
      </c>
      <c r="E374" s="6" t="s">
        <v>35</v>
      </c>
      <c r="F374" s="6" t="s">
        <v>36</v>
      </c>
      <c r="G374" s="6" t="s">
        <v>572</v>
      </c>
      <c r="H374" s="6" t="s">
        <v>573</v>
      </c>
      <c r="I374" s="6" t="s">
        <v>2167</v>
      </c>
      <c r="J374" s="6" t="s">
        <v>2168</v>
      </c>
      <c r="K374" s="6" t="s">
        <v>2163</v>
      </c>
      <c r="L374" s="14" t="s">
        <v>55</v>
      </c>
    </row>
    <row r="375" ht="15.75" customHeight="1">
      <c r="A375" s="6" t="s">
        <v>2169</v>
      </c>
      <c r="B375" s="6" t="s">
        <v>2170</v>
      </c>
      <c r="C375" s="6" t="s">
        <v>112</v>
      </c>
      <c r="D375" s="6" t="s">
        <v>2171</v>
      </c>
      <c r="E375" s="6" t="s">
        <v>35</v>
      </c>
      <c r="F375" s="6" t="s">
        <v>36</v>
      </c>
      <c r="G375" s="6" t="s">
        <v>572</v>
      </c>
      <c r="H375" s="6" t="s">
        <v>573</v>
      </c>
      <c r="I375" s="6" t="s">
        <v>2172</v>
      </c>
      <c r="J375" s="6" t="s">
        <v>2173</v>
      </c>
      <c r="K375" s="6" t="s">
        <v>2163</v>
      </c>
      <c r="L375" s="14" t="s">
        <v>55</v>
      </c>
    </row>
    <row r="376" ht="15.75" customHeight="1">
      <c r="A376" s="6" t="s">
        <v>2174</v>
      </c>
      <c r="B376" s="6" t="s">
        <v>2175</v>
      </c>
      <c r="C376" s="6" t="s">
        <v>112</v>
      </c>
      <c r="D376" s="6" t="s">
        <v>2176</v>
      </c>
      <c r="E376" s="6" t="s">
        <v>35</v>
      </c>
      <c r="F376" s="6" t="s">
        <v>36</v>
      </c>
      <c r="G376" s="6" t="s">
        <v>572</v>
      </c>
      <c r="H376" s="6" t="s">
        <v>573</v>
      </c>
      <c r="I376" s="6" t="s">
        <v>2177</v>
      </c>
      <c r="J376" s="6" t="s">
        <v>2178</v>
      </c>
      <c r="K376" s="6" t="s">
        <v>2163</v>
      </c>
      <c r="L376" s="14" t="s">
        <v>55</v>
      </c>
    </row>
    <row r="377" ht="15.75" customHeight="1">
      <c r="A377" s="6" t="s">
        <v>2179</v>
      </c>
      <c r="B377" s="6" t="s">
        <v>2180</v>
      </c>
      <c r="C377" s="6" t="s">
        <v>112</v>
      </c>
      <c r="D377" s="6" t="s">
        <v>2181</v>
      </c>
      <c r="E377" s="6" t="s">
        <v>35</v>
      </c>
      <c r="F377" s="6" t="s">
        <v>36</v>
      </c>
      <c r="G377" s="6" t="s">
        <v>572</v>
      </c>
      <c r="H377" s="6" t="s">
        <v>573</v>
      </c>
      <c r="I377" s="6" t="s">
        <v>2182</v>
      </c>
      <c r="J377" s="6" t="s">
        <v>2183</v>
      </c>
      <c r="K377" s="6" t="s">
        <v>2163</v>
      </c>
      <c r="L377" s="14" t="s">
        <v>55</v>
      </c>
    </row>
    <row r="378" ht="15.75" customHeight="1">
      <c r="A378" s="6" t="s">
        <v>2184</v>
      </c>
      <c r="B378" s="6" t="s">
        <v>2185</v>
      </c>
      <c r="C378" s="6" t="s">
        <v>112</v>
      </c>
      <c r="D378" s="6" t="s">
        <v>2186</v>
      </c>
      <c r="E378" s="6" t="s">
        <v>35</v>
      </c>
      <c r="F378" s="6" t="s">
        <v>36</v>
      </c>
      <c r="G378" s="6" t="s">
        <v>572</v>
      </c>
      <c r="H378" s="6" t="s">
        <v>573</v>
      </c>
      <c r="I378" s="6" t="s">
        <v>2187</v>
      </c>
      <c r="J378" s="6" t="s">
        <v>2188</v>
      </c>
      <c r="K378" s="6" t="s">
        <v>2163</v>
      </c>
      <c r="L378" s="14" t="s">
        <v>55</v>
      </c>
    </row>
    <row r="379" ht="15.75" customHeight="1">
      <c r="A379" s="6" t="s">
        <v>2189</v>
      </c>
      <c r="B379" s="6" t="s">
        <v>2190</v>
      </c>
      <c r="C379" s="6" t="s">
        <v>112</v>
      </c>
      <c r="D379" s="6" t="s">
        <v>2191</v>
      </c>
      <c r="E379" s="6" t="s">
        <v>35</v>
      </c>
      <c r="F379" s="6" t="s">
        <v>36</v>
      </c>
      <c r="G379" s="6" t="s">
        <v>572</v>
      </c>
      <c r="H379" s="6" t="s">
        <v>573</v>
      </c>
      <c r="I379" s="6" t="s">
        <v>2192</v>
      </c>
      <c r="J379" s="6" t="s">
        <v>2193</v>
      </c>
      <c r="K379" s="6" t="s">
        <v>2163</v>
      </c>
      <c r="L379" s="14" t="s">
        <v>55</v>
      </c>
    </row>
    <row r="380" ht="15.75" hidden="1" customHeight="1">
      <c r="A380" s="6" t="s">
        <v>2194</v>
      </c>
      <c r="B380" s="6" t="s">
        <v>2195</v>
      </c>
      <c r="C380" s="6" t="s">
        <v>112</v>
      </c>
      <c r="D380" s="6" t="s">
        <v>2196</v>
      </c>
      <c r="E380" s="6" t="s">
        <v>35</v>
      </c>
      <c r="F380" s="6" t="s">
        <v>36</v>
      </c>
      <c r="G380" s="6" t="s">
        <v>572</v>
      </c>
      <c r="H380" s="6" t="s">
        <v>573</v>
      </c>
      <c r="I380" s="6" t="s">
        <v>2197</v>
      </c>
      <c r="J380" s="6" t="s">
        <v>2198</v>
      </c>
      <c r="K380" s="6" t="s">
        <v>2199</v>
      </c>
      <c r="L380" s="14" t="s">
        <v>55</v>
      </c>
    </row>
    <row r="381" ht="15.75" hidden="1" customHeight="1">
      <c r="A381" s="6" t="s">
        <v>2200</v>
      </c>
      <c r="B381" s="6" t="s">
        <v>2201</v>
      </c>
      <c r="C381" s="6" t="s">
        <v>112</v>
      </c>
      <c r="D381" s="6" t="s">
        <v>2202</v>
      </c>
      <c r="E381" s="6" t="s">
        <v>35</v>
      </c>
      <c r="F381" s="6" t="s">
        <v>36</v>
      </c>
      <c r="G381" s="6" t="s">
        <v>572</v>
      </c>
      <c r="H381" s="6" t="s">
        <v>573</v>
      </c>
      <c r="I381" s="6" t="s">
        <v>2203</v>
      </c>
      <c r="J381" s="6" t="s">
        <v>2204</v>
      </c>
      <c r="K381" s="6" t="s">
        <v>509</v>
      </c>
      <c r="L381" s="10" t="s">
        <v>609</v>
      </c>
    </row>
    <row r="382" ht="15.75" hidden="1" customHeight="1">
      <c r="A382" s="6" t="s">
        <v>2205</v>
      </c>
      <c r="B382" s="6" t="s">
        <v>2206</v>
      </c>
      <c r="C382" s="6" t="s">
        <v>112</v>
      </c>
      <c r="D382" s="6" t="s">
        <v>2207</v>
      </c>
      <c r="E382" s="6" t="s">
        <v>35</v>
      </c>
      <c r="F382" s="6" t="s">
        <v>36</v>
      </c>
      <c r="G382" s="6" t="s">
        <v>572</v>
      </c>
      <c r="H382" s="6" t="s">
        <v>573</v>
      </c>
      <c r="I382" s="6" t="s">
        <v>2208</v>
      </c>
      <c r="J382" s="6" t="s">
        <v>2209</v>
      </c>
      <c r="K382" s="6" t="s">
        <v>608</v>
      </c>
      <c r="L382" s="14" t="s">
        <v>55</v>
      </c>
    </row>
    <row r="383" ht="15.75" hidden="1" customHeight="1">
      <c r="A383" s="6" t="s">
        <v>2210</v>
      </c>
      <c r="B383" s="6" t="s">
        <v>2211</v>
      </c>
      <c r="C383" s="6" t="s">
        <v>112</v>
      </c>
      <c r="D383" s="6" t="s">
        <v>2212</v>
      </c>
      <c r="E383" s="6" t="s">
        <v>35</v>
      </c>
      <c r="F383" s="6" t="s">
        <v>36</v>
      </c>
      <c r="G383" s="6" t="s">
        <v>2213</v>
      </c>
      <c r="H383" s="6" t="s">
        <v>2214</v>
      </c>
      <c r="I383" s="6" t="s">
        <v>2215</v>
      </c>
      <c r="J383" s="6" t="s">
        <v>2216</v>
      </c>
      <c r="K383" s="6" t="s">
        <v>509</v>
      </c>
      <c r="L383" s="10" t="s">
        <v>30</v>
      </c>
    </row>
    <row r="384" ht="15.75" hidden="1" customHeight="1">
      <c r="A384" s="6" t="s">
        <v>2217</v>
      </c>
      <c r="B384" s="6" t="s">
        <v>2218</v>
      </c>
      <c r="C384" s="6" t="s">
        <v>112</v>
      </c>
      <c r="D384" s="6" t="s">
        <v>2219</v>
      </c>
      <c r="E384" s="6" t="s">
        <v>35</v>
      </c>
      <c r="F384" s="6" t="s">
        <v>36</v>
      </c>
      <c r="G384" s="6" t="s">
        <v>2213</v>
      </c>
      <c r="H384" s="6" t="s">
        <v>2214</v>
      </c>
      <c r="I384" s="6" t="s">
        <v>2220</v>
      </c>
      <c r="J384" s="6" t="s">
        <v>2221</v>
      </c>
      <c r="K384" s="6" t="s">
        <v>509</v>
      </c>
      <c r="L384" s="10" t="s">
        <v>30</v>
      </c>
    </row>
    <row r="385" ht="15.75" hidden="1" customHeight="1">
      <c r="A385" s="6" t="s">
        <v>2222</v>
      </c>
      <c r="B385" s="6" t="s">
        <v>2223</v>
      </c>
      <c r="C385" s="6" t="s">
        <v>112</v>
      </c>
      <c r="D385" s="6" t="s">
        <v>2224</v>
      </c>
      <c r="E385" s="6" t="s">
        <v>35</v>
      </c>
      <c r="F385" s="6" t="s">
        <v>36</v>
      </c>
      <c r="G385" s="6" t="s">
        <v>2213</v>
      </c>
      <c r="H385" s="6" t="s">
        <v>2214</v>
      </c>
      <c r="I385" s="6" t="s">
        <v>2225</v>
      </c>
      <c r="J385" s="6" t="s">
        <v>2226</v>
      </c>
      <c r="K385" s="6" t="s">
        <v>509</v>
      </c>
      <c r="L385" s="10" t="s">
        <v>30</v>
      </c>
    </row>
    <row r="386" ht="15.75" hidden="1" customHeight="1">
      <c r="A386" s="6" t="s">
        <v>2227</v>
      </c>
      <c r="B386" s="6" t="s">
        <v>2228</v>
      </c>
      <c r="C386" s="6" t="s">
        <v>112</v>
      </c>
      <c r="D386" s="6" t="s">
        <v>2229</v>
      </c>
      <c r="E386" s="6" t="s">
        <v>35</v>
      </c>
      <c r="F386" s="6" t="s">
        <v>36</v>
      </c>
      <c r="G386" s="6" t="s">
        <v>2213</v>
      </c>
      <c r="H386" s="6" t="s">
        <v>2214</v>
      </c>
      <c r="I386" s="6" t="s">
        <v>2230</v>
      </c>
      <c r="J386" s="6" t="s">
        <v>2231</v>
      </c>
      <c r="K386" s="6" t="s">
        <v>509</v>
      </c>
      <c r="L386" s="10" t="s">
        <v>30</v>
      </c>
    </row>
    <row r="387" ht="15.75" hidden="1" customHeight="1">
      <c r="A387" s="6" t="s">
        <v>2232</v>
      </c>
      <c r="B387" s="6" t="s">
        <v>2233</v>
      </c>
      <c r="C387" s="6" t="s">
        <v>112</v>
      </c>
      <c r="D387" s="6" t="s">
        <v>2234</v>
      </c>
      <c r="E387" s="6" t="s">
        <v>35</v>
      </c>
      <c r="F387" s="6" t="s">
        <v>36</v>
      </c>
      <c r="G387" s="6" t="s">
        <v>2213</v>
      </c>
      <c r="H387" s="6" t="s">
        <v>2214</v>
      </c>
      <c r="I387" s="6" t="s">
        <v>2235</v>
      </c>
      <c r="J387" s="6" t="s">
        <v>2236</v>
      </c>
      <c r="K387" s="6" t="s">
        <v>509</v>
      </c>
      <c r="L387" s="10" t="s">
        <v>30</v>
      </c>
    </row>
    <row r="388" ht="15.75" hidden="1" customHeight="1">
      <c r="A388" s="6" t="s">
        <v>2237</v>
      </c>
      <c r="B388" s="6" t="s">
        <v>2238</v>
      </c>
      <c r="C388" s="6" t="s">
        <v>112</v>
      </c>
      <c r="D388" s="6" t="s">
        <v>2239</v>
      </c>
      <c r="E388" s="6" t="s">
        <v>35</v>
      </c>
      <c r="F388" s="6" t="s">
        <v>36</v>
      </c>
      <c r="G388" s="6" t="s">
        <v>2213</v>
      </c>
      <c r="H388" s="6" t="s">
        <v>2214</v>
      </c>
      <c r="I388" s="6" t="s">
        <v>2240</v>
      </c>
      <c r="J388" s="6" t="s">
        <v>2241</v>
      </c>
      <c r="K388" s="6" t="s">
        <v>509</v>
      </c>
      <c r="L388" s="10" t="s">
        <v>30</v>
      </c>
    </row>
    <row r="389" ht="15.75" hidden="1" customHeight="1">
      <c r="A389" s="6" t="s">
        <v>2242</v>
      </c>
      <c r="B389" s="6" t="s">
        <v>2243</v>
      </c>
      <c r="C389" s="6" t="s">
        <v>112</v>
      </c>
      <c r="D389" s="6" t="s">
        <v>2244</v>
      </c>
      <c r="E389" s="6" t="s">
        <v>35</v>
      </c>
      <c r="F389" s="6" t="s">
        <v>36</v>
      </c>
      <c r="G389" s="6" t="s">
        <v>2213</v>
      </c>
      <c r="H389" s="6" t="s">
        <v>2214</v>
      </c>
      <c r="I389" s="6" t="s">
        <v>2245</v>
      </c>
      <c r="J389" s="6" t="s">
        <v>2246</v>
      </c>
      <c r="K389" s="6" t="s">
        <v>509</v>
      </c>
      <c r="L389" s="10" t="s">
        <v>30</v>
      </c>
    </row>
    <row r="390" ht="15.75" customHeight="1">
      <c r="A390" s="6" t="s">
        <v>2247</v>
      </c>
      <c r="B390" s="6" t="s">
        <v>2248</v>
      </c>
      <c r="C390" s="6" t="s">
        <v>112</v>
      </c>
      <c r="D390" s="6" t="s">
        <v>2249</v>
      </c>
      <c r="E390" s="6" t="s">
        <v>35</v>
      </c>
      <c r="F390" s="6" t="s">
        <v>36</v>
      </c>
      <c r="G390" s="6" t="s">
        <v>2250</v>
      </c>
      <c r="H390" s="6" t="s">
        <v>2251</v>
      </c>
      <c r="I390" s="6" t="s">
        <v>2252</v>
      </c>
      <c r="J390" s="6" t="s">
        <v>2253</v>
      </c>
      <c r="K390" s="6" t="s">
        <v>2254</v>
      </c>
      <c r="L390" s="14" t="s">
        <v>55</v>
      </c>
    </row>
    <row r="391" ht="15.75" customHeight="1">
      <c r="A391" s="6" t="s">
        <v>2255</v>
      </c>
      <c r="B391" s="6" t="s">
        <v>2256</v>
      </c>
      <c r="C391" s="6" t="s">
        <v>112</v>
      </c>
      <c r="D391" s="6" t="s">
        <v>2257</v>
      </c>
      <c r="E391" s="6" t="s">
        <v>35</v>
      </c>
      <c r="F391" s="6" t="s">
        <v>36</v>
      </c>
      <c r="G391" s="6" t="s">
        <v>2250</v>
      </c>
      <c r="H391" s="6" t="s">
        <v>2251</v>
      </c>
      <c r="I391" s="6" t="s">
        <v>2258</v>
      </c>
      <c r="J391" s="6" t="s">
        <v>2259</v>
      </c>
      <c r="K391" s="6" t="s">
        <v>2254</v>
      </c>
      <c r="L391" s="14" t="s">
        <v>55</v>
      </c>
    </row>
    <row r="392" ht="15.75" customHeight="1">
      <c r="A392" s="6" t="s">
        <v>2260</v>
      </c>
      <c r="B392" s="6" t="s">
        <v>2261</v>
      </c>
      <c r="C392" s="6" t="s">
        <v>112</v>
      </c>
      <c r="D392" s="6" t="s">
        <v>2262</v>
      </c>
      <c r="E392" s="6" t="s">
        <v>35</v>
      </c>
      <c r="F392" s="6" t="s">
        <v>36</v>
      </c>
      <c r="G392" s="6" t="s">
        <v>2250</v>
      </c>
      <c r="H392" s="6" t="s">
        <v>2251</v>
      </c>
      <c r="I392" s="6" t="s">
        <v>2263</v>
      </c>
      <c r="J392" s="6" t="s">
        <v>2264</v>
      </c>
      <c r="K392" s="6" t="s">
        <v>2254</v>
      </c>
      <c r="L392" s="10" t="s">
        <v>609</v>
      </c>
    </row>
    <row r="393" ht="15.75" customHeight="1">
      <c r="A393" s="6" t="s">
        <v>2265</v>
      </c>
      <c r="B393" s="6" t="s">
        <v>2266</v>
      </c>
      <c r="C393" s="6" t="s">
        <v>112</v>
      </c>
      <c r="D393" s="6" t="s">
        <v>2267</v>
      </c>
      <c r="E393" s="6" t="s">
        <v>35</v>
      </c>
      <c r="F393" s="6" t="s">
        <v>36</v>
      </c>
      <c r="G393" s="6" t="s">
        <v>2250</v>
      </c>
      <c r="H393" s="6" t="s">
        <v>2251</v>
      </c>
      <c r="I393" s="6" t="s">
        <v>2268</v>
      </c>
      <c r="J393" s="6" t="s">
        <v>2269</v>
      </c>
      <c r="K393" s="6" t="s">
        <v>2254</v>
      </c>
      <c r="L393" s="10" t="s">
        <v>609</v>
      </c>
    </row>
    <row r="394" ht="15.75" hidden="1" customHeight="1">
      <c r="A394" s="6" t="s">
        <v>2270</v>
      </c>
      <c r="B394" s="6" t="s">
        <v>2271</v>
      </c>
      <c r="C394" s="6" t="s">
        <v>137</v>
      </c>
      <c r="D394" s="6" t="s">
        <v>21</v>
      </c>
      <c r="E394" s="6" t="s">
        <v>22</v>
      </c>
      <c r="F394" s="6" t="s">
        <v>23</v>
      </c>
      <c r="G394" s="6" t="s">
        <v>24</v>
      </c>
      <c r="H394" s="6" t="s">
        <v>25</v>
      </c>
      <c r="I394" s="6" t="s">
        <v>2272</v>
      </c>
      <c r="J394" s="6" t="s">
        <v>2273</v>
      </c>
      <c r="K394" s="6" t="s">
        <v>29</v>
      </c>
      <c r="L394" s="10" t="s">
        <v>30</v>
      </c>
    </row>
    <row r="395" ht="15.75" hidden="1" customHeight="1">
      <c r="A395" s="6" t="s">
        <v>2274</v>
      </c>
      <c r="B395" s="6" t="s">
        <v>2275</v>
      </c>
      <c r="C395" s="6" t="s">
        <v>137</v>
      </c>
      <c r="D395" s="6" t="s">
        <v>2276</v>
      </c>
      <c r="E395" s="6" t="s">
        <v>35</v>
      </c>
      <c r="F395" s="6" t="s">
        <v>882</v>
      </c>
      <c r="G395" s="6" t="s">
        <v>920</v>
      </c>
      <c r="H395" s="6" t="s">
        <v>921</v>
      </c>
      <c r="I395" s="6" t="s">
        <v>2277</v>
      </c>
      <c r="J395" s="6" t="s">
        <v>2278</v>
      </c>
      <c r="K395" s="6" t="s">
        <v>29</v>
      </c>
      <c r="L395" s="10" t="s">
        <v>30</v>
      </c>
    </row>
    <row r="396" ht="15.75" hidden="1" customHeight="1">
      <c r="A396" s="6" t="s">
        <v>2279</v>
      </c>
      <c r="B396" s="6" t="s">
        <v>2280</v>
      </c>
      <c r="C396" s="6" t="s">
        <v>137</v>
      </c>
      <c r="D396" s="6" t="s">
        <v>2281</v>
      </c>
      <c r="E396" s="6" t="s">
        <v>35</v>
      </c>
      <c r="F396" s="6" t="s">
        <v>882</v>
      </c>
      <c r="G396" s="6" t="s">
        <v>920</v>
      </c>
      <c r="H396" s="6" t="s">
        <v>921</v>
      </c>
      <c r="I396" s="6" t="s">
        <v>2282</v>
      </c>
      <c r="J396" s="6" t="s">
        <v>2283</v>
      </c>
      <c r="K396" s="6" t="s">
        <v>29</v>
      </c>
      <c r="L396" s="10" t="s">
        <v>30</v>
      </c>
    </row>
    <row r="397" ht="15.75" hidden="1" customHeight="1">
      <c r="A397" s="6" t="s">
        <v>2284</v>
      </c>
      <c r="B397" s="6" t="s">
        <v>2285</v>
      </c>
      <c r="C397" s="6" t="s">
        <v>137</v>
      </c>
      <c r="D397" s="6" t="s">
        <v>2286</v>
      </c>
      <c r="E397" s="6" t="s">
        <v>35</v>
      </c>
      <c r="F397" s="6" t="s">
        <v>882</v>
      </c>
      <c r="G397" s="6" t="s">
        <v>920</v>
      </c>
      <c r="H397" s="6" t="s">
        <v>921</v>
      </c>
      <c r="I397" s="6" t="s">
        <v>2287</v>
      </c>
      <c r="J397" s="6" t="s">
        <v>2288</v>
      </c>
      <c r="K397" s="6" t="s">
        <v>29</v>
      </c>
      <c r="L397" s="10" t="s">
        <v>30</v>
      </c>
    </row>
    <row r="398" ht="15.75" hidden="1" customHeight="1">
      <c r="A398" s="6" t="s">
        <v>2289</v>
      </c>
      <c r="B398" s="6" t="s">
        <v>2290</v>
      </c>
      <c r="C398" s="6" t="s">
        <v>137</v>
      </c>
      <c r="D398" s="6" t="s">
        <v>2291</v>
      </c>
      <c r="E398" s="6" t="s">
        <v>35</v>
      </c>
      <c r="F398" s="6" t="s">
        <v>882</v>
      </c>
      <c r="G398" s="6" t="s">
        <v>920</v>
      </c>
      <c r="H398" s="6" t="s">
        <v>921</v>
      </c>
      <c r="I398" s="6" t="s">
        <v>2292</v>
      </c>
      <c r="J398" s="6" t="s">
        <v>2293</v>
      </c>
      <c r="K398" s="6" t="s">
        <v>29</v>
      </c>
      <c r="L398" s="10" t="s">
        <v>30</v>
      </c>
    </row>
    <row r="399" ht="15.75" hidden="1" customHeight="1">
      <c r="A399" s="6" t="s">
        <v>2294</v>
      </c>
      <c r="B399" s="6" t="s">
        <v>2295</v>
      </c>
      <c r="C399" s="6" t="s">
        <v>137</v>
      </c>
      <c r="D399" s="6" t="s">
        <v>2296</v>
      </c>
      <c r="E399" s="6" t="s">
        <v>331</v>
      </c>
      <c r="F399" s="6" t="s">
        <v>1271</v>
      </c>
      <c r="G399" s="6" t="s">
        <v>1764</v>
      </c>
      <c r="H399" s="6" t="s">
        <v>1765</v>
      </c>
      <c r="I399" s="6" t="s">
        <v>2297</v>
      </c>
      <c r="J399" s="6" t="s">
        <v>2298</v>
      </c>
      <c r="K399" s="6" t="s">
        <v>29</v>
      </c>
      <c r="L399" s="10" t="s">
        <v>30</v>
      </c>
    </row>
    <row r="400" ht="15.75" hidden="1" customHeight="1">
      <c r="A400" s="6" t="s">
        <v>2299</v>
      </c>
      <c r="B400" s="6" t="s">
        <v>2300</v>
      </c>
      <c r="C400" s="6" t="s">
        <v>137</v>
      </c>
      <c r="D400" s="6" t="s">
        <v>2301</v>
      </c>
      <c r="E400" s="6" t="s">
        <v>331</v>
      </c>
      <c r="F400" s="6" t="s">
        <v>1271</v>
      </c>
      <c r="G400" s="6" t="s">
        <v>1764</v>
      </c>
      <c r="H400" s="6" t="s">
        <v>1765</v>
      </c>
      <c r="I400" s="6" t="s">
        <v>2302</v>
      </c>
      <c r="J400" s="6" t="s">
        <v>2303</v>
      </c>
      <c r="K400" s="6" t="s">
        <v>29</v>
      </c>
      <c r="L400" s="10" t="s">
        <v>30</v>
      </c>
    </row>
    <row r="401" ht="15.75" hidden="1" customHeight="1">
      <c r="A401" s="6" t="s">
        <v>2304</v>
      </c>
      <c r="B401" s="6" t="s">
        <v>2305</v>
      </c>
      <c r="C401" s="6" t="s">
        <v>137</v>
      </c>
      <c r="D401" s="6" t="s">
        <v>2306</v>
      </c>
      <c r="E401" s="6" t="s">
        <v>331</v>
      </c>
      <c r="F401" s="6" t="s">
        <v>1271</v>
      </c>
      <c r="G401" s="6" t="s">
        <v>1764</v>
      </c>
      <c r="H401" s="6" t="s">
        <v>1765</v>
      </c>
      <c r="I401" s="6" t="s">
        <v>2307</v>
      </c>
      <c r="J401" s="6" t="s">
        <v>2308</v>
      </c>
      <c r="K401" s="6" t="s">
        <v>29</v>
      </c>
      <c r="L401" s="10" t="s">
        <v>30</v>
      </c>
    </row>
    <row r="402" ht="15.75" hidden="1" customHeight="1">
      <c r="A402" s="6" t="s">
        <v>2309</v>
      </c>
      <c r="B402" s="6" t="s">
        <v>2310</v>
      </c>
      <c r="C402" s="6" t="s">
        <v>137</v>
      </c>
      <c r="D402" s="6" t="s">
        <v>2311</v>
      </c>
      <c r="E402" s="6" t="s">
        <v>331</v>
      </c>
      <c r="F402" s="6" t="s">
        <v>1271</v>
      </c>
      <c r="G402" s="6" t="s">
        <v>1764</v>
      </c>
      <c r="H402" s="6" t="s">
        <v>1765</v>
      </c>
      <c r="I402" s="6" t="s">
        <v>2312</v>
      </c>
      <c r="J402" s="6" t="s">
        <v>2313</v>
      </c>
      <c r="K402" s="6" t="s">
        <v>29</v>
      </c>
      <c r="L402" s="10" t="s">
        <v>30</v>
      </c>
    </row>
    <row r="403" ht="15.75" hidden="1" customHeight="1">
      <c r="A403" s="6" t="s">
        <v>2314</v>
      </c>
      <c r="B403" s="6" t="s">
        <v>2315</v>
      </c>
      <c r="C403" s="6" t="s">
        <v>137</v>
      </c>
      <c r="D403" s="6" t="s">
        <v>2316</v>
      </c>
      <c r="E403" s="6" t="s">
        <v>346</v>
      </c>
      <c r="F403" s="6" t="s">
        <v>2317</v>
      </c>
      <c r="G403" s="6" t="s">
        <v>2318</v>
      </c>
      <c r="H403" s="6" t="s">
        <v>2319</v>
      </c>
      <c r="I403" s="6" t="s">
        <v>2320</v>
      </c>
      <c r="J403" s="6" t="s">
        <v>2321</v>
      </c>
      <c r="K403" s="6" t="s">
        <v>1042</v>
      </c>
      <c r="L403" s="14" t="s">
        <v>55</v>
      </c>
    </row>
    <row r="404" ht="15.75" hidden="1" customHeight="1">
      <c r="A404" s="6" t="s">
        <v>2322</v>
      </c>
      <c r="B404" s="6" t="s">
        <v>2323</v>
      </c>
      <c r="C404" s="6" t="s">
        <v>137</v>
      </c>
      <c r="D404" s="6" t="s">
        <v>2324</v>
      </c>
      <c r="E404" s="6" t="s">
        <v>346</v>
      </c>
      <c r="F404" s="6" t="s">
        <v>2317</v>
      </c>
      <c r="G404" s="6" t="s">
        <v>2318</v>
      </c>
      <c r="H404" s="6" t="s">
        <v>2319</v>
      </c>
      <c r="I404" s="6" t="s">
        <v>2325</v>
      </c>
      <c r="J404" s="6" t="s">
        <v>2326</v>
      </c>
      <c r="K404" s="6" t="s">
        <v>1042</v>
      </c>
      <c r="L404" s="10" t="s">
        <v>609</v>
      </c>
    </row>
    <row r="405" ht="15.75" hidden="1" customHeight="1">
      <c r="A405" s="6" t="s">
        <v>2327</v>
      </c>
      <c r="B405" s="6" t="s">
        <v>2328</v>
      </c>
      <c r="C405" s="6" t="s">
        <v>137</v>
      </c>
      <c r="D405" s="6" t="s">
        <v>2329</v>
      </c>
      <c r="E405" s="6" t="s">
        <v>346</v>
      </c>
      <c r="F405" s="6" t="s">
        <v>2317</v>
      </c>
      <c r="G405" s="6" t="s">
        <v>2318</v>
      </c>
      <c r="H405" s="6" t="s">
        <v>2319</v>
      </c>
      <c r="I405" s="6" t="s">
        <v>2330</v>
      </c>
      <c r="J405" s="6" t="s">
        <v>2331</v>
      </c>
      <c r="K405" s="6" t="s">
        <v>1042</v>
      </c>
      <c r="L405" s="10" t="s">
        <v>609</v>
      </c>
    </row>
    <row r="406" ht="15.75" hidden="1" customHeight="1">
      <c r="A406" s="6" t="s">
        <v>2332</v>
      </c>
      <c r="B406" s="6" t="s">
        <v>2333</v>
      </c>
      <c r="C406" s="6" t="s">
        <v>137</v>
      </c>
      <c r="D406" s="6" t="s">
        <v>2334</v>
      </c>
      <c r="E406" s="6" t="s">
        <v>346</v>
      </c>
      <c r="F406" s="6" t="s">
        <v>2317</v>
      </c>
      <c r="G406" s="6" t="s">
        <v>2318</v>
      </c>
      <c r="H406" s="6" t="s">
        <v>2319</v>
      </c>
      <c r="I406" s="6" t="s">
        <v>2335</v>
      </c>
      <c r="J406" s="6" t="s">
        <v>2336</v>
      </c>
      <c r="K406" s="6" t="s">
        <v>1042</v>
      </c>
      <c r="L406" s="10" t="s">
        <v>609</v>
      </c>
    </row>
    <row r="407" ht="15.75" hidden="1" customHeight="1">
      <c r="A407" s="6" t="s">
        <v>2337</v>
      </c>
      <c r="B407" s="6" t="s">
        <v>2338</v>
      </c>
      <c r="C407" s="6" t="s">
        <v>137</v>
      </c>
      <c r="D407" s="6" t="s">
        <v>2339</v>
      </c>
      <c r="E407" s="6" t="s">
        <v>346</v>
      </c>
      <c r="F407" s="6" t="s">
        <v>2317</v>
      </c>
      <c r="G407" s="6" t="s">
        <v>2318</v>
      </c>
      <c r="H407" s="6" t="s">
        <v>2319</v>
      </c>
      <c r="I407" s="6" t="s">
        <v>2340</v>
      </c>
      <c r="J407" s="6" t="s">
        <v>2341</v>
      </c>
      <c r="K407" s="6" t="s">
        <v>1042</v>
      </c>
      <c r="L407" s="10" t="s">
        <v>609</v>
      </c>
    </row>
    <row r="408" ht="15.75" hidden="1" customHeight="1">
      <c r="A408" s="6" t="s">
        <v>2342</v>
      </c>
      <c r="B408" s="6" t="s">
        <v>2343</v>
      </c>
      <c r="C408" s="6" t="s">
        <v>137</v>
      </c>
      <c r="D408" s="6" t="s">
        <v>2344</v>
      </c>
      <c r="E408" s="6" t="s">
        <v>346</v>
      </c>
      <c r="F408" s="6" t="s">
        <v>2317</v>
      </c>
      <c r="G408" s="6" t="s">
        <v>2318</v>
      </c>
      <c r="H408" s="6" t="s">
        <v>2319</v>
      </c>
      <c r="I408" s="6" t="s">
        <v>2345</v>
      </c>
      <c r="J408" s="6" t="s">
        <v>2346</v>
      </c>
      <c r="K408" s="6" t="s">
        <v>1042</v>
      </c>
      <c r="L408" s="10" t="s">
        <v>609</v>
      </c>
    </row>
    <row r="409" ht="15.75" hidden="1" customHeight="1">
      <c r="A409" s="6" t="s">
        <v>2347</v>
      </c>
      <c r="B409" s="6" t="s">
        <v>2348</v>
      </c>
      <c r="C409" s="6" t="s">
        <v>137</v>
      </c>
      <c r="D409" s="6" t="s">
        <v>2349</v>
      </c>
      <c r="E409" s="6" t="s">
        <v>346</v>
      </c>
      <c r="F409" s="6" t="s">
        <v>2317</v>
      </c>
      <c r="G409" s="6" t="s">
        <v>2318</v>
      </c>
      <c r="H409" s="6" t="s">
        <v>2319</v>
      </c>
      <c r="I409" s="6" t="s">
        <v>2350</v>
      </c>
      <c r="J409" s="6" t="s">
        <v>2351</v>
      </c>
      <c r="K409" s="6" t="s">
        <v>1042</v>
      </c>
      <c r="L409" s="10" t="s">
        <v>609</v>
      </c>
    </row>
    <row r="410" ht="15.75" hidden="1" customHeight="1">
      <c r="A410" s="6" t="s">
        <v>2352</v>
      </c>
      <c r="B410" s="6" t="s">
        <v>2353</v>
      </c>
      <c r="C410" s="6" t="s">
        <v>137</v>
      </c>
      <c r="D410" s="6" t="s">
        <v>2354</v>
      </c>
      <c r="E410" s="6" t="s">
        <v>346</v>
      </c>
      <c r="F410" s="6" t="s">
        <v>2317</v>
      </c>
      <c r="G410" s="6" t="s">
        <v>2318</v>
      </c>
      <c r="H410" s="6" t="s">
        <v>2319</v>
      </c>
      <c r="I410" s="6" t="s">
        <v>2355</v>
      </c>
      <c r="J410" s="6" t="s">
        <v>2356</v>
      </c>
      <c r="K410" s="6" t="s">
        <v>1042</v>
      </c>
      <c r="L410" s="10" t="s">
        <v>609</v>
      </c>
    </row>
    <row r="411" ht="15.75" hidden="1" customHeight="1">
      <c r="A411" s="6" t="s">
        <v>2357</v>
      </c>
      <c r="B411" s="6" t="s">
        <v>2358</v>
      </c>
      <c r="C411" s="6" t="s">
        <v>137</v>
      </c>
      <c r="D411" s="6" t="s">
        <v>2359</v>
      </c>
      <c r="E411" s="6" t="s">
        <v>346</v>
      </c>
      <c r="F411" s="6" t="s">
        <v>2317</v>
      </c>
      <c r="G411" s="6" t="s">
        <v>2318</v>
      </c>
      <c r="H411" s="6" t="s">
        <v>2319</v>
      </c>
      <c r="I411" s="6" t="s">
        <v>2360</v>
      </c>
      <c r="J411" s="6" t="s">
        <v>2361</v>
      </c>
      <c r="K411" s="6" t="s">
        <v>1042</v>
      </c>
      <c r="L411" s="10" t="s">
        <v>609</v>
      </c>
    </row>
    <row r="412" ht="15.75" hidden="1" customHeight="1">
      <c r="A412" s="6" t="s">
        <v>2362</v>
      </c>
      <c r="B412" s="6" t="s">
        <v>2363</v>
      </c>
      <c r="C412" s="6" t="s">
        <v>137</v>
      </c>
      <c r="D412" s="6" t="s">
        <v>2364</v>
      </c>
      <c r="E412" s="6" t="s">
        <v>346</v>
      </c>
      <c r="F412" s="6" t="s">
        <v>2317</v>
      </c>
      <c r="G412" s="6" t="s">
        <v>2318</v>
      </c>
      <c r="H412" s="6" t="s">
        <v>2319</v>
      </c>
      <c r="I412" s="6" t="s">
        <v>2365</v>
      </c>
      <c r="J412" s="6" t="s">
        <v>2366</v>
      </c>
      <c r="K412" s="6" t="s">
        <v>1042</v>
      </c>
      <c r="L412" s="10" t="s">
        <v>609</v>
      </c>
    </row>
    <row r="413" ht="15.75" hidden="1" customHeight="1">
      <c r="A413" s="6" t="s">
        <v>2367</v>
      </c>
      <c r="B413" s="6" t="s">
        <v>2368</v>
      </c>
      <c r="C413" s="6" t="s">
        <v>137</v>
      </c>
      <c r="D413" s="6" t="s">
        <v>2369</v>
      </c>
      <c r="E413" s="6" t="s">
        <v>346</v>
      </c>
      <c r="F413" s="6" t="s">
        <v>2317</v>
      </c>
      <c r="G413" s="6" t="s">
        <v>2318</v>
      </c>
      <c r="H413" s="6" t="s">
        <v>2319</v>
      </c>
      <c r="I413" s="6" t="s">
        <v>2370</v>
      </c>
      <c r="J413" s="6" t="s">
        <v>2371</v>
      </c>
      <c r="K413" s="6" t="s">
        <v>1042</v>
      </c>
      <c r="L413" s="10" t="s">
        <v>609</v>
      </c>
    </row>
    <row r="414" ht="15.75" hidden="1" customHeight="1">
      <c r="A414" s="6" t="s">
        <v>2372</v>
      </c>
      <c r="B414" s="6" t="s">
        <v>2373</v>
      </c>
      <c r="C414" s="6" t="s">
        <v>137</v>
      </c>
      <c r="D414" s="6" t="s">
        <v>2374</v>
      </c>
      <c r="E414" s="6" t="s">
        <v>346</v>
      </c>
      <c r="F414" s="6" t="s">
        <v>2317</v>
      </c>
      <c r="G414" s="6" t="s">
        <v>2318</v>
      </c>
      <c r="H414" s="6" t="s">
        <v>2319</v>
      </c>
      <c r="I414" s="6" t="s">
        <v>2375</v>
      </c>
      <c r="J414" s="6" t="s">
        <v>2376</v>
      </c>
      <c r="K414" s="6" t="s">
        <v>1042</v>
      </c>
      <c r="L414" s="10" t="s">
        <v>609</v>
      </c>
    </row>
    <row r="415" ht="15.75" hidden="1" customHeight="1">
      <c r="A415" s="6" t="s">
        <v>2377</v>
      </c>
      <c r="B415" s="6" t="s">
        <v>2378</v>
      </c>
      <c r="C415" s="6" t="s">
        <v>137</v>
      </c>
      <c r="D415" s="6" t="s">
        <v>2379</v>
      </c>
      <c r="E415" s="6" t="s">
        <v>346</v>
      </c>
      <c r="F415" s="6" t="s">
        <v>2317</v>
      </c>
      <c r="G415" s="6" t="s">
        <v>2318</v>
      </c>
      <c r="H415" s="6" t="s">
        <v>2319</v>
      </c>
      <c r="I415" s="6" t="s">
        <v>2380</v>
      </c>
      <c r="J415" s="6" t="s">
        <v>2381</v>
      </c>
      <c r="K415" s="6" t="s">
        <v>1042</v>
      </c>
      <c r="L415" s="10" t="s">
        <v>609</v>
      </c>
    </row>
    <row r="416" ht="15.75" hidden="1" customHeight="1">
      <c r="A416" s="6" t="s">
        <v>2382</v>
      </c>
      <c r="B416" s="6" t="s">
        <v>2383</v>
      </c>
      <c r="C416" s="6" t="s">
        <v>137</v>
      </c>
      <c r="D416" s="6" t="s">
        <v>2384</v>
      </c>
      <c r="E416" s="6" t="s">
        <v>346</v>
      </c>
      <c r="F416" s="6" t="s">
        <v>2317</v>
      </c>
      <c r="G416" s="6" t="s">
        <v>2318</v>
      </c>
      <c r="H416" s="6" t="s">
        <v>2319</v>
      </c>
      <c r="I416" s="6" t="s">
        <v>2385</v>
      </c>
      <c r="J416" s="6" t="s">
        <v>2386</v>
      </c>
      <c r="K416" s="6" t="s">
        <v>1042</v>
      </c>
      <c r="L416" s="10" t="s">
        <v>609</v>
      </c>
    </row>
    <row r="417" ht="15.75" hidden="1" customHeight="1">
      <c r="A417" s="6" t="s">
        <v>2387</v>
      </c>
      <c r="B417" s="6" t="s">
        <v>2388</v>
      </c>
      <c r="C417" s="6" t="s">
        <v>137</v>
      </c>
      <c r="D417" s="6" t="s">
        <v>2389</v>
      </c>
      <c r="E417" s="6" t="s">
        <v>346</v>
      </c>
      <c r="F417" s="6" t="s">
        <v>2317</v>
      </c>
      <c r="G417" s="6" t="s">
        <v>2318</v>
      </c>
      <c r="H417" s="6" t="s">
        <v>2319</v>
      </c>
      <c r="I417" s="6" t="s">
        <v>2390</v>
      </c>
      <c r="J417" s="6" t="s">
        <v>2391</v>
      </c>
      <c r="K417" s="6" t="s">
        <v>1042</v>
      </c>
      <c r="L417" s="10" t="s">
        <v>609</v>
      </c>
    </row>
    <row r="418" ht="15.75" hidden="1" customHeight="1">
      <c r="A418" s="6" t="s">
        <v>2392</v>
      </c>
      <c r="B418" s="6" t="s">
        <v>2393</v>
      </c>
      <c r="C418" s="6" t="s">
        <v>137</v>
      </c>
      <c r="D418" s="6" t="s">
        <v>2394</v>
      </c>
      <c r="E418" s="6" t="s">
        <v>346</v>
      </c>
      <c r="F418" s="6" t="s">
        <v>2317</v>
      </c>
      <c r="G418" s="6" t="s">
        <v>2318</v>
      </c>
      <c r="H418" s="6" t="s">
        <v>2319</v>
      </c>
      <c r="I418" s="6" t="s">
        <v>2395</v>
      </c>
      <c r="J418" s="6" t="s">
        <v>2396</v>
      </c>
      <c r="K418" s="6" t="s">
        <v>1042</v>
      </c>
      <c r="L418" s="10" t="s">
        <v>609</v>
      </c>
    </row>
    <row r="419" ht="15.75" hidden="1" customHeight="1">
      <c r="A419" s="6" t="s">
        <v>2397</v>
      </c>
      <c r="B419" s="6" t="s">
        <v>2398</v>
      </c>
      <c r="C419" s="6" t="s">
        <v>137</v>
      </c>
      <c r="D419" s="6" t="s">
        <v>2399</v>
      </c>
      <c r="E419" s="6" t="s">
        <v>339</v>
      </c>
      <c r="F419" s="6" t="s">
        <v>1037</v>
      </c>
      <c r="G419" s="6" t="s">
        <v>2400</v>
      </c>
      <c r="H419" s="6" t="s">
        <v>2401</v>
      </c>
      <c r="I419" s="6" t="s">
        <v>2402</v>
      </c>
      <c r="J419" s="6" t="s">
        <v>2403</v>
      </c>
      <c r="K419" s="6" t="s">
        <v>534</v>
      </c>
      <c r="L419" s="10" t="s">
        <v>609</v>
      </c>
    </row>
    <row r="420" ht="15.75" hidden="1" customHeight="1">
      <c r="A420" s="6" t="s">
        <v>2404</v>
      </c>
      <c r="B420" s="6" t="s">
        <v>2405</v>
      </c>
      <c r="C420" s="6" t="s">
        <v>137</v>
      </c>
      <c r="D420" s="6" t="s">
        <v>2406</v>
      </c>
      <c r="E420" s="6" t="s">
        <v>339</v>
      </c>
      <c r="F420" s="6" t="s">
        <v>1037</v>
      </c>
      <c r="G420" s="6" t="s">
        <v>2400</v>
      </c>
      <c r="H420" s="6" t="s">
        <v>2401</v>
      </c>
      <c r="I420" s="6" t="s">
        <v>2407</v>
      </c>
      <c r="J420" s="6" t="s">
        <v>2408</v>
      </c>
      <c r="K420" s="6" t="s">
        <v>534</v>
      </c>
      <c r="L420" s="10" t="s">
        <v>609</v>
      </c>
    </row>
    <row r="421" ht="15.75" hidden="1" customHeight="1">
      <c r="A421" s="6" t="s">
        <v>2409</v>
      </c>
      <c r="B421" s="6" t="s">
        <v>2410</v>
      </c>
      <c r="C421" s="6" t="s">
        <v>137</v>
      </c>
      <c r="D421" s="6" t="s">
        <v>2411</v>
      </c>
      <c r="E421" s="6" t="s">
        <v>346</v>
      </c>
      <c r="F421" s="6" t="s">
        <v>2412</v>
      </c>
      <c r="G421" s="6" t="s">
        <v>2413</v>
      </c>
      <c r="H421" s="6" t="s">
        <v>2414</v>
      </c>
      <c r="I421" s="6" t="s">
        <v>2415</v>
      </c>
      <c r="J421" s="6" t="s">
        <v>2416</v>
      </c>
      <c r="K421" s="6" t="s">
        <v>29</v>
      </c>
      <c r="L421" s="10" t="s">
        <v>30</v>
      </c>
    </row>
    <row r="422" ht="15.75" hidden="1" customHeight="1">
      <c r="A422" s="6" t="s">
        <v>2417</v>
      </c>
      <c r="B422" s="6" t="s">
        <v>2418</v>
      </c>
      <c r="C422" s="6" t="s">
        <v>137</v>
      </c>
      <c r="D422" s="6" t="s">
        <v>2419</v>
      </c>
      <c r="E422" s="6" t="s">
        <v>346</v>
      </c>
      <c r="F422" s="6" t="s">
        <v>2412</v>
      </c>
      <c r="G422" s="6" t="s">
        <v>2413</v>
      </c>
      <c r="H422" s="6" t="s">
        <v>2414</v>
      </c>
      <c r="I422" s="6" t="s">
        <v>2420</v>
      </c>
      <c r="J422" s="6" t="s">
        <v>2421</v>
      </c>
      <c r="K422" s="6" t="s">
        <v>29</v>
      </c>
      <c r="L422" s="10" t="s">
        <v>30</v>
      </c>
    </row>
    <row r="423" ht="15.75" hidden="1" customHeight="1">
      <c r="A423" s="6" t="s">
        <v>2422</v>
      </c>
      <c r="B423" s="6" t="s">
        <v>2423</v>
      </c>
      <c r="C423" s="6" t="s">
        <v>137</v>
      </c>
      <c r="D423" s="6" t="s">
        <v>2424</v>
      </c>
      <c r="E423" s="6" t="s">
        <v>346</v>
      </c>
      <c r="F423" s="6" t="s">
        <v>2412</v>
      </c>
      <c r="G423" s="6" t="s">
        <v>2413</v>
      </c>
      <c r="H423" s="6" t="s">
        <v>2414</v>
      </c>
      <c r="I423" s="6" t="s">
        <v>2425</v>
      </c>
      <c r="J423" s="6" t="s">
        <v>2426</v>
      </c>
      <c r="K423" s="6" t="s">
        <v>29</v>
      </c>
      <c r="L423" s="10" t="s">
        <v>30</v>
      </c>
    </row>
    <row r="424" ht="15.75" hidden="1" customHeight="1">
      <c r="A424" s="6" t="s">
        <v>2427</v>
      </c>
      <c r="B424" s="6" t="s">
        <v>2428</v>
      </c>
      <c r="C424" s="6" t="s">
        <v>137</v>
      </c>
      <c r="D424" s="6" t="s">
        <v>2429</v>
      </c>
      <c r="E424" s="6" t="s">
        <v>346</v>
      </c>
      <c r="F424" s="6" t="s">
        <v>2412</v>
      </c>
      <c r="G424" s="6" t="s">
        <v>2413</v>
      </c>
      <c r="H424" s="6" t="s">
        <v>2414</v>
      </c>
      <c r="I424" s="6" t="s">
        <v>2430</v>
      </c>
      <c r="J424" s="6" t="s">
        <v>2431</v>
      </c>
      <c r="K424" s="6" t="s">
        <v>29</v>
      </c>
      <c r="L424" s="10" t="s">
        <v>30</v>
      </c>
    </row>
    <row r="425" ht="15.75" hidden="1" customHeight="1">
      <c r="A425" s="6" t="s">
        <v>2432</v>
      </c>
      <c r="B425" s="6" t="s">
        <v>2433</v>
      </c>
      <c r="C425" s="6" t="s">
        <v>137</v>
      </c>
      <c r="D425" s="6" t="s">
        <v>2434</v>
      </c>
      <c r="E425" s="6" t="s">
        <v>346</v>
      </c>
      <c r="F425" s="6" t="s">
        <v>2412</v>
      </c>
      <c r="G425" s="6" t="s">
        <v>2435</v>
      </c>
      <c r="H425" s="6" t="s">
        <v>2436</v>
      </c>
      <c r="I425" s="6" t="s">
        <v>2437</v>
      </c>
      <c r="J425" s="6" t="s">
        <v>2438</v>
      </c>
      <c r="K425" s="6" t="s">
        <v>29</v>
      </c>
      <c r="L425" s="10" t="s">
        <v>30</v>
      </c>
    </row>
    <row r="426" ht="15.75" hidden="1" customHeight="1">
      <c r="A426" s="6" t="s">
        <v>2439</v>
      </c>
      <c r="B426" s="6" t="s">
        <v>2440</v>
      </c>
      <c r="C426" s="6" t="s">
        <v>137</v>
      </c>
      <c r="D426" s="6" t="s">
        <v>2441</v>
      </c>
      <c r="E426" s="6" t="s">
        <v>346</v>
      </c>
      <c r="F426" s="6" t="s">
        <v>2412</v>
      </c>
      <c r="G426" s="6" t="s">
        <v>2435</v>
      </c>
      <c r="H426" s="6" t="s">
        <v>2436</v>
      </c>
      <c r="I426" s="6" t="s">
        <v>2442</v>
      </c>
      <c r="J426" s="6" t="s">
        <v>2443</v>
      </c>
      <c r="K426" s="6" t="s">
        <v>29</v>
      </c>
      <c r="L426" s="10" t="s">
        <v>30</v>
      </c>
    </row>
    <row r="427" ht="15.75" hidden="1" customHeight="1">
      <c r="A427" s="6" t="s">
        <v>2444</v>
      </c>
      <c r="B427" s="6" t="s">
        <v>2445</v>
      </c>
      <c r="C427" s="6" t="s">
        <v>137</v>
      </c>
      <c r="D427" s="6" t="s">
        <v>2446</v>
      </c>
      <c r="E427" s="6" t="s">
        <v>331</v>
      </c>
      <c r="F427" s="6" t="s">
        <v>1271</v>
      </c>
      <c r="G427" s="6" t="s">
        <v>2447</v>
      </c>
      <c r="H427" s="6" t="s">
        <v>2448</v>
      </c>
      <c r="I427" s="6" t="s">
        <v>2449</v>
      </c>
      <c r="J427" s="6" t="s">
        <v>2450</v>
      </c>
      <c r="K427" s="6" t="s">
        <v>29</v>
      </c>
      <c r="L427" s="10" t="s">
        <v>30</v>
      </c>
    </row>
    <row r="428" ht="15.75" hidden="1" customHeight="1">
      <c r="A428" s="6" t="s">
        <v>2451</v>
      </c>
      <c r="B428" s="6" t="s">
        <v>2452</v>
      </c>
      <c r="C428" s="6" t="s">
        <v>137</v>
      </c>
      <c r="D428" s="6" t="s">
        <v>2453</v>
      </c>
      <c r="E428" s="6" t="s">
        <v>331</v>
      </c>
      <c r="F428" s="6" t="s">
        <v>1271</v>
      </c>
      <c r="G428" s="6" t="s">
        <v>2447</v>
      </c>
      <c r="H428" s="6" t="s">
        <v>2448</v>
      </c>
      <c r="I428" s="6" t="s">
        <v>2454</v>
      </c>
      <c r="J428" s="6" t="s">
        <v>2455</v>
      </c>
      <c r="K428" s="6" t="s">
        <v>29</v>
      </c>
      <c r="L428" s="10" t="s">
        <v>30</v>
      </c>
    </row>
    <row r="429" ht="15.75" hidden="1" customHeight="1">
      <c r="A429" s="6" t="s">
        <v>2456</v>
      </c>
      <c r="B429" s="6" t="s">
        <v>2457</v>
      </c>
      <c r="C429" s="6" t="s">
        <v>137</v>
      </c>
      <c r="D429" s="6" t="s">
        <v>2458</v>
      </c>
      <c r="E429" s="6" t="s">
        <v>346</v>
      </c>
      <c r="F429" s="6" t="s">
        <v>2459</v>
      </c>
      <c r="G429" s="6" t="s">
        <v>2460</v>
      </c>
      <c r="H429" s="6" t="s">
        <v>2461</v>
      </c>
      <c r="I429" s="6" t="s">
        <v>2462</v>
      </c>
      <c r="J429" s="6" t="s">
        <v>2463</v>
      </c>
      <c r="K429" s="6" t="s">
        <v>29</v>
      </c>
      <c r="L429" s="10" t="s">
        <v>30</v>
      </c>
    </row>
    <row r="430" ht="15.75" hidden="1" customHeight="1">
      <c r="A430" s="6" t="s">
        <v>2464</v>
      </c>
      <c r="B430" s="6" t="s">
        <v>2465</v>
      </c>
      <c r="C430" s="6" t="s">
        <v>137</v>
      </c>
      <c r="D430" s="6" t="s">
        <v>2466</v>
      </c>
      <c r="E430" s="6" t="s">
        <v>346</v>
      </c>
      <c r="F430" s="6" t="s">
        <v>2459</v>
      </c>
      <c r="G430" s="6" t="s">
        <v>2460</v>
      </c>
      <c r="H430" s="6" t="s">
        <v>2461</v>
      </c>
      <c r="I430" s="6" t="s">
        <v>2467</v>
      </c>
      <c r="J430" s="6" t="s">
        <v>2468</v>
      </c>
      <c r="K430" s="6" t="s">
        <v>29</v>
      </c>
      <c r="L430" s="10" t="s">
        <v>30</v>
      </c>
    </row>
    <row r="431" ht="15.75" hidden="1" customHeight="1">
      <c r="A431" s="6" t="s">
        <v>2469</v>
      </c>
      <c r="B431" s="6" t="s">
        <v>2470</v>
      </c>
      <c r="C431" s="6" t="s">
        <v>137</v>
      </c>
      <c r="D431" s="6" t="s">
        <v>2471</v>
      </c>
      <c r="E431" s="6" t="s">
        <v>346</v>
      </c>
      <c r="F431" s="6" t="s">
        <v>2459</v>
      </c>
      <c r="G431" s="6" t="s">
        <v>2460</v>
      </c>
      <c r="H431" s="6" t="s">
        <v>2461</v>
      </c>
      <c r="I431" s="6" t="s">
        <v>2472</v>
      </c>
      <c r="J431" s="6" t="s">
        <v>2473</v>
      </c>
      <c r="K431" s="6" t="s">
        <v>29</v>
      </c>
      <c r="L431" s="10" t="s">
        <v>30</v>
      </c>
    </row>
    <row r="432" ht="15.75" hidden="1" customHeight="1">
      <c r="A432" s="6" t="s">
        <v>2474</v>
      </c>
      <c r="B432" s="6" t="s">
        <v>2475</v>
      </c>
      <c r="C432" s="6" t="s">
        <v>137</v>
      </c>
      <c r="D432" s="6" t="s">
        <v>2476</v>
      </c>
      <c r="E432" s="6" t="s">
        <v>346</v>
      </c>
      <c r="F432" s="6" t="s">
        <v>2459</v>
      </c>
      <c r="G432" s="6" t="s">
        <v>2460</v>
      </c>
      <c r="H432" s="6" t="s">
        <v>2461</v>
      </c>
      <c r="I432" s="6" t="s">
        <v>2477</v>
      </c>
      <c r="J432" s="6" t="s">
        <v>2478</v>
      </c>
      <c r="K432" s="6" t="s">
        <v>29</v>
      </c>
      <c r="L432" s="10" t="s">
        <v>30</v>
      </c>
    </row>
    <row r="433" ht="15.75" hidden="1" customHeight="1">
      <c r="A433" s="6" t="s">
        <v>2479</v>
      </c>
      <c r="B433" s="6" t="s">
        <v>2480</v>
      </c>
      <c r="C433" s="6" t="s">
        <v>156</v>
      </c>
      <c r="D433" s="6" t="s">
        <v>21</v>
      </c>
      <c r="E433" s="6" t="s">
        <v>22</v>
      </c>
      <c r="F433" s="6" t="s">
        <v>23</v>
      </c>
      <c r="G433" s="6" t="s">
        <v>24</v>
      </c>
      <c r="H433" s="6" t="s">
        <v>25</v>
      </c>
      <c r="I433" s="6" t="s">
        <v>2481</v>
      </c>
      <c r="J433" s="6" t="s">
        <v>2482</v>
      </c>
      <c r="K433" s="6" t="s">
        <v>29</v>
      </c>
      <c r="L433" s="10" t="s">
        <v>30</v>
      </c>
    </row>
    <row r="434" ht="15.75" hidden="1" customHeight="1">
      <c r="A434" s="6" t="s">
        <v>2483</v>
      </c>
      <c r="B434" s="6" t="s">
        <v>2484</v>
      </c>
      <c r="C434" s="6" t="s">
        <v>156</v>
      </c>
      <c r="D434" s="6" t="s">
        <v>2485</v>
      </c>
      <c r="E434" s="6" t="s">
        <v>35</v>
      </c>
      <c r="F434" s="6" t="s">
        <v>787</v>
      </c>
      <c r="G434" s="6" t="s">
        <v>2486</v>
      </c>
      <c r="H434" s="6" t="s">
        <v>2487</v>
      </c>
      <c r="I434" s="6" t="s">
        <v>2488</v>
      </c>
      <c r="J434" s="6" t="s">
        <v>2489</v>
      </c>
      <c r="K434" s="6" t="s">
        <v>497</v>
      </c>
      <c r="L434" s="10" t="s">
        <v>609</v>
      </c>
    </row>
    <row r="435" ht="15.75" hidden="1" customHeight="1">
      <c r="A435" s="6" t="s">
        <v>2490</v>
      </c>
      <c r="B435" s="6" t="s">
        <v>2491</v>
      </c>
      <c r="C435" s="6" t="s">
        <v>156</v>
      </c>
      <c r="D435" s="6" t="s">
        <v>2492</v>
      </c>
      <c r="E435" s="6" t="s">
        <v>35</v>
      </c>
      <c r="F435" s="6" t="s">
        <v>787</v>
      </c>
      <c r="G435" s="6" t="s">
        <v>2486</v>
      </c>
      <c r="H435" s="6" t="s">
        <v>2487</v>
      </c>
      <c r="I435" s="6" t="s">
        <v>2493</v>
      </c>
      <c r="J435" s="6" t="s">
        <v>2494</v>
      </c>
      <c r="K435" s="6" t="s">
        <v>497</v>
      </c>
      <c r="L435" s="10" t="s">
        <v>609</v>
      </c>
    </row>
    <row r="436" ht="15.75" hidden="1" customHeight="1">
      <c r="A436" s="6" t="s">
        <v>2495</v>
      </c>
      <c r="B436" s="6" t="s">
        <v>2496</v>
      </c>
      <c r="C436" s="6" t="s">
        <v>156</v>
      </c>
      <c r="D436" s="6" t="s">
        <v>2497</v>
      </c>
      <c r="E436" s="6" t="s">
        <v>35</v>
      </c>
      <c r="F436" s="6" t="s">
        <v>787</v>
      </c>
      <c r="G436" s="6" t="s">
        <v>2486</v>
      </c>
      <c r="H436" s="6" t="s">
        <v>2487</v>
      </c>
      <c r="I436" s="6" t="s">
        <v>2498</v>
      </c>
      <c r="J436" s="6" t="s">
        <v>2499</v>
      </c>
      <c r="K436" s="6" t="s">
        <v>497</v>
      </c>
      <c r="L436" s="10" t="s">
        <v>609</v>
      </c>
    </row>
    <row r="437" ht="15.75" hidden="1" customHeight="1">
      <c r="A437" s="6" t="s">
        <v>2500</v>
      </c>
      <c r="B437" s="6" t="s">
        <v>2501</v>
      </c>
      <c r="C437" s="6" t="s">
        <v>156</v>
      </c>
      <c r="D437" s="6" t="s">
        <v>2502</v>
      </c>
      <c r="E437" s="6" t="s">
        <v>35</v>
      </c>
      <c r="F437" s="6" t="s">
        <v>787</v>
      </c>
      <c r="G437" s="6" t="s">
        <v>2486</v>
      </c>
      <c r="H437" s="6" t="s">
        <v>2487</v>
      </c>
      <c r="I437" s="6" t="s">
        <v>2503</v>
      </c>
      <c r="J437" s="6" t="s">
        <v>2504</v>
      </c>
      <c r="K437" s="6" t="s">
        <v>497</v>
      </c>
      <c r="L437" s="10" t="s">
        <v>609</v>
      </c>
    </row>
    <row r="438" ht="15.75" hidden="1" customHeight="1">
      <c r="A438" s="6" t="s">
        <v>2505</v>
      </c>
      <c r="B438" s="6" t="s">
        <v>2506</v>
      </c>
      <c r="C438" s="6" t="s">
        <v>156</v>
      </c>
      <c r="D438" s="6" t="s">
        <v>2507</v>
      </c>
      <c r="E438" s="6" t="s">
        <v>35</v>
      </c>
      <c r="F438" s="6" t="s">
        <v>787</v>
      </c>
      <c r="G438" s="6" t="s">
        <v>2486</v>
      </c>
      <c r="H438" s="6" t="s">
        <v>2487</v>
      </c>
      <c r="I438" s="6" t="s">
        <v>2508</v>
      </c>
      <c r="J438" s="6" t="s">
        <v>2509</v>
      </c>
      <c r="K438" s="6" t="s">
        <v>497</v>
      </c>
      <c r="L438" s="10" t="s">
        <v>609</v>
      </c>
    </row>
    <row r="439" ht="15.75" hidden="1" customHeight="1">
      <c r="A439" s="6" t="s">
        <v>2510</v>
      </c>
      <c r="B439" s="6" t="s">
        <v>2511</v>
      </c>
      <c r="C439" s="6" t="s">
        <v>156</v>
      </c>
      <c r="D439" s="6" t="s">
        <v>2512</v>
      </c>
      <c r="E439" s="6" t="s">
        <v>35</v>
      </c>
      <c r="F439" s="6" t="s">
        <v>787</v>
      </c>
      <c r="G439" s="6" t="s">
        <v>2486</v>
      </c>
      <c r="H439" s="6" t="s">
        <v>2487</v>
      </c>
      <c r="I439" s="6" t="s">
        <v>2513</v>
      </c>
      <c r="J439" s="6" t="s">
        <v>2514</v>
      </c>
      <c r="K439" s="6" t="s">
        <v>497</v>
      </c>
      <c r="L439" s="10" t="s">
        <v>609</v>
      </c>
    </row>
    <row r="440" ht="15.75" hidden="1" customHeight="1">
      <c r="A440" s="6" t="s">
        <v>2515</v>
      </c>
      <c r="B440" s="6" t="s">
        <v>2516</v>
      </c>
      <c r="C440" s="6" t="s">
        <v>156</v>
      </c>
      <c r="D440" s="6" t="s">
        <v>2517</v>
      </c>
      <c r="E440" s="6" t="s">
        <v>35</v>
      </c>
      <c r="F440" s="6" t="s">
        <v>787</v>
      </c>
      <c r="G440" s="6" t="s">
        <v>2486</v>
      </c>
      <c r="H440" s="6" t="s">
        <v>2487</v>
      </c>
      <c r="I440" s="6" t="s">
        <v>2518</v>
      </c>
      <c r="J440" s="6" t="s">
        <v>2519</v>
      </c>
      <c r="K440" s="6" t="s">
        <v>497</v>
      </c>
      <c r="L440" s="10" t="s">
        <v>609</v>
      </c>
    </row>
    <row r="441" ht="15.75" hidden="1" customHeight="1">
      <c r="A441" s="6" t="s">
        <v>2520</v>
      </c>
      <c r="B441" s="6" t="s">
        <v>2521</v>
      </c>
      <c r="C441" s="6" t="s">
        <v>156</v>
      </c>
      <c r="D441" s="6" t="s">
        <v>2522</v>
      </c>
      <c r="E441" s="6" t="s">
        <v>35</v>
      </c>
      <c r="F441" s="6" t="s">
        <v>787</v>
      </c>
      <c r="G441" s="6" t="s">
        <v>2486</v>
      </c>
      <c r="H441" s="6" t="s">
        <v>2487</v>
      </c>
      <c r="I441" s="6" t="s">
        <v>2523</v>
      </c>
      <c r="J441" s="6" t="s">
        <v>2524</v>
      </c>
      <c r="K441" s="6" t="s">
        <v>497</v>
      </c>
      <c r="L441" s="10" t="s">
        <v>609</v>
      </c>
    </row>
    <row r="442" ht="15.75" hidden="1" customHeight="1">
      <c r="A442" s="6" t="s">
        <v>2525</v>
      </c>
      <c r="B442" s="6" t="s">
        <v>2526</v>
      </c>
      <c r="C442" s="6" t="s">
        <v>156</v>
      </c>
      <c r="D442" s="6" t="s">
        <v>2527</v>
      </c>
      <c r="E442" s="6" t="s">
        <v>35</v>
      </c>
      <c r="F442" s="6" t="s">
        <v>787</v>
      </c>
      <c r="G442" s="6" t="s">
        <v>2486</v>
      </c>
      <c r="H442" s="6" t="s">
        <v>2487</v>
      </c>
      <c r="I442" s="6" t="s">
        <v>2528</v>
      </c>
      <c r="J442" s="6" t="s">
        <v>2529</v>
      </c>
      <c r="K442" s="6" t="s">
        <v>497</v>
      </c>
      <c r="L442" s="10" t="s">
        <v>609</v>
      </c>
    </row>
    <row r="443" ht="15.75" hidden="1" customHeight="1">
      <c r="A443" s="6" t="s">
        <v>2530</v>
      </c>
      <c r="B443" s="6" t="s">
        <v>2531</v>
      </c>
      <c r="C443" s="6" t="s">
        <v>156</v>
      </c>
      <c r="D443" s="6" t="s">
        <v>2532</v>
      </c>
      <c r="E443" s="6" t="s">
        <v>35</v>
      </c>
      <c r="F443" s="6" t="s">
        <v>36</v>
      </c>
      <c r="G443" s="6" t="s">
        <v>165</v>
      </c>
      <c r="H443" s="6" t="s">
        <v>166</v>
      </c>
      <c r="I443" s="6" t="s">
        <v>2533</v>
      </c>
      <c r="J443" s="6" t="s">
        <v>2534</v>
      </c>
      <c r="K443" s="6" t="s">
        <v>1100</v>
      </c>
      <c r="L443" s="12" t="s">
        <v>43</v>
      </c>
    </row>
    <row r="444" ht="15.75" hidden="1" customHeight="1">
      <c r="A444" s="6" t="s">
        <v>2535</v>
      </c>
      <c r="B444" s="6" t="s">
        <v>2536</v>
      </c>
      <c r="C444" s="6" t="s">
        <v>156</v>
      </c>
      <c r="D444" s="6" t="s">
        <v>2537</v>
      </c>
      <c r="E444" s="6" t="s">
        <v>35</v>
      </c>
      <c r="F444" s="6" t="s">
        <v>36</v>
      </c>
      <c r="G444" s="6" t="s">
        <v>165</v>
      </c>
      <c r="H444" s="6" t="s">
        <v>166</v>
      </c>
      <c r="I444" s="6" t="s">
        <v>2538</v>
      </c>
      <c r="J444" s="6" t="s">
        <v>2539</v>
      </c>
      <c r="K444" s="6" t="s">
        <v>1100</v>
      </c>
      <c r="L444" s="12" t="s">
        <v>43</v>
      </c>
    </row>
    <row r="445" ht="15.75" hidden="1" customHeight="1">
      <c r="A445" s="6" t="s">
        <v>2540</v>
      </c>
      <c r="B445" s="6" t="s">
        <v>2541</v>
      </c>
      <c r="C445" s="6" t="s">
        <v>156</v>
      </c>
      <c r="D445" s="6" t="s">
        <v>2542</v>
      </c>
      <c r="E445" s="6" t="s">
        <v>35</v>
      </c>
      <c r="F445" s="6" t="s">
        <v>36</v>
      </c>
      <c r="G445" s="6" t="s">
        <v>165</v>
      </c>
      <c r="H445" s="6" t="s">
        <v>166</v>
      </c>
      <c r="I445" s="6" t="s">
        <v>2543</v>
      </c>
      <c r="J445" s="6" t="s">
        <v>2544</v>
      </c>
      <c r="K445" s="6" t="s">
        <v>1100</v>
      </c>
      <c r="L445" s="14" t="s">
        <v>55</v>
      </c>
    </row>
    <row r="446" ht="15.75" hidden="1" customHeight="1">
      <c r="A446" s="6" t="s">
        <v>2545</v>
      </c>
      <c r="B446" s="6" t="s">
        <v>2546</v>
      </c>
      <c r="C446" s="6" t="s">
        <v>156</v>
      </c>
      <c r="D446" s="6" t="s">
        <v>2547</v>
      </c>
      <c r="E446" s="6" t="s">
        <v>35</v>
      </c>
      <c r="F446" s="6" t="s">
        <v>36</v>
      </c>
      <c r="G446" s="6" t="s">
        <v>165</v>
      </c>
      <c r="H446" s="6" t="s">
        <v>166</v>
      </c>
      <c r="I446" s="6" t="s">
        <v>2548</v>
      </c>
      <c r="J446" s="6" t="s">
        <v>2549</v>
      </c>
      <c r="K446" s="6" t="s">
        <v>1100</v>
      </c>
      <c r="L446" s="14" t="s">
        <v>55</v>
      </c>
    </row>
    <row r="447" ht="15.75" hidden="1" customHeight="1">
      <c r="A447" s="6" t="s">
        <v>2550</v>
      </c>
      <c r="B447" s="6" t="s">
        <v>2551</v>
      </c>
      <c r="C447" s="6" t="s">
        <v>156</v>
      </c>
      <c r="D447" s="6" t="s">
        <v>2552</v>
      </c>
      <c r="E447" s="6" t="s">
        <v>35</v>
      </c>
      <c r="F447" s="6" t="s">
        <v>36</v>
      </c>
      <c r="G447" s="6" t="s">
        <v>165</v>
      </c>
      <c r="H447" s="6" t="s">
        <v>166</v>
      </c>
      <c r="I447" s="6" t="s">
        <v>2553</v>
      </c>
      <c r="J447" s="6" t="s">
        <v>2554</v>
      </c>
      <c r="K447" s="6" t="s">
        <v>1100</v>
      </c>
      <c r="L447" s="14" t="s">
        <v>55</v>
      </c>
    </row>
    <row r="448" ht="15.75" hidden="1" customHeight="1">
      <c r="A448" s="6" t="s">
        <v>2555</v>
      </c>
      <c r="B448" s="6" t="s">
        <v>2556</v>
      </c>
      <c r="C448" s="6" t="s">
        <v>156</v>
      </c>
      <c r="D448" s="6" t="s">
        <v>2557</v>
      </c>
      <c r="E448" s="6" t="s">
        <v>35</v>
      </c>
      <c r="F448" s="6" t="s">
        <v>36</v>
      </c>
      <c r="G448" s="6" t="s">
        <v>165</v>
      </c>
      <c r="H448" s="6" t="s">
        <v>166</v>
      </c>
      <c r="I448" s="6" t="s">
        <v>2558</v>
      </c>
      <c r="J448" s="6" t="s">
        <v>2559</v>
      </c>
      <c r="K448" s="6" t="s">
        <v>1100</v>
      </c>
      <c r="L448" s="12" t="s">
        <v>43</v>
      </c>
    </row>
    <row r="449" ht="15.75" hidden="1" customHeight="1">
      <c r="A449" s="6" t="s">
        <v>2560</v>
      </c>
      <c r="B449" s="6" t="s">
        <v>2561</v>
      </c>
      <c r="C449" s="6" t="s">
        <v>156</v>
      </c>
      <c r="D449" s="6" t="s">
        <v>2562</v>
      </c>
      <c r="E449" s="6" t="s">
        <v>35</v>
      </c>
      <c r="F449" s="6" t="s">
        <v>36</v>
      </c>
      <c r="G449" s="6" t="s">
        <v>165</v>
      </c>
      <c r="H449" s="6" t="s">
        <v>166</v>
      </c>
      <c r="I449" s="6" t="s">
        <v>2563</v>
      </c>
      <c r="J449" s="6" t="s">
        <v>2564</v>
      </c>
      <c r="K449" s="6" t="s">
        <v>1100</v>
      </c>
      <c r="L449" s="14" t="s">
        <v>55</v>
      </c>
    </row>
    <row r="450" ht="15.75" hidden="1" customHeight="1">
      <c r="A450" s="6" t="s">
        <v>2565</v>
      </c>
      <c r="B450" s="6" t="s">
        <v>2566</v>
      </c>
      <c r="C450" s="6" t="s">
        <v>156</v>
      </c>
      <c r="D450" s="6" t="s">
        <v>2567</v>
      </c>
      <c r="E450" s="6" t="s">
        <v>35</v>
      </c>
      <c r="F450" s="6" t="s">
        <v>36</v>
      </c>
      <c r="G450" s="6" t="s">
        <v>165</v>
      </c>
      <c r="H450" s="6" t="s">
        <v>166</v>
      </c>
      <c r="I450" s="6" t="s">
        <v>2568</v>
      </c>
      <c r="J450" s="6" t="s">
        <v>2569</v>
      </c>
      <c r="K450" s="6" t="s">
        <v>497</v>
      </c>
      <c r="L450" s="10" t="s">
        <v>30</v>
      </c>
    </row>
    <row r="451" ht="15.75" hidden="1" customHeight="1">
      <c r="A451" s="6" t="s">
        <v>2570</v>
      </c>
      <c r="B451" s="6" t="s">
        <v>2571</v>
      </c>
      <c r="C451" s="6" t="s">
        <v>156</v>
      </c>
      <c r="D451" s="6" t="s">
        <v>2572</v>
      </c>
      <c r="E451" s="6" t="s">
        <v>35</v>
      </c>
      <c r="F451" s="6" t="s">
        <v>36</v>
      </c>
      <c r="G451" s="6" t="s">
        <v>165</v>
      </c>
      <c r="H451" s="6" t="s">
        <v>166</v>
      </c>
      <c r="I451" s="6" t="s">
        <v>2573</v>
      </c>
      <c r="J451" s="6" t="s">
        <v>2574</v>
      </c>
      <c r="K451" s="6" t="s">
        <v>497</v>
      </c>
      <c r="L451" s="10" t="s">
        <v>30</v>
      </c>
    </row>
    <row r="452" ht="15.75" hidden="1" customHeight="1">
      <c r="A452" s="6" t="s">
        <v>2575</v>
      </c>
      <c r="B452" s="6" t="s">
        <v>2576</v>
      </c>
      <c r="C452" s="6" t="s">
        <v>156</v>
      </c>
      <c r="D452" s="6" t="s">
        <v>2577</v>
      </c>
      <c r="E452" s="6" t="s">
        <v>35</v>
      </c>
      <c r="F452" s="6" t="s">
        <v>36</v>
      </c>
      <c r="G452" s="6" t="s">
        <v>165</v>
      </c>
      <c r="H452" s="6" t="s">
        <v>166</v>
      </c>
      <c r="I452" s="6" t="s">
        <v>2578</v>
      </c>
      <c r="J452" s="6" t="s">
        <v>2579</v>
      </c>
      <c r="K452" s="6" t="s">
        <v>497</v>
      </c>
      <c r="L452" s="10" t="s">
        <v>30</v>
      </c>
    </row>
    <row r="453" ht="15.75" hidden="1" customHeight="1">
      <c r="A453" s="6" t="s">
        <v>2580</v>
      </c>
      <c r="B453" s="6" t="s">
        <v>2581</v>
      </c>
      <c r="C453" s="6" t="s">
        <v>156</v>
      </c>
      <c r="D453" s="6" t="s">
        <v>2582</v>
      </c>
      <c r="E453" s="6" t="s">
        <v>35</v>
      </c>
      <c r="F453" s="6" t="s">
        <v>36</v>
      </c>
      <c r="G453" s="6" t="s">
        <v>165</v>
      </c>
      <c r="H453" s="6" t="s">
        <v>166</v>
      </c>
      <c r="I453" s="6" t="s">
        <v>2583</v>
      </c>
      <c r="J453" s="6" t="s">
        <v>2584</v>
      </c>
      <c r="K453" s="6" t="s">
        <v>497</v>
      </c>
      <c r="L453" s="10" t="s">
        <v>30</v>
      </c>
    </row>
    <row r="454" ht="15.75" hidden="1" customHeight="1">
      <c r="A454" s="6" t="s">
        <v>2585</v>
      </c>
      <c r="B454" s="6" t="s">
        <v>2586</v>
      </c>
      <c r="C454" s="6" t="s">
        <v>156</v>
      </c>
      <c r="D454" s="6" t="s">
        <v>2587</v>
      </c>
      <c r="E454" s="6" t="s">
        <v>35</v>
      </c>
      <c r="F454" s="6" t="s">
        <v>36</v>
      </c>
      <c r="G454" s="6" t="s">
        <v>165</v>
      </c>
      <c r="H454" s="6" t="s">
        <v>166</v>
      </c>
      <c r="I454" s="6" t="s">
        <v>2588</v>
      </c>
      <c r="J454" s="6" t="s">
        <v>2589</v>
      </c>
      <c r="K454" s="6" t="s">
        <v>497</v>
      </c>
      <c r="L454" s="10" t="s">
        <v>30</v>
      </c>
    </row>
    <row r="455" ht="15.75" hidden="1" customHeight="1">
      <c r="A455" s="6" t="s">
        <v>2590</v>
      </c>
      <c r="B455" s="6" t="s">
        <v>2591</v>
      </c>
      <c r="C455" s="6" t="s">
        <v>156</v>
      </c>
      <c r="D455" s="6" t="s">
        <v>2592</v>
      </c>
      <c r="E455" s="6" t="s">
        <v>35</v>
      </c>
      <c r="F455" s="6" t="s">
        <v>36</v>
      </c>
      <c r="G455" s="6" t="s">
        <v>165</v>
      </c>
      <c r="H455" s="6" t="s">
        <v>166</v>
      </c>
      <c r="I455" s="6" t="s">
        <v>2593</v>
      </c>
      <c r="J455" s="6" t="s">
        <v>2594</v>
      </c>
      <c r="K455" s="6" t="s">
        <v>497</v>
      </c>
      <c r="L455" s="10" t="s">
        <v>30</v>
      </c>
    </row>
    <row r="456" ht="15.75" hidden="1" customHeight="1">
      <c r="A456" s="6" t="s">
        <v>2595</v>
      </c>
      <c r="B456" s="6" t="s">
        <v>2596</v>
      </c>
      <c r="C456" s="6" t="s">
        <v>156</v>
      </c>
      <c r="D456" s="6" t="s">
        <v>2597</v>
      </c>
      <c r="E456" s="6" t="s">
        <v>35</v>
      </c>
      <c r="F456" s="6" t="s">
        <v>787</v>
      </c>
      <c r="G456" s="6" t="s">
        <v>2486</v>
      </c>
      <c r="H456" s="6" t="s">
        <v>2487</v>
      </c>
      <c r="I456" s="6" t="s">
        <v>2598</v>
      </c>
      <c r="J456" s="6" t="s">
        <v>2599</v>
      </c>
      <c r="K456" s="6" t="s">
        <v>497</v>
      </c>
      <c r="L456" s="10" t="s">
        <v>609</v>
      </c>
    </row>
    <row r="457" ht="15.75" hidden="1" customHeight="1">
      <c r="A457" s="6" t="s">
        <v>2600</v>
      </c>
      <c r="B457" s="6" t="s">
        <v>2601</v>
      </c>
      <c r="C457" s="6" t="s">
        <v>156</v>
      </c>
      <c r="D457" s="6" t="s">
        <v>2602</v>
      </c>
      <c r="E457" s="6" t="s">
        <v>35</v>
      </c>
      <c r="F457" s="6" t="s">
        <v>787</v>
      </c>
      <c r="G457" s="6" t="s">
        <v>2486</v>
      </c>
      <c r="H457" s="6" t="s">
        <v>2487</v>
      </c>
      <c r="I457" s="6" t="s">
        <v>2603</v>
      </c>
      <c r="J457" s="6" t="s">
        <v>2604</v>
      </c>
      <c r="K457" s="6" t="s">
        <v>497</v>
      </c>
      <c r="L457" s="10" t="s">
        <v>609</v>
      </c>
    </row>
    <row r="458" ht="15.75" hidden="1" customHeight="1">
      <c r="A458" s="6" t="s">
        <v>2605</v>
      </c>
      <c r="B458" s="6" t="s">
        <v>2606</v>
      </c>
      <c r="C458" s="6" t="s">
        <v>156</v>
      </c>
      <c r="D458" s="6" t="s">
        <v>2607</v>
      </c>
      <c r="E458" s="6" t="s">
        <v>35</v>
      </c>
      <c r="F458" s="6" t="s">
        <v>787</v>
      </c>
      <c r="G458" s="6" t="s">
        <v>2486</v>
      </c>
      <c r="H458" s="6" t="s">
        <v>2487</v>
      </c>
      <c r="I458" s="6" t="s">
        <v>2608</v>
      </c>
      <c r="J458" s="6" t="s">
        <v>2609</v>
      </c>
      <c r="K458" s="6" t="s">
        <v>497</v>
      </c>
      <c r="L458" s="10" t="s">
        <v>609</v>
      </c>
    </row>
    <row r="459" ht="15.75" hidden="1" customHeight="1">
      <c r="A459" s="6" t="s">
        <v>2610</v>
      </c>
      <c r="B459" s="6" t="s">
        <v>2611</v>
      </c>
      <c r="C459" s="6" t="s">
        <v>156</v>
      </c>
      <c r="D459" s="6" t="s">
        <v>2612</v>
      </c>
      <c r="E459" s="6" t="s">
        <v>35</v>
      </c>
      <c r="F459" s="6" t="s">
        <v>787</v>
      </c>
      <c r="G459" s="6" t="s">
        <v>2486</v>
      </c>
      <c r="H459" s="6" t="s">
        <v>2487</v>
      </c>
      <c r="I459" s="6" t="s">
        <v>2613</v>
      </c>
      <c r="J459" s="6" t="s">
        <v>2614</v>
      </c>
      <c r="K459" s="6" t="s">
        <v>497</v>
      </c>
      <c r="L459" s="10" t="s">
        <v>609</v>
      </c>
    </row>
    <row r="460" ht="15.75" hidden="1" customHeight="1">
      <c r="A460" s="6" t="s">
        <v>2615</v>
      </c>
      <c r="B460" s="6" t="s">
        <v>2616</v>
      </c>
      <c r="C460" s="6" t="s">
        <v>156</v>
      </c>
      <c r="D460" s="6" t="s">
        <v>2617</v>
      </c>
      <c r="E460" s="6" t="s">
        <v>35</v>
      </c>
      <c r="F460" s="6" t="s">
        <v>787</v>
      </c>
      <c r="G460" s="6" t="s">
        <v>2486</v>
      </c>
      <c r="H460" s="6" t="s">
        <v>2487</v>
      </c>
      <c r="I460" s="6" t="s">
        <v>2618</v>
      </c>
      <c r="J460" s="6" t="s">
        <v>2619</v>
      </c>
      <c r="K460" s="6" t="s">
        <v>497</v>
      </c>
      <c r="L460" s="10" t="s">
        <v>609</v>
      </c>
    </row>
    <row r="461" ht="15.75" hidden="1" customHeight="1">
      <c r="A461" s="6" t="s">
        <v>2620</v>
      </c>
      <c r="B461" s="6" t="s">
        <v>2621</v>
      </c>
      <c r="C461" s="6" t="s">
        <v>183</v>
      </c>
      <c r="D461" s="6" t="s">
        <v>21</v>
      </c>
      <c r="E461" s="6" t="s">
        <v>22</v>
      </c>
      <c r="F461" s="6" t="s">
        <v>23</v>
      </c>
      <c r="G461" s="6" t="s">
        <v>24</v>
      </c>
      <c r="H461" s="6" t="s">
        <v>25</v>
      </c>
      <c r="I461" s="6" t="s">
        <v>2622</v>
      </c>
      <c r="J461" s="6" t="s">
        <v>2623</v>
      </c>
      <c r="K461" s="6" t="s">
        <v>29</v>
      </c>
      <c r="L461" s="10" t="s">
        <v>30</v>
      </c>
    </row>
    <row r="462" ht="15.75" hidden="1" customHeight="1">
      <c r="A462" s="6" t="s">
        <v>2624</v>
      </c>
      <c r="B462" s="6" t="s">
        <v>2625</v>
      </c>
      <c r="C462" s="6" t="s">
        <v>183</v>
      </c>
      <c r="D462" s="6" t="s">
        <v>2626</v>
      </c>
      <c r="E462" s="6" t="s">
        <v>35</v>
      </c>
      <c r="F462" s="6" t="s">
        <v>667</v>
      </c>
      <c r="G462" s="6" t="s">
        <v>668</v>
      </c>
      <c r="H462" s="6" t="s">
        <v>669</v>
      </c>
      <c r="I462" s="6" t="s">
        <v>2627</v>
      </c>
      <c r="J462" s="6" t="s">
        <v>2628</v>
      </c>
      <c r="K462" s="6" t="s">
        <v>2629</v>
      </c>
      <c r="L462" s="14" t="s">
        <v>55</v>
      </c>
    </row>
    <row r="463" ht="15.75" hidden="1" customHeight="1">
      <c r="A463" s="6" t="s">
        <v>2630</v>
      </c>
      <c r="B463" s="6" t="s">
        <v>2631</v>
      </c>
      <c r="C463" s="6" t="s">
        <v>183</v>
      </c>
      <c r="D463" s="6" t="s">
        <v>2632</v>
      </c>
      <c r="E463" s="6" t="s">
        <v>35</v>
      </c>
      <c r="F463" s="6" t="s">
        <v>667</v>
      </c>
      <c r="G463" s="6" t="s">
        <v>668</v>
      </c>
      <c r="H463" s="6" t="s">
        <v>669</v>
      </c>
      <c r="I463" s="6" t="s">
        <v>2633</v>
      </c>
      <c r="J463" s="6" t="s">
        <v>2634</v>
      </c>
      <c r="K463" s="6" t="s">
        <v>551</v>
      </c>
      <c r="L463" s="10" t="s">
        <v>609</v>
      </c>
    </row>
    <row r="464" ht="15.75" hidden="1" customHeight="1">
      <c r="A464" s="6" t="s">
        <v>2635</v>
      </c>
      <c r="B464" s="6" t="s">
        <v>2636</v>
      </c>
      <c r="C464" s="6" t="s">
        <v>183</v>
      </c>
      <c r="D464" s="6" t="s">
        <v>2637</v>
      </c>
      <c r="E464" s="6" t="s">
        <v>35</v>
      </c>
      <c r="F464" s="6" t="s">
        <v>667</v>
      </c>
      <c r="G464" s="6" t="s">
        <v>668</v>
      </c>
      <c r="H464" s="6" t="s">
        <v>669</v>
      </c>
      <c r="I464" s="6" t="s">
        <v>2638</v>
      </c>
      <c r="J464" s="6" t="s">
        <v>2639</v>
      </c>
      <c r="K464" s="6" t="s">
        <v>2640</v>
      </c>
      <c r="L464" s="14" t="s">
        <v>55</v>
      </c>
    </row>
    <row r="465" ht="15.75" hidden="1" customHeight="1">
      <c r="A465" s="6" t="s">
        <v>2641</v>
      </c>
      <c r="B465" s="6" t="s">
        <v>2642</v>
      </c>
      <c r="C465" s="6" t="s">
        <v>183</v>
      </c>
      <c r="D465" s="6" t="s">
        <v>2643</v>
      </c>
      <c r="E465" s="6" t="s">
        <v>35</v>
      </c>
      <c r="F465" s="6" t="s">
        <v>667</v>
      </c>
      <c r="G465" s="6" t="s">
        <v>668</v>
      </c>
      <c r="H465" s="6" t="s">
        <v>669</v>
      </c>
      <c r="I465" s="6" t="s">
        <v>2644</v>
      </c>
      <c r="J465" s="6" t="s">
        <v>2645</v>
      </c>
      <c r="K465" s="6" t="s">
        <v>2640</v>
      </c>
      <c r="L465" s="10" t="s">
        <v>609</v>
      </c>
    </row>
    <row r="466" ht="15.75" hidden="1" customHeight="1">
      <c r="A466" s="6" t="s">
        <v>2646</v>
      </c>
      <c r="B466" s="6" t="s">
        <v>2647</v>
      </c>
      <c r="C466" s="6" t="s">
        <v>183</v>
      </c>
      <c r="D466" s="6" t="s">
        <v>2648</v>
      </c>
      <c r="E466" s="6" t="s">
        <v>35</v>
      </c>
      <c r="F466" s="6" t="s">
        <v>667</v>
      </c>
      <c r="G466" s="6" t="s">
        <v>2649</v>
      </c>
      <c r="H466" s="6" t="s">
        <v>2650</v>
      </c>
      <c r="I466" s="6" t="s">
        <v>2651</v>
      </c>
      <c r="J466" s="6" t="s">
        <v>2652</v>
      </c>
      <c r="K466" s="6" t="s">
        <v>2653</v>
      </c>
      <c r="L466" s="14" t="s">
        <v>55</v>
      </c>
    </row>
    <row r="467" ht="15.75" hidden="1" customHeight="1">
      <c r="A467" s="6" t="s">
        <v>2654</v>
      </c>
      <c r="B467" s="6" t="s">
        <v>2655</v>
      </c>
      <c r="C467" s="6" t="s">
        <v>183</v>
      </c>
      <c r="D467" s="6" t="s">
        <v>2656</v>
      </c>
      <c r="E467" s="6" t="s">
        <v>35</v>
      </c>
      <c r="F467" s="6" t="s">
        <v>667</v>
      </c>
      <c r="G467" s="6" t="s">
        <v>2649</v>
      </c>
      <c r="H467" s="6" t="s">
        <v>2650</v>
      </c>
      <c r="I467" s="6" t="s">
        <v>2657</v>
      </c>
      <c r="J467" s="6" t="s">
        <v>2658</v>
      </c>
      <c r="K467" s="6" t="s">
        <v>2653</v>
      </c>
      <c r="L467" s="10" t="s">
        <v>609</v>
      </c>
    </row>
    <row r="468" ht="15.75" hidden="1" customHeight="1">
      <c r="A468" s="6" t="s">
        <v>2659</v>
      </c>
      <c r="B468" s="6" t="s">
        <v>2660</v>
      </c>
      <c r="C468" s="6" t="s">
        <v>183</v>
      </c>
      <c r="D468" s="6" t="s">
        <v>2661</v>
      </c>
      <c r="E468" s="6" t="s">
        <v>35</v>
      </c>
      <c r="F468" s="6" t="s">
        <v>667</v>
      </c>
      <c r="G468" s="6" t="s">
        <v>2649</v>
      </c>
      <c r="H468" s="6" t="s">
        <v>2650</v>
      </c>
      <c r="I468" s="6" t="s">
        <v>2662</v>
      </c>
      <c r="J468" s="6" t="s">
        <v>2663</v>
      </c>
      <c r="K468" s="6" t="s">
        <v>2653</v>
      </c>
      <c r="L468" s="14" t="s">
        <v>55</v>
      </c>
    </row>
    <row r="469" ht="15.75" hidden="1" customHeight="1">
      <c r="A469" s="6" t="s">
        <v>2664</v>
      </c>
      <c r="B469" s="6" t="s">
        <v>2665</v>
      </c>
      <c r="C469" s="6" t="s">
        <v>183</v>
      </c>
      <c r="D469" s="6" t="s">
        <v>2666</v>
      </c>
      <c r="E469" s="6" t="s">
        <v>35</v>
      </c>
      <c r="F469" s="6" t="s">
        <v>787</v>
      </c>
      <c r="G469" s="6" t="s">
        <v>2486</v>
      </c>
      <c r="H469" s="6" t="s">
        <v>2487</v>
      </c>
      <c r="I469" s="6" t="s">
        <v>2667</v>
      </c>
      <c r="J469" s="6" t="s">
        <v>2668</v>
      </c>
      <c r="K469" s="6" t="s">
        <v>2669</v>
      </c>
      <c r="L469" s="14" t="s">
        <v>55</v>
      </c>
    </row>
    <row r="470" ht="15.75" hidden="1" customHeight="1">
      <c r="A470" s="6" t="s">
        <v>2670</v>
      </c>
      <c r="B470" s="6" t="s">
        <v>2671</v>
      </c>
      <c r="C470" s="6" t="s">
        <v>183</v>
      </c>
      <c r="D470" s="6" t="s">
        <v>2672</v>
      </c>
      <c r="E470" s="6" t="s">
        <v>35</v>
      </c>
      <c r="F470" s="6" t="s">
        <v>787</v>
      </c>
      <c r="G470" s="6" t="s">
        <v>2486</v>
      </c>
      <c r="H470" s="6" t="s">
        <v>2487</v>
      </c>
      <c r="I470" s="6" t="s">
        <v>2673</v>
      </c>
      <c r="J470" s="6" t="s">
        <v>2674</v>
      </c>
      <c r="K470" s="6" t="s">
        <v>2669</v>
      </c>
      <c r="L470" s="10" t="s">
        <v>609</v>
      </c>
    </row>
    <row r="471" ht="15.75" hidden="1" customHeight="1">
      <c r="A471" s="6" t="s">
        <v>2675</v>
      </c>
      <c r="B471" s="6" t="s">
        <v>2676</v>
      </c>
      <c r="C471" s="6" t="s">
        <v>183</v>
      </c>
      <c r="D471" s="6" t="s">
        <v>2677</v>
      </c>
      <c r="E471" s="6" t="s">
        <v>35</v>
      </c>
      <c r="F471" s="6" t="s">
        <v>787</v>
      </c>
      <c r="G471" s="6" t="s">
        <v>2486</v>
      </c>
      <c r="H471" s="6" t="s">
        <v>2487</v>
      </c>
      <c r="I471" s="6" t="s">
        <v>2678</v>
      </c>
      <c r="J471" s="6" t="s">
        <v>2679</v>
      </c>
      <c r="K471" s="6" t="s">
        <v>2669</v>
      </c>
      <c r="L471" s="10" t="s">
        <v>609</v>
      </c>
    </row>
    <row r="472" ht="15.75" hidden="1" customHeight="1">
      <c r="A472" s="6" t="s">
        <v>2680</v>
      </c>
      <c r="B472" s="6" t="s">
        <v>2681</v>
      </c>
      <c r="C472" s="6" t="s">
        <v>183</v>
      </c>
      <c r="D472" s="6" t="s">
        <v>2682</v>
      </c>
      <c r="E472" s="6" t="s">
        <v>35</v>
      </c>
      <c r="F472" s="6" t="s">
        <v>787</v>
      </c>
      <c r="G472" s="6" t="s">
        <v>2486</v>
      </c>
      <c r="H472" s="6" t="s">
        <v>2487</v>
      </c>
      <c r="I472" s="6" t="s">
        <v>2683</v>
      </c>
      <c r="J472" s="6" t="s">
        <v>2684</v>
      </c>
      <c r="K472" s="6" t="s">
        <v>2669</v>
      </c>
      <c r="L472" s="10" t="s">
        <v>609</v>
      </c>
    </row>
    <row r="473" ht="15.75" hidden="1" customHeight="1">
      <c r="A473" s="6" t="s">
        <v>2685</v>
      </c>
      <c r="B473" s="6" t="s">
        <v>2686</v>
      </c>
      <c r="C473" s="6" t="s">
        <v>183</v>
      </c>
      <c r="D473" s="6" t="s">
        <v>2687</v>
      </c>
      <c r="E473" s="6" t="s">
        <v>35</v>
      </c>
      <c r="F473" s="6" t="s">
        <v>787</v>
      </c>
      <c r="G473" s="6" t="s">
        <v>2486</v>
      </c>
      <c r="H473" s="6" t="s">
        <v>2487</v>
      </c>
      <c r="I473" s="6" t="s">
        <v>2688</v>
      </c>
      <c r="J473" s="6" t="s">
        <v>2689</v>
      </c>
      <c r="K473" s="6" t="s">
        <v>2669</v>
      </c>
      <c r="L473" s="10" t="s">
        <v>609</v>
      </c>
    </row>
    <row r="474" ht="15.75" hidden="1" customHeight="1">
      <c r="A474" s="6" t="s">
        <v>2690</v>
      </c>
      <c r="B474" s="6" t="s">
        <v>2691</v>
      </c>
      <c r="C474" s="6" t="s">
        <v>183</v>
      </c>
      <c r="D474" s="6" t="s">
        <v>2692</v>
      </c>
      <c r="E474" s="6" t="s">
        <v>35</v>
      </c>
      <c r="F474" s="6" t="s">
        <v>787</v>
      </c>
      <c r="G474" s="6" t="s">
        <v>2486</v>
      </c>
      <c r="H474" s="6" t="s">
        <v>2487</v>
      </c>
      <c r="I474" s="6" t="s">
        <v>2693</v>
      </c>
      <c r="J474" s="6" t="s">
        <v>2694</v>
      </c>
      <c r="K474" s="6" t="s">
        <v>2669</v>
      </c>
      <c r="L474" s="10" t="s">
        <v>609</v>
      </c>
    </row>
    <row r="475" ht="15.75" hidden="1" customHeight="1">
      <c r="A475" s="6" t="s">
        <v>2695</v>
      </c>
      <c r="B475" s="6" t="s">
        <v>2696</v>
      </c>
      <c r="C475" s="6" t="s">
        <v>183</v>
      </c>
      <c r="D475" s="6" t="s">
        <v>2697</v>
      </c>
      <c r="E475" s="6" t="s">
        <v>35</v>
      </c>
      <c r="F475" s="6" t="s">
        <v>787</v>
      </c>
      <c r="G475" s="6" t="s">
        <v>1657</v>
      </c>
      <c r="H475" s="6" t="s">
        <v>1658</v>
      </c>
      <c r="I475" s="6" t="s">
        <v>2698</v>
      </c>
      <c r="J475" s="6" t="s">
        <v>2699</v>
      </c>
      <c r="K475" s="6" t="s">
        <v>2700</v>
      </c>
      <c r="L475" s="14" t="s">
        <v>55</v>
      </c>
    </row>
    <row r="476" ht="15.75" hidden="1" customHeight="1">
      <c r="A476" s="6" t="s">
        <v>2701</v>
      </c>
      <c r="B476" s="6" t="s">
        <v>2702</v>
      </c>
      <c r="C476" s="6" t="s">
        <v>183</v>
      </c>
      <c r="D476" s="6" t="s">
        <v>2703</v>
      </c>
      <c r="E476" s="6" t="s">
        <v>35</v>
      </c>
      <c r="F476" s="6" t="s">
        <v>667</v>
      </c>
      <c r="G476" s="6" t="s">
        <v>668</v>
      </c>
      <c r="H476" s="6" t="s">
        <v>669</v>
      </c>
      <c r="I476" s="6" t="s">
        <v>2704</v>
      </c>
      <c r="J476" s="6" t="s">
        <v>2705</v>
      </c>
      <c r="K476" s="6" t="s">
        <v>551</v>
      </c>
      <c r="L476" s="10" t="s">
        <v>609</v>
      </c>
    </row>
    <row r="477" ht="15.75" hidden="1" customHeight="1">
      <c r="A477" s="6" t="s">
        <v>2706</v>
      </c>
      <c r="B477" s="6" t="s">
        <v>2707</v>
      </c>
      <c r="C477" s="6" t="s">
        <v>183</v>
      </c>
      <c r="D477" s="6" t="s">
        <v>2708</v>
      </c>
      <c r="E477" s="6" t="s">
        <v>35</v>
      </c>
      <c r="F477" s="6" t="s">
        <v>667</v>
      </c>
      <c r="G477" s="6" t="s">
        <v>668</v>
      </c>
      <c r="H477" s="6" t="s">
        <v>669</v>
      </c>
      <c r="I477" s="6" t="s">
        <v>2709</v>
      </c>
      <c r="J477" s="6" t="s">
        <v>2710</v>
      </c>
      <c r="K477" s="6" t="s">
        <v>551</v>
      </c>
      <c r="L477" s="10" t="s">
        <v>609</v>
      </c>
    </row>
    <row r="478" ht="15.75" hidden="1" customHeight="1">
      <c r="A478" s="6" t="s">
        <v>2711</v>
      </c>
      <c r="B478" s="6" t="s">
        <v>2712</v>
      </c>
      <c r="C478" s="6" t="s">
        <v>183</v>
      </c>
      <c r="D478" s="6" t="s">
        <v>2713</v>
      </c>
      <c r="E478" s="6" t="s">
        <v>35</v>
      </c>
      <c r="F478" s="6" t="s">
        <v>667</v>
      </c>
      <c r="G478" s="6" t="s">
        <v>668</v>
      </c>
      <c r="H478" s="6" t="s">
        <v>669</v>
      </c>
      <c r="I478" s="6" t="s">
        <v>2714</v>
      </c>
      <c r="J478" s="6" t="s">
        <v>2715</v>
      </c>
      <c r="K478" s="6" t="s">
        <v>551</v>
      </c>
      <c r="L478" s="10" t="s">
        <v>609</v>
      </c>
    </row>
    <row r="479" ht="15.75" hidden="1" customHeight="1">
      <c r="A479" s="6" t="s">
        <v>2716</v>
      </c>
      <c r="B479" s="6" t="s">
        <v>2717</v>
      </c>
      <c r="C479" s="6" t="s">
        <v>183</v>
      </c>
      <c r="D479" s="6" t="s">
        <v>2718</v>
      </c>
      <c r="E479" s="6" t="s">
        <v>35</v>
      </c>
      <c r="F479" s="6" t="s">
        <v>667</v>
      </c>
      <c r="G479" s="6" t="s">
        <v>668</v>
      </c>
      <c r="H479" s="6" t="s">
        <v>669</v>
      </c>
      <c r="I479" s="6" t="s">
        <v>2719</v>
      </c>
      <c r="J479" s="6" t="s">
        <v>2720</v>
      </c>
      <c r="K479" s="6" t="s">
        <v>551</v>
      </c>
      <c r="L479" s="10" t="s">
        <v>609</v>
      </c>
    </row>
    <row r="480" ht="15.75" hidden="1" customHeight="1">
      <c r="A480" s="6" t="s">
        <v>2721</v>
      </c>
      <c r="B480" s="6" t="s">
        <v>2722</v>
      </c>
      <c r="C480" s="6" t="s">
        <v>183</v>
      </c>
      <c r="D480" s="6" t="s">
        <v>2723</v>
      </c>
      <c r="E480" s="6" t="s">
        <v>35</v>
      </c>
      <c r="F480" s="6" t="s">
        <v>667</v>
      </c>
      <c r="G480" s="6" t="s">
        <v>668</v>
      </c>
      <c r="H480" s="6" t="s">
        <v>669</v>
      </c>
      <c r="I480" s="6" t="s">
        <v>2724</v>
      </c>
      <c r="J480" s="6" t="s">
        <v>2725</v>
      </c>
      <c r="K480" s="6" t="s">
        <v>551</v>
      </c>
      <c r="L480" s="10" t="s">
        <v>609</v>
      </c>
    </row>
    <row r="481" ht="15.75" hidden="1" customHeight="1">
      <c r="A481" s="6" t="s">
        <v>2726</v>
      </c>
      <c r="B481" s="6" t="s">
        <v>2727</v>
      </c>
      <c r="C481" s="6" t="s">
        <v>203</v>
      </c>
      <c r="D481" s="6" t="s">
        <v>21</v>
      </c>
      <c r="E481" s="6" t="s">
        <v>22</v>
      </c>
      <c r="F481" s="6" t="s">
        <v>23</v>
      </c>
      <c r="G481" s="6" t="s">
        <v>24</v>
      </c>
      <c r="H481" s="6" t="s">
        <v>25</v>
      </c>
      <c r="I481" s="6" t="s">
        <v>2728</v>
      </c>
      <c r="J481" s="6" t="s">
        <v>2729</v>
      </c>
      <c r="K481" s="6" t="s">
        <v>29</v>
      </c>
      <c r="L481" s="10" t="s">
        <v>30</v>
      </c>
    </row>
    <row r="482" ht="15.75" hidden="1" customHeight="1">
      <c r="A482" s="6" t="s">
        <v>2730</v>
      </c>
      <c r="B482" s="6" t="s">
        <v>2731</v>
      </c>
      <c r="C482" s="6" t="s">
        <v>203</v>
      </c>
      <c r="D482" s="6" t="s">
        <v>2732</v>
      </c>
      <c r="E482" s="6" t="s">
        <v>35</v>
      </c>
      <c r="F482" s="6" t="s">
        <v>36</v>
      </c>
      <c r="G482" s="6" t="s">
        <v>2733</v>
      </c>
      <c r="H482" s="6" t="s">
        <v>2734</v>
      </c>
      <c r="I482" s="6" t="s">
        <v>2735</v>
      </c>
      <c r="J482" s="6" t="s">
        <v>2736</v>
      </c>
      <c r="K482" s="6" t="s">
        <v>528</v>
      </c>
      <c r="L482" s="10" t="s">
        <v>30</v>
      </c>
    </row>
    <row r="483" ht="15.75" hidden="1" customHeight="1">
      <c r="A483" s="6" t="s">
        <v>2737</v>
      </c>
      <c r="B483" s="6" t="s">
        <v>2738</v>
      </c>
      <c r="C483" s="6" t="s">
        <v>203</v>
      </c>
      <c r="D483" s="6" t="s">
        <v>2739</v>
      </c>
      <c r="E483" s="6" t="s">
        <v>35</v>
      </c>
      <c r="F483" s="6" t="s">
        <v>36</v>
      </c>
      <c r="G483" s="6" t="s">
        <v>2733</v>
      </c>
      <c r="H483" s="6" t="s">
        <v>2734</v>
      </c>
      <c r="I483" s="6" t="s">
        <v>2740</v>
      </c>
      <c r="J483" s="6" t="s">
        <v>2741</v>
      </c>
      <c r="K483" s="6" t="s">
        <v>528</v>
      </c>
      <c r="L483" s="10" t="s">
        <v>30</v>
      </c>
    </row>
    <row r="484" ht="15.75" hidden="1" customHeight="1">
      <c r="A484" s="6" t="s">
        <v>2742</v>
      </c>
      <c r="B484" s="6" t="s">
        <v>2743</v>
      </c>
      <c r="C484" s="6" t="s">
        <v>203</v>
      </c>
      <c r="D484" s="6" t="s">
        <v>2744</v>
      </c>
      <c r="E484" s="6" t="s">
        <v>35</v>
      </c>
      <c r="F484" s="6" t="s">
        <v>36</v>
      </c>
      <c r="G484" s="6" t="s">
        <v>2733</v>
      </c>
      <c r="H484" s="6" t="s">
        <v>2734</v>
      </c>
      <c r="I484" s="6" t="s">
        <v>2745</v>
      </c>
      <c r="J484" s="6" t="s">
        <v>2746</v>
      </c>
      <c r="K484" s="6" t="s">
        <v>528</v>
      </c>
      <c r="L484" s="10" t="s">
        <v>30</v>
      </c>
    </row>
    <row r="485" ht="15.75" hidden="1" customHeight="1">
      <c r="A485" s="6" t="s">
        <v>2747</v>
      </c>
      <c r="B485" s="6" t="s">
        <v>2748</v>
      </c>
      <c r="C485" s="6" t="s">
        <v>203</v>
      </c>
      <c r="D485" s="6" t="s">
        <v>2749</v>
      </c>
      <c r="E485" s="6" t="s">
        <v>35</v>
      </c>
      <c r="F485" s="6" t="s">
        <v>36</v>
      </c>
      <c r="G485" s="6" t="s">
        <v>2733</v>
      </c>
      <c r="H485" s="6" t="s">
        <v>2734</v>
      </c>
      <c r="I485" s="6" t="s">
        <v>2750</v>
      </c>
      <c r="J485" s="6" t="s">
        <v>2751</v>
      </c>
      <c r="K485" s="6" t="s">
        <v>528</v>
      </c>
      <c r="L485" s="10" t="s">
        <v>30</v>
      </c>
    </row>
    <row r="486" ht="15.75" hidden="1" customHeight="1">
      <c r="A486" s="6" t="s">
        <v>2752</v>
      </c>
      <c r="B486" s="6" t="s">
        <v>2753</v>
      </c>
      <c r="C486" s="6" t="s">
        <v>203</v>
      </c>
      <c r="D486" s="6" t="s">
        <v>2754</v>
      </c>
      <c r="E486" s="6" t="s">
        <v>35</v>
      </c>
      <c r="F486" s="6" t="s">
        <v>36</v>
      </c>
      <c r="G486" s="6" t="s">
        <v>2733</v>
      </c>
      <c r="H486" s="6" t="s">
        <v>2734</v>
      </c>
      <c r="I486" s="6" t="s">
        <v>2755</v>
      </c>
      <c r="J486" s="6" t="s">
        <v>2756</v>
      </c>
      <c r="K486" s="6" t="s">
        <v>528</v>
      </c>
      <c r="L486" s="10" t="s">
        <v>609</v>
      </c>
    </row>
    <row r="487" ht="15.75" hidden="1" customHeight="1">
      <c r="A487" s="6" t="s">
        <v>2757</v>
      </c>
      <c r="B487" s="6" t="s">
        <v>2758</v>
      </c>
      <c r="C487" s="6" t="s">
        <v>203</v>
      </c>
      <c r="D487" s="6" t="s">
        <v>2759</v>
      </c>
      <c r="E487" s="6" t="s">
        <v>35</v>
      </c>
      <c r="F487" s="6" t="s">
        <v>36</v>
      </c>
      <c r="G487" s="6" t="s">
        <v>2733</v>
      </c>
      <c r="H487" s="6" t="s">
        <v>2734</v>
      </c>
      <c r="I487" s="6" t="s">
        <v>2760</v>
      </c>
      <c r="J487" s="6" t="s">
        <v>2761</v>
      </c>
      <c r="K487" s="6" t="s">
        <v>528</v>
      </c>
      <c r="L487" s="10" t="s">
        <v>609</v>
      </c>
    </row>
    <row r="488" ht="15.75" hidden="1" customHeight="1">
      <c r="A488" s="6" t="s">
        <v>2762</v>
      </c>
      <c r="B488" s="6" t="s">
        <v>2763</v>
      </c>
      <c r="C488" s="6" t="s">
        <v>203</v>
      </c>
      <c r="D488" s="6" t="s">
        <v>2764</v>
      </c>
      <c r="E488" s="6" t="s">
        <v>35</v>
      </c>
      <c r="F488" s="6" t="s">
        <v>36</v>
      </c>
      <c r="G488" s="6" t="s">
        <v>2733</v>
      </c>
      <c r="H488" s="6" t="s">
        <v>2734</v>
      </c>
      <c r="I488" s="6" t="s">
        <v>2765</v>
      </c>
      <c r="J488" s="6" t="s">
        <v>2766</v>
      </c>
      <c r="K488" s="6" t="s">
        <v>528</v>
      </c>
      <c r="L488" s="10" t="s">
        <v>609</v>
      </c>
    </row>
    <row r="489" ht="15.75" hidden="1" customHeight="1">
      <c r="A489" s="6" t="s">
        <v>2767</v>
      </c>
      <c r="B489" s="6" t="s">
        <v>2768</v>
      </c>
      <c r="C489" s="6" t="s">
        <v>203</v>
      </c>
      <c r="D489" s="6" t="s">
        <v>2769</v>
      </c>
      <c r="E489" s="6" t="s">
        <v>35</v>
      </c>
      <c r="F489" s="6" t="s">
        <v>36</v>
      </c>
      <c r="G489" s="6" t="s">
        <v>2733</v>
      </c>
      <c r="H489" s="6" t="s">
        <v>2734</v>
      </c>
      <c r="I489" s="6" t="s">
        <v>2770</v>
      </c>
      <c r="J489" s="6" t="s">
        <v>2771</v>
      </c>
      <c r="K489" s="6" t="s">
        <v>528</v>
      </c>
      <c r="L489" s="10" t="s">
        <v>609</v>
      </c>
    </row>
    <row r="490" ht="15.75" hidden="1" customHeight="1">
      <c r="A490" s="6" t="s">
        <v>2772</v>
      </c>
      <c r="B490" s="6" t="s">
        <v>2773</v>
      </c>
      <c r="C490" s="6" t="s">
        <v>203</v>
      </c>
      <c r="D490" s="6" t="s">
        <v>2774</v>
      </c>
      <c r="E490" s="6" t="s">
        <v>35</v>
      </c>
      <c r="F490" s="6" t="s">
        <v>36</v>
      </c>
      <c r="G490" s="6" t="s">
        <v>2733</v>
      </c>
      <c r="H490" s="6" t="s">
        <v>2734</v>
      </c>
      <c r="I490" s="6" t="s">
        <v>2775</v>
      </c>
      <c r="J490" s="6" t="s">
        <v>2776</v>
      </c>
      <c r="K490" s="6" t="s">
        <v>528</v>
      </c>
      <c r="L490" s="10" t="s">
        <v>609</v>
      </c>
    </row>
    <row r="491" ht="15.75" hidden="1" customHeight="1">
      <c r="A491" s="6" t="s">
        <v>2777</v>
      </c>
      <c r="B491" s="6" t="s">
        <v>2778</v>
      </c>
      <c r="C491" s="6" t="s">
        <v>203</v>
      </c>
      <c r="D491" s="6" t="s">
        <v>2779</v>
      </c>
      <c r="E491" s="6" t="s">
        <v>35</v>
      </c>
      <c r="F491" s="6" t="s">
        <v>36</v>
      </c>
      <c r="G491" s="6" t="s">
        <v>2733</v>
      </c>
      <c r="H491" s="6" t="s">
        <v>2734</v>
      </c>
      <c r="I491" s="6" t="s">
        <v>2780</v>
      </c>
      <c r="J491" s="6" t="s">
        <v>2781</v>
      </c>
      <c r="K491" s="6" t="s">
        <v>528</v>
      </c>
      <c r="L491" s="10" t="s">
        <v>609</v>
      </c>
    </row>
    <row r="492" ht="15.75" hidden="1" customHeight="1">
      <c r="A492" s="6" t="s">
        <v>2782</v>
      </c>
      <c r="B492" s="6" t="s">
        <v>2783</v>
      </c>
      <c r="C492" s="6" t="s">
        <v>203</v>
      </c>
      <c r="D492" s="6" t="s">
        <v>2784</v>
      </c>
      <c r="E492" s="6" t="s">
        <v>35</v>
      </c>
      <c r="F492" s="6" t="s">
        <v>36</v>
      </c>
      <c r="G492" s="6" t="s">
        <v>2733</v>
      </c>
      <c r="H492" s="6" t="s">
        <v>2734</v>
      </c>
      <c r="I492" s="6" t="s">
        <v>2785</v>
      </c>
      <c r="J492" s="6" t="s">
        <v>2786</v>
      </c>
      <c r="K492" s="6" t="s">
        <v>528</v>
      </c>
      <c r="L492" s="10" t="s">
        <v>609</v>
      </c>
    </row>
    <row r="493" ht="15.75" hidden="1" customHeight="1">
      <c r="A493" s="6" t="s">
        <v>2787</v>
      </c>
      <c r="B493" s="6" t="s">
        <v>2788</v>
      </c>
      <c r="C493" s="6" t="s">
        <v>203</v>
      </c>
      <c r="D493" s="6" t="s">
        <v>2789</v>
      </c>
      <c r="E493" s="6" t="s">
        <v>35</v>
      </c>
      <c r="F493" s="6" t="s">
        <v>36</v>
      </c>
      <c r="G493" s="6" t="s">
        <v>2733</v>
      </c>
      <c r="H493" s="6" t="s">
        <v>2734</v>
      </c>
      <c r="I493" s="6" t="s">
        <v>2790</v>
      </c>
      <c r="J493" s="6" t="s">
        <v>2791</v>
      </c>
      <c r="K493" s="6" t="s">
        <v>2792</v>
      </c>
      <c r="L493" s="10" t="s">
        <v>609</v>
      </c>
    </row>
    <row r="494" ht="15.75" hidden="1" customHeight="1">
      <c r="A494" s="6" t="s">
        <v>2793</v>
      </c>
      <c r="B494" s="6" t="s">
        <v>2794</v>
      </c>
      <c r="C494" s="6" t="s">
        <v>203</v>
      </c>
      <c r="D494" s="6" t="s">
        <v>2795</v>
      </c>
      <c r="E494" s="6" t="s">
        <v>35</v>
      </c>
      <c r="F494" s="6" t="s">
        <v>36</v>
      </c>
      <c r="G494" s="6" t="s">
        <v>2733</v>
      </c>
      <c r="H494" s="6" t="s">
        <v>2734</v>
      </c>
      <c r="I494" s="6" t="s">
        <v>2796</v>
      </c>
      <c r="J494" s="6" t="s">
        <v>2797</v>
      </c>
      <c r="K494" s="6" t="s">
        <v>528</v>
      </c>
      <c r="L494" s="10" t="s">
        <v>609</v>
      </c>
    </row>
    <row r="495" ht="15.75" hidden="1" customHeight="1">
      <c r="A495" s="6" t="s">
        <v>2798</v>
      </c>
      <c r="B495" s="6" t="s">
        <v>2799</v>
      </c>
      <c r="C495" s="6" t="s">
        <v>203</v>
      </c>
      <c r="D495" s="6" t="s">
        <v>2800</v>
      </c>
      <c r="E495" s="6" t="s">
        <v>35</v>
      </c>
      <c r="F495" s="6" t="s">
        <v>36</v>
      </c>
      <c r="G495" s="6" t="s">
        <v>2733</v>
      </c>
      <c r="H495" s="6" t="s">
        <v>2734</v>
      </c>
      <c r="I495" s="6" t="s">
        <v>2801</v>
      </c>
      <c r="J495" s="6" t="s">
        <v>2802</v>
      </c>
      <c r="K495" s="6" t="s">
        <v>528</v>
      </c>
      <c r="L495" s="10" t="s">
        <v>609</v>
      </c>
    </row>
    <row r="496" ht="15.75" hidden="1" customHeight="1">
      <c r="A496" s="6" t="s">
        <v>2803</v>
      </c>
      <c r="B496" s="6" t="s">
        <v>2804</v>
      </c>
      <c r="C496" s="6" t="s">
        <v>203</v>
      </c>
      <c r="D496" s="6" t="s">
        <v>2805</v>
      </c>
      <c r="E496" s="6" t="s">
        <v>339</v>
      </c>
      <c r="F496" s="6" t="s">
        <v>603</v>
      </c>
      <c r="G496" s="6" t="s">
        <v>2806</v>
      </c>
      <c r="H496" s="6" t="s">
        <v>2807</v>
      </c>
      <c r="I496" s="6" t="s">
        <v>2808</v>
      </c>
      <c r="J496" s="6" t="s">
        <v>2809</v>
      </c>
      <c r="K496" s="6" t="s">
        <v>528</v>
      </c>
      <c r="L496" s="10" t="s">
        <v>609</v>
      </c>
    </row>
    <row r="497" ht="15.75" hidden="1" customHeight="1">
      <c r="A497" s="6" t="s">
        <v>2810</v>
      </c>
      <c r="B497" s="6" t="s">
        <v>2811</v>
      </c>
      <c r="C497" s="6" t="s">
        <v>203</v>
      </c>
      <c r="D497" s="6" t="s">
        <v>2812</v>
      </c>
      <c r="E497" s="6" t="s">
        <v>339</v>
      </c>
      <c r="F497" s="6" t="s">
        <v>603</v>
      </c>
      <c r="G497" s="6" t="s">
        <v>2806</v>
      </c>
      <c r="H497" s="6" t="s">
        <v>2807</v>
      </c>
      <c r="I497" s="6" t="s">
        <v>2813</v>
      </c>
      <c r="J497" s="6" t="s">
        <v>2814</v>
      </c>
      <c r="K497" s="6" t="s">
        <v>528</v>
      </c>
      <c r="L497" s="10" t="s">
        <v>609</v>
      </c>
    </row>
    <row r="498" ht="15.75" hidden="1" customHeight="1">
      <c r="A498" s="6" t="s">
        <v>2815</v>
      </c>
      <c r="B498" s="6" t="s">
        <v>2816</v>
      </c>
      <c r="C498" s="6" t="s">
        <v>203</v>
      </c>
      <c r="D498" s="6" t="s">
        <v>2817</v>
      </c>
      <c r="E498" s="6" t="s">
        <v>339</v>
      </c>
      <c r="F498" s="6" t="s">
        <v>603</v>
      </c>
      <c r="G498" s="6" t="s">
        <v>2806</v>
      </c>
      <c r="H498" s="6" t="s">
        <v>2807</v>
      </c>
      <c r="I498" s="6" t="s">
        <v>2818</v>
      </c>
      <c r="J498" s="6" t="s">
        <v>2819</v>
      </c>
      <c r="K498" s="6" t="s">
        <v>528</v>
      </c>
      <c r="L498" s="10" t="s">
        <v>609</v>
      </c>
    </row>
    <row r="499" ht="15.75" hidden="1" customHeight="1">
      <c r="A499" s="6" t="s">
        <v>2820</v>
      </c>
      <c r="B499" s="6" t="s">
        <v>2821</v>
      </c>
      <c r="C499" s="6" t="s">
        <v>203</v>
      </c>
      <c r="D499" s="6" t="s">
        <v>2822</v>
      </c>
      <c r="E499" s="6" t="s">
        <v>339</v>
      </c>
      <c r="F499" s="6" t="s">
        <v>603</v>
      </c>
      <c r="G499" s="6" t="s">
        <v>2806</v>
      </c>
      <c r="H499" s="6" t="s">
        <v>2807</v>
      </c>
      <c r="I499" s="6" t="s">
        <v>2823</v>
      </c>
      <c r="J499" s="6" t="s">
        <v>2824</v>
      </c>
      <c r="K499" s="6" t="s">
        <v>528</v>
      </c>
      <c r="L499" s="10" t="s">
        <v>609</v>
      </c>
    </row>
    <row r="500" ht="15.75" hidden="1" customHeight="1">
      <c r="A500" s="6" t="s">
        <v>2825</v>
      </c>
      <c r="B500" s="6" t="s">
        <v>2826</v>
      </c>
      <c r="C500" s="6" t="s">
        <v>203</v>
      </c>
      <c r="D500" s="6" t="s">
        <v>2827</v>
      </c>
      <c r="E500" s="6" t="s">
        <v>339</v>
      </c>
      <c r="F500" s="6" t="s">
        <v>603</v>
      </c>
      <c r="G500" s="6" t="s">
        <v>2806</v>
      </c>
      <c r="H500" s="6" t="s">
        <v>2807</v>
      </c>
      <c r="I500" s="6" t="s">
        <v>2828</v>
      </c>
      <c r="J500" s="6" t="s">
        <v>2829</v>
      </c>
      <c r="K500" s="6" t="s">
        <v>528</v>
      </c>
      <c r="L500" s="10" t="s">
        <v>609</v>
      </c>
    </row>
    <row r="501" ht="15.75" hidden="1" customHeight="1">
      <c r="A501" s="6" t="s">
        <v>2830</v>
      </c>
      <c r="B501" s="6" t="s">
        <v>2831</v>
      </c>
      <c r="C501" s="6" t="s">
        <v>203</v>
      </c>
      <c r="D501" s="6" t="s">
        <v>2832</v>
      </c>
      <c r="E501" s="6" t="s">
        <v>35</v>
      </c>
      <c r="F501" s="6" t="s">
        <v>36</v>
      </c>
      <c r="G501" s="6" t="s">
        <v>2733</v>
      </c>
      <c r="H501" s="6" t="s">
        <v>2734</v>
      </c>
      <c r="I501" s="6" t="s">
        <v>2833</v>
      </c>
      <c r="J501" s="6" t="s">
        <v>2834</v>
      </c>
      <c r="K501" s="6" t="s">
        <v>528</v>
      </c>
      <c r="L501" s="10" t="s">
        <v>30</v>
      </c>
    </row>
    <row r="502" ht="15.75" hidden="1" customHeight="1">
      <c r="A502" s="6" t="s">
        <v>2835</v>
      </c>
      <c r="B502" s="6" t="s">
        <v>2836</v>
      </c>
      <c r="C502" s="6" t="s">
        <v>203</v>
      </c>
      <c r="D502" s="6" t="s">
        <v>2837</v>
      </c>
      <c r="E502" s="6" t="s">
        <v>35</v>
      </c>
      <c r="F502" s="6" t="s">
        <v>36</v>
      </c>
      <c r="G502" s="6" t="s">
        <v>2733</v>
      </c>
      <c r="H502" s="6" t="s">
        <v>2734</v>
      </c>
      <c r="I502" s="6" t="s">
        <v>2838</v>
      </c>
      <c r="J502" s="6" t="s">
        <v>2839</v>
      </c>
      <c r="K502" s="6" t="s">
        <v>528</v>
      </c>
      <c r="L502" s="10" t="s">
        <v>30</v>
      </c>
    </row>
    <row r="503" ht="15.75" hidden="1" customHeight="1">
      <c r="A503" s="6" t="s">
        <v>2840</v>
      </c>
      <c r="B503" s="6" t="s">
        <v>2841</v>
      </c>
      <c r="C503" s="6" t="s">
        <v>203</v>
      </c>
      <c r="D503" s="6" t="s">
        <v>2842</v>
      </c>
      <c r="E503" s="6" t="s">
        <v>35</v>
      </c>
      <c r="F503" s="6" t="s">
        <v>36</v>
      </c>
      <c r="G503" s="6" t="s">
        <v>2733</v>
      </c>
      <c r="H503" s="6" t="s">
        <v>2734</v>
      </c>
      <c r="I503" s="6" t="s">
        <v>2843</v>
      </c>
      <c r="J503" s="6" t="s">
        <v>2844</v>
      </c>
      <c r="K503" s="6" t="s">
        <v>528</v>
      </c>
      <c r="L503" s="10" t="s">
        <v>30</v>
      </c>
    </row>
    <row r="504" ht="15.75" hidden="1" customHeight="1">
      <c r="A504" s="6" t="s">
        <v>2845</v>
      </c>
      <c r="B504" s="6" t="s">
        <v>2846</v>
      </c>
      <c r="C504" s="6" t="s">
        <v>203</v>
      </c>
      <c r="D504" s="6" t="s">
        <v>2847</v>
      </c>
      <c r="E504" s="6" t="s">
        <v>35</v>
      </c>
      <c r="F504" s="6" t="s">
        <v>271</v>
      </c>
      <c r="G504" s="6" t="s">
        <v>2848</v>
      </c>
      <c r="H504" s="6" t="s">
        <v>2849</v>
      </c>
      <c r="I504" s="6" t="s">
        <v>2850</v>
      </c>
      <c r="J504" s="6" t="s">
        <v>2851</v>
      </c>
      <c r="K504" s="6" t="s">
        <v>528</v>
      </c>
      <c r="L504" s="10" t="s">
        <v>609</v>
      </c>
    </row>
    <row r="505" ht="15.75" hidden="1" customHeight="1">
      <c r="A505" s="6" t="s">
        <v>2852</v>
      </c>
      <c r="B505" s="6" t="s">
        <v>2853</v>
      </c>
      <c r="C505" s="6" t="s">
        <v>203</v>
      </c>
      <c r="D505" s="6" t="s">
        <v>2854</v>
      </c>
      <c r="E505" s="6" t="s">
        <v>35</v>
      </c>
      <c r="F505" s="6" t="s">
        <v>271</v>
      </c>
      <c r="G505" s="6" t="s">
        <v>2848</v>
      </c>
      <c r="H505" s="6" t="s">
        <v>2849</v>
      </c>
      <c r="I505" s="6" t="s">
        <v>2855</v>
      </c>
      <c r="J505" s="6" t="s">
        <v>2856</v>
      </c>
      <c r="K505" s="6" t="s">
        <v>528</v>
      </c>
      <c r="L505" s="10" t="s">
        <v>609</v>
      </c>
    </row>
    <row r="506" ht="15.75" hidden="1" customHeight="1">
      <c r="A506" s="6" t="s">
        <v>2857</v>
      </c>
      <c r="B506" s="6" t="s">
        <v>2858</v>
      </c>
      <c r="C506" s="6" t="s">
        <v>203</v>
      </c>
      <c r="D506" s="6" t="s">
        <v>2859</v>
      </c>
      <c r="E506" s="6" t="s">
        <v>35</v>
      </c>
      <c r="F506" s="6" t="s">
        <v>271</v>
      </c>
      <c r="G506" s="6" t="s">
        <v>2848</v>
      </c>
      <c r="H506" s="6" t="s">
        <v>2849</v>
      </c>
      <c r="I506" s="6" t="s">
        <v>2860</v>
      </c>
      <c r="J506" s="6" t="s">
        <v>2861</v>
      </c>
      <c r="K506" s="6" t="s">
        <v>528</v>
      </c>
      <c r="L506" s="10" t="s">
        <v>609</v>
      </c>
    </row>
    <row r="507" ht="15.75" hidden="1" customHeight="1">
      <c r="A507" s="6" t="s">
        <v>2862</v>
      </c>
      <c r="B507" s="6" t="s">
        <v>2863</v>
      </c>
      <c r="C507" s="6" t="s">
        <v>203</v>
      </c>
      <c r="D507" s="6" t="s">
        <v>2864</v>
      </c>
      <c r="E507" s="6" t="s">
        <v>35</v>
      </c>
      <c r="F507" s="6" t="s">
        <v>271</v>
      </c>
      <c r="G507" s="6" t="s">
        <v>2848</v>
      </c>
      <c r="H507" s="6" t="s">
        <v>2849</v>
      </c>
      <c r="I507" s="6" t="s">
        <v>2865</v>
      </c>
      <c r="J507" s="6" t="s">
        <v>2866</v>
      </c>
      <c r="K507" s="6" t="s">
        <v>528</v>
      </c>
      <c r="L507" s="10" t="s">
        <v>609</v>
      </c>
    </row>
    <row r="508" ht="15.75" hidden="1" customHeight="1">
      <c r="A508" s="6" t="s">
        <v>2867</v>
      </c>
      <c r="B508" s="6" t="s">
        <v>2868</v>
      </c>
      <c r="C508" s="6" t="s">
        <v>203</v>
      </c>
      <c r="D508" s="6" t="s">
        <v>2869</v>
      </c>
      <c r="E508" s="6" t="s">
        <v>35</v>
      </c>
      <c r="F508" s="6" t="s">
        <v>271</v>
      </c>
      <c r="G508" s="6" t="s">
        <v>2848</v>
      </c>
      <c r="H508" s="6" t="s">
        <v>2849</v>
      </c>
      <c r="I508" s="6" t="s">
        <v>2870</v>
      </c>
      <c r="J508" s="6" t="s">
        <v>2871</v>
      </c>
      <c r="K508" s="6" t="s">
        <v>528</v>
      </c>
      <c r="L508" s="10" t="s">
        <v>609</v>
      </c>
    </row>
    <row r="509" ht="15.75" hidden="1" customHeight="1">
      <c r="A509" s="6" t="s">
        <v>2872</v>
      </c>
      <c r="B509" s="6" t="s">
        <v>2873</v>
      </c>
      <c r="C509" s="6" t="s">
        <v>203</v>
      </c>
      <c r="D509" s="6" t="s">
        <v>2874</v>
      </c>
      <c r="E509" s="6" t="s">
        <v>35</v>
      </c>
      <c r="F509" s="6" t="s">
        <v>271</v>
      </c>
      <c r="G509" s="6" t="s">
        <v>2848</v>
      </c>
      <c r="H509" s="6" t="s">
        <v>2849</v>
      </c>
      <c r="I509" s="6" t="s">
        <v>2875</v>
      </c>
      <c r="J509" s="6" t="s">
        <v>2876</v>
      </c>
      <c r="K509" s="6" t="s">
        <v>528</v>
      </c>
      <c r="L509" s="10" t="s">
        <v>609</v>
      </c>
    </row>
    <row r="510" ht="15.75" hidden="1" customHeight="1">
      <c r="A510" s="6" t="s">
        <v>2877</v>
      </c>
      <c r="B510" s="6" t="s">
        <v>2878</v>
      </c>
      <c r="C510" s="6" t="s">
        <v>203</v>
      </c>
      <c r="D510" s="6" t="s">
        <v>2879</v>
      </c>
      <c r="E510" s="6" t="s">
        <v>35</v>
      </c>
      <c r="F510" s="6" t="s">
        <v>271</v>
      </c>
      <c r="G510" s="6" t="s">
        <v>2848</v>
      </c>
      <c r="H510" s="6" t="s">
        <v>2849</v>
      </c>
      <c r="I510" s="6" t="s">
        <v>2880</v>
      </c>
      <c r="J510" s="6" t="s">
        <v>2881</v>
      </c>
      <c r="K510" s="6" t="s">
        <v>528</v>
      </c>
      <c r="L510" s="10" t="s">
        <v>609</v>
      </c>
    </row>
    <row r="511" ht="15.75" hidden="1" customHeight="1">
      <c r="A511" s="6" t="s">
        <v>2882</v>
      </c>
      <c r="B511" s="6" t="s">
        <v>2883</v>
      </c>
      <c r="C511" s="6" t="s">
        <v>203</v>
      </c>
      <c r="D511" s="6" t="s">
        <v>2884</v>
      </c>
      <c r="E511" s="6" t="s">
        <v>35</v>
      </c>
      <c r="F511" s="6" t="s">
        <v>271</v>
      </c>
      <c r="G511" s="6" t="s">
        <v>2848</v>
      </c>
      <c r="H511" s="6" t="s">
        <v>2849</v>
      </c>
      <c r="I511" s="6" t="s">
        <v>2885</v>
      </c>
      <c r="J511" s="6" t="s">
        <v>2886</v>
      </c>
      <c r="K511" s="6" t="s">
        <v>528</v>
      </c>
      <c r="L511" s="10" t="s">
        <v>609</v>
      </c>
    </row>
    <row r="512" ht="15.75" hidden="1" customHeight="1">
      <c r="A512" s="6" t="s">
        <v>2887</v>
      </c>
      <c r="B512" s="6" t="s">
        <v>2888</v>
      </c>
      <c r="C512" s="6" t="s">
        <v>203</v>
      </c>
      <c r="D512" s="6" t="s">
        <v>2889</v>
      </c>
      <c r="E512" s="6" t="s">
        <v>35</v>
      </c>
      <c r="F512" s="6" t="s">
        <v>271</v>
      </c>
      <c r="G512" s="6" t="s">
        <v>2848</v>
      </c>
      <c r="H512" s="6" t="s">
        <v>2849</v>
      </c>
      <c r="I512" s="6" t="s">
        <v>2890</v>
      </c>
      <c r="J512" s="6" t="s">
        <v>2891</v>
      </c>
      <c r="K512" s="6" t="s">
        <v>528</v>
      </c>
      <c r="L512" s="10" t="s">
        <v>609</v>
      </c>
    </row>
    <row r="513" ht="15.75" hidden="1" customHeight="1">
      <c r="A513" s="6" t="s">
        <v>2892</v>
      </c>
      <c r="B513" s="6" t="s">
        <v>2893</v>
      </c>
      <c r="C513" s="6" t="s">
        <v>203</v>
      </c>
      <c r="D513" s="6" t="s">
        <v>2894</v>
      </c>
      <c r="E513" s="6" t="s">
        <v>35</v>
      </c>
      <c r="F513" s="6" t="s">
        <v>271</v>
      </c>
      <c r="G513" s="6" t="s">
        <v>2848</v>
      </c>
      <c r="H513" s="6" t="s">
        <v>2849</v>
      </c>
      <c r="I513" s="6" t="s">
        <v>2895</v>
      </c>
      <c r="J513" s="6" t="s">
        <v>2896</v>
      </c>
      <c r="K513" s="6" t="s">
        <v>528</v>
      </c>
      <c r="L513" s="10" t="s">
        <v>609</v>
      </c>
    </row>
    <row r="514" ht="15.75" hidden="1" customHeight="1">
      <c r="A514" s="6" t="s">
        <v>2897</v>
      </c>
      <c r="B514" s="6" t="s">
        <v>2898</v>
      </c>
      <c r="C514" s="6" t="s">
        <v>203</v>
      </c>
      <c r="D514" s="6" t="s">
        <v>2899</v>
      </c>
      <c r="E514" s="6" t="s">
        <v>35</v>
      </c>
      <c r="F514" s="6" t="s">
        <v>271</v>
      </c>
      <c r="G514" s="6" t="s">
        <v>2848</v>
      </c>
      <c r="H514" s="6" t="s">
        <v>2849</v>
      </c>
      <c r="I514" s="6" t="s">
        <v>2900</v>
      </c>
      <c r="J514" s="6" t="s">
        <v>2901</v>
      </c>
      <c r="K514" s="6" t="s">
        <v>528</v>
      </c>
      <c r="L514" s="10" t="s">
        <v>609</v>
      </c>
    </row>
    <row r="515" ht="15.75" hidden="1" customHeight="1">
      <c r="A515" s="6" t="s">
        <v>2902</v>
      </c>
      <c r="B515" s="6" t="s">
        <v>2903</v>
      </c>
      <c r="C515" s="6" t="s">
        <v>203</v>
      </c>
      <c r="D515" s="6" t="s">
        <v>2904</v>
      </c>
      <c r="E515" s="6" t="s">
        <v>35</v>
      </c>
      <c r="F515" s="6" t="s">
        <v>271</v>
      </c>
      <c r="G515" s="6" t="s">
        <v>2848</v>
      </c>
      <c r="H515" s="6" t="s">
        <v>2849</v>
      </c>
      <c r="I515" s="6" t="s">
        <v>2905</v>
      </c>
      <c r="J515" s="6" t="s">
        <v>2906</v>
      </c>
      <c r="K515" s="6" t="s">
        <v>528</v>
      </c>
      <c r="L515" s="10" t="s">
        <v>609</v>
      </c>
    </row>
    <row r="516" ht="15.75" hidden="1" customHeight="1">
      <c r="A516" s="6" t="s">
        <v>2907</v>
      </c>
      <c r="B516" s="6" t="s">
        <v>2908</v>
      </c>
      <c r="C516" s="6" t="s">
        <v>203</v>
      </c>
      <c r="D516" s="6" t="s">
        <v>2909</v>
      </c>
      <c r="E516" s="6" t="s">
        <v>35</v>
      </c>
      <c r="F516" s="6" t="s">
        <v>271</v>
      </c>
      <c r="G516" s="6" t="s">
        <v>2848</v>
      </c>
      <c r="H516" s="6" t="s">
        <v>2849</v>
      </c>
      <c r="I516" s="6" t="s">
        <v>2910</v>
      </c>
      <c r="J516" s="6" t="s">
        <v>2911</v>
      </c>
      <c r="K516" s="6" t="s">
        <v>528</v>
      </c>
      <c r="L516" s="10" t="s">
        <v>609</v>
      </c>
    </row>
    <row r="517" ht="15.75" hidden="1" customHeight="1">
      <c r="A517" s="6" t="s">
        <v>2912</v>
      </c>
      <c r="B517" s="6" t="s">
        <v>2913</v>
      </c>
      <c r="C517" s="6" t="s">
        <v>203</v>
      </c>
      <c r="D517" s="6" t="s">
        <v>2914</v>
      </c>
      <c r="E517" s="6" t="s">
        <v>35</v>
      </c>
      <c r="F517" s="6" t="s">
        <v>271</v>
      </c>
      <c r="G517" s="6" t="s">
        <v>2848</v>
      </c>
      <c r="H517" s="6" t="s">
        <v>2849</v>
      </c>
      <c r="I517" s="6" t="s">
        <v>2915</v>
      </c>
      <c r="J517" s="6" t="s">
        <v>2916</v>
      </c>
      <c r="K517" s="6" t="s">
        <v>528</v>
      </c>
      <c r="L517" s="10" t="s">
        <v>609</v>
      </c>
    </row>
    <row r="518" ht="15.75" hidden="1" customHeight="1">
      <c r="A518" s="6" t="s">
        <v>2917</v>
      </c>
      <c r="B518" s="6" t="s">
        <v>2918</v>
      </c>
      <c r="C518" s="6" t="s">
        <v>203</v>
      </c>
      <c r="D518" s="6" t="s">
        <v>2919</v>
      </c>
      <c r="E518" s="6" t="s">
        <v>35</v>
      </c>
      <c r="F518" s="6" t="s">
        <v>271</v>
      </c>
      <c r="G518" s="6" t="s">
        <v>2848</v>
      </c>
      <c r="H518" s="6" t="s">
        <v>2849</v>
      </c>
      <c r="I518" s="6" t="s">
        <v>2920</v>
      </c>
      <c r="J518" s="6" t="s">
        <v>2921</v>
      </c>
      <c r="K518" s="6" t="s">
        <v>528</v>
      </c>
      <c r="L518" s="10" t="s">
        <v>609</v>
      </c>
    </row>
    <row r="519" ht="15.75" hidden="1" customHeight="1">
      <c r="A519" s="6" t="s">
        <v>2922</v>
      </c>
      <c r="B519" s="6" t="s">
        <v>2923</v>
      </c>
      <c r="C519" s="6" t="s">
        <v>203</v>
      </c>
      <c r="D519" s="6" t="s">
        <v>2924</v>
      </c>
      <c r="E519" s="6" t="s">
        <v>35</v>
      </c>
      <c r="F519" s="6" t="s">
        <v>271</v>
      </c>
      <c r="G519" s="6" t="s">
        <v>2848</v>
      </c>
      <c r="H519" s="6" t="s">
        <v>2849</v>
      </c>
      <c r="I519" s="6" t="s">
        <v>2925</v>
      </c>
      <c r="J519" s="6" t="s">
        <v>2926</v>
      </c>
      <c r="K519" s="6" t="s">
        <v>528</v>
      </c>
      <c r="L519" s="10" t="s">
        <v>609</v>
      </c>
    </row>
    <row r="520" ht="15.75" hidden="1" customHeight="1">
      <c r="A520" s="6" t="s">
        <v>2927</v>
      </c>
      <c r="B520" s="6" t="s">
        <v>2928</v>
      </c>
      <c r="C520" s="6" t="s">
        <v>203</v>
      </c>
      <c r="D520" s="6" t="s">
        <v>2929</v>
      </c>
      <c r="E520" s="6" t="s">
        <v>35</v>
      </c>
      <c r="F520" s="6" t="s">
        <v>271</v>
      </c>
      <c r="G520" s="6" t="s">
        <v>2848</v>
      </c>
      <c r="H520" s="6" t="s">
        <v>2849</v>
      </c>
      <c r="I520" s="6" t="s">
        <v>2930</v>
      </c>
      <c r="J520" s="6" t="s">
        <v>2931</v>
      </c>
      <c r="K520" s="6" t="s">
        <v>528</v>
      </c>
      <c r="L520" s="10" t="s">
        <v>609</v>
      </c>
    </row>
    <row r="521" ht="15.75" hidden="1" customHeight="1">
      <c r="A521" s="6" t="s">
        <v>2932</v>
      </c>
      <c r="B521" s="6" t="s">
        <v>2933</v>
      </c>
      <c r="C521" s="6" t="s">
        <v>203</v>
      </c>
      <c r="D521" s="6" t="s">
        <v>2934</v>
      </c>
      <c r="E521" s="6" t="s">
        <v>35</v>
      </c>
      <c r="F521" s="6" t="s">
        <v>36</v>
      </c>
      <c r="G521" s="6" t="s">
        <v>2733</v>
      </c>
      <c r="H521" s="6" t="s">
        <v>2734</v>
      </c>
      <c r="I521" s="6" t="s">
        <v>2935</v>
      </c>
      <c r="J521" s="6" t="s">
        <v>2936</v>
      </c>
      <c r="K521" s="6" t="s">
        <v>528</v>
      </c>
      <c r="L521" s="10" t="s">
        <v>30</v>
      </c>
    </row>
    <row r="522" ht="15.75" hidden="1" customHeight="1">
      <c r="A522" s="6" t="s">
        <v>2937</v>
      </c>
      <c r="B522" s="6" t="s">
        <v>2938</v>
      </c>
      <c r="C522" s="6" t="s">
        <v>203</v>
      </c>
      <c r="D522" s="6" t="s">
        <v>2939</v>
      </c>
      <c r="E522" s="6" t="s">
        <v>35</v>
      </c>
      <c r="F522" s="6" t="s">
        <v>36</v>
      </c>
      <c r="G522" s="6" t="s">
        <v>2733</v>
      </c>
      <c r="H522" s="6" t="s">
        <v>2734</v>
      </c>
      <c r="I522" s="6" t="s">
        <v>2940</v>
      </c>
      <c r="J522" s="6" t="s">
        <v>2941</v>
      </c>
      <c r="K522" s="6" t="s">
        <v>528</v>
      </c>
      <c r="L522" s="10" t="s">
        <v>30</v>
      </c>
    </row>
    <row r="523" ht="15.75" hidden="1" customHeight="1">
      <c r="A523" s="6" t="s">
        <v>2942</v>
      </c>
      <c r="B523" s="6" t="s">
        <v>2943</v>
      </c>
      <c r="C523" s="6" t="s">
        <v>203</v>
      </c>
      <c r="D523" s="6" t="s">
        <v>2944</v>
      </c>
      <c r="E523" s="6" t="s">
        <v>35</v>
      </c>
      <c r="F523" s="6" t="s">
        <v>271</v>
      </c>
      <c r="G523" s="6" t="s">
        <v>2848</v>
      </c>
      <c r="H523" s="6" t="s">
        <v>2849</v>
      </c>
      <c r="I523" s="6" t="s">
        <v>2945</v>
      </c>
      <c r="J523" s="6" t="s">
        <v>2946</v>
      </c>
      <c r="K523" s="6" t="s">
        <v>528</v>
      </c>
      <c r="L523" s="10" t="s">
        <v>30</v>
      </c>
    </row>
    <row r="524" ht="15.75" hidden="1" customHeight="1">
      <c r="A524" s="6" t="s">
        <v>2947</v>
      </c>
      <c r="B524" s="6" t="s">
        <v>2948</v>
      </c>
      <c r="C524" s="6" t="s">
        <v>203</v>
      </c>
      <c r="D524" s="6" t="s">
        <v>2949</v>
      </c>
      <c r="E524" s="6" t="s">
        <v>35</v>
      </c>
      <c r="F524" s="6" t="s">
        <v>271</v>
      </c>
      <c r="G524" s="6" t="s">
        <v>2848</v>
      </c>
      <c r="H524" s="6" t="s">
        <v>2849</v>
      </c>
      <c r="I524" s="6" t="s">
        <v>2950</v>
      </c>
      <c r="J524" s="6" t="s">
        <v>2951</v>
      </c>
      <c r="K524" s="6" t="s">
        <v>528</v>
      </c>
      <c r="L524" s="10" t="s">
        <v>30</v>
      </c>
    </row>
    <row r="525" ht="15.75" hidden="1" customHeight="1">
      <c r="A525" s="6" t="s">
        <v>2952</v>
      </c>
      <c r="B525" s="6" t="s">
        <v>2953</v>
      </c>
      <c r="C525" s="6" t="s">
        <v>203</v>
      </c>
      <c r="D525" s="6" t="s">
        <v>2954</v>
      </c>
      <c r="E525" s="6" t="s">
        <v>35</v>
      </c>
      <c r="F525" s="6" t="s">
        <v>271</v>
      </c>
      <c r="G525" s="6" t="s">
        <v>2848</v>
      </c>
      <c r="H525" s="6" t="s">
        <v>2849</v>
      </c>
      <c r="I525" s="6" t="s">
        <v>2955</v>
      </c>
      <c r="J525" s="6" t="s">
        <v>2956</v>
      </c>
      <c r="K525" s="6" t="s">
        <v>528</v>
      </c>
      <c r="L525" s="10" t="s">
        <v>609</v>
      </c>
    </row>
    <row r="526" ht="15.75" hidden="1" customHeight="1">
      <c r="A526" s="6" t="s">
        <v>2957</v>
      </c>
      <c r="B526" s="6" t="s">
        <v>2958</v>
      </c>
      <c r="C526" s="6" t="s">
        <v>203</v>
      </c>
      <c r="D526" s="6" t="s">
        <v>2959</v>
      </c>
      <c r="E526" s="6" t="s">
        <v>35</v>
      </c>
      <c r="F526" s="6" t="s">
        <v>271</v>
      </c>
      <c r="G526" s="6" t="s">
        <v>2848</v>
      </c>
      <c r="H526" s="6" t="s">
        <v>2849</v>
      </c>
      <c r="I526" s="6" t="s">
        <v>2960</v>
      </c>
      <c r="J526" s="6" t="s">
        <v>2961</v>
      </c>
      <c r="K526" s="6" t="s">
        <v>528</v>
      </c>
      <c r="L526" s="10" t="s">
        <v>609</v>
      </c>
    </row>
    <row r="527" ht="15.75" hidden="1" customHeight="1">
      <c r="A527" s="6" t="s">
        <v>2962</v>
      </c>
      <c r="B527" s="6" t="s">
        <v>2963</v>
      </c>
      <c r="C527" s="6" t="s">
        <v>203</v>
      </c>
      <c r="D527" s="6" t="s">
        <v>2964</v>
      </c>
      <c r="E527" s="6" t="s">
        <v>331</v>
      </c>
      <c r="F527" s="6" t="s">
        <v>1591</v>
      </c>
      <c r="G527" s="6" t="s">
        <v>2965</v>
      </c>
      <c r="H527" s="6" t="s">
        <v>2966</v>
      </c>
      <c r="I527" s="6" t="s">
        <v>2967</v>
      </c>
      <c r="J527" s="6" t="s">
        <v>2968</v>
      </c>
      <c r="K527" s="6" t="s">
        <v>2969</v>
      </c>
      <c r="L527" s="10" t="s">
        <v>609</v>
      </c>
    </row>
    <row r="528" ht="15.75" hidden="1" customHeight="1">
      <c r="A528" s="6" t="s">
        <v>2970</v>
      </c>
      <c r="B528" s="6" t="s">
        <v>2971</v>
      </c>
      <c r="C528" s="6" t="s">
        <v>203</v>
      </c>
      <c r="D528" s="6" t="s">
        <v>2972</v>
      </c>
      <c r="E528" s="6" t="s">
        <v>35</v>
      </c>
      <c r="F528" s="6" t="s">
        <v>271</v>
      </c>
      <c r="G528" s="6" t="s">
        <v>2848</v>
      </c>
      <c r="H528" s="6" t="s">
        <v>2849</v>
      </c>
      <c r="I528" s="6" t="s">
        <v>2973</v>
      </c>
      <c r="J528" s="6" t="s">
        <v>2974</v>
      </c>
      <c r="K528" s="6" t="s">
        <v>528</v>
      </c>
      <c r="L528" s="10" t="s">
        <v>30</v>
      </c>
    </row>
    <row r="529" ht="15.75" hidden="1" customHeight="1">
      <c r="A529" s="6" t="s">
        <v>2975</v>
      </c>
      <c r="B529" s="6" t="s">
        <v>2976</v>
      </c>
      <c r="C529" s="6" t="s">
        <v>203</v>
      </c>
      <c r="D529" s="6" t="s">
        <v>2977</v>
      </c>
      <c r="E529" s="6" t="s">
        <v>331</v>
      </c>
      <c r="F529" s="6" t="s">
        <v>1591</v>
      </c>
      <c r="G529" s="6" t="s">
        <v>2965</v>
      </c>
      <c r="H529" s="6" t="s">
        <v>2966</v>
      </c>
      <c r="I529" s="6" t="s">
        <v>2978</v>
      </c>
      <c r="J529" s="6" t="s">
        <v>2979</v>
      </c>
      <c r="K529" s="6" t="s">
        <v>528</v>
      </c>
      <c r="L529" s="10" t="s">
        <v>30</v>
      </c>
    </row>
    <row r="530" ht="15.75" hidden="1" customHeight="1">
      <c r="A530" s="6" t="s">
        <v>2980</v>
      </c>
      <c r="B530" s="6" t="s">
        <v>2981</v>
      </c>
      <c r="C530" s="6" t="s">
        <v>203</v>
      </c>
      <c r="D530" s="6" t="s">
        <v>2982</v>
      </c>
      <c r="E530" s="6" t="s">
        <v>35</v>
      </c>
      <c r="F530" s="6" t="s">
        <v>271</v>
      </c>
      <c r="G530" s="6" t="s">
        <v>2848</v>
      </c>
      <c r="H530" s="6" t="s">
        <v>2849</v>
      </c>
      <c r="I530" s="6" t="s">
        <v>2983</v>
      </c>
      <c r="J530" s="6" t="s">
        <v>2984</v>
      </c>
      <c r="K530" s="6" t="s">
        <v>528</v>
      </c>
      <c r="L530" s="10" t="s">
        <v>30</v>
      </c>
    </row>
    <row r="531" ht="15.75" hidden="1" customHeight="1">
      <c r="A531" s="6" t="s">
        <v>2985</v>
      </c>
      <c r="B531" s="6" t="s">
        <v>2986</v>
      </c>
      <c r="C531" s="6" t="s">
        <v>227</v>
      </c>
      <c r="D531" s="6" t="s">
        <v>21</v>
      </c>
      <c r="E531" s="6" t="s">
        <v>22</v>
      </c>
      <c r="F531" s="6" t="s">
        <v>23</v>
      </c>
      <c r="G531" s="6" t="s">
        <v>24</v>
      </c>
      <c r="H531" s="6" t="s">
        <v>25</v>
      </c>
      <c r="I531" s="6" t="s">
        <v>2987</v>
      </c>
      <c r="J531" s="6" t="s">
        <v>2988</v>
      </c>
      <c r="K531" s="6" t="s">
        <v>29</v>
      </c>
      <c r="L531" s="10" t="s">
        <v>30</v>
      </c>
    </row>
    <row r="532" ht="15.75" hidden="1" customHeight="1">
      <c r="A532" s="6" t="s">
        <v>2989</v>
      </c>
      <c r="B532" s="6" t="s">
        <v>2990</v>
      </c>
      <c r="C532" s="6" t="s">
        <v>227</v>
      </c>
      <c r="D532" s="6" t="s">
        <v>2991</v>
      </c>
      <c r="E532" s="6" t="s">
        <v>22</v>
      </c>
      <c r="F532" s="6" t="s">
        <v>23</v>
      </c>
      <c r="G532" s="6" t="s">
        <v>24</v>
      </c>
      <c r="H532" s="6" t="s">
        <v>25</v>
      </c>
      <c r="I532" s="6" t="s">
        <v>2992</v>
      </c>
      <c r="J532" s="6" t="s">
        <v>2993</v>
      </c>
      <c r="K532" s="6" t="s">
        <v>29</v>
      </c>
      <c r="L532" s="10" t="s">
        <v>30</v>
      </c>
    </row>
    <row r="533" ht="15.75" hidden="1" customHeight="1">
      <c r="A533" s="6" t="s">
        <v>2994</v>
      </c>
      <c r="B533" s="6" t="s">
        <v>2995</v>
      </c>
      <c r="C533" s="6" t="s">
        <v>227</v>
      </c>
      <c r="D533" s="6" t="s">
        <v>2996</v>
      </c>
      <c r="E533" s="6" t="s">
        <v>35</v>
      </c>
      <c r="F533" s="6" t="s">
        <v>882</v>
      </c>
      <c r="G533" s="6" t="s">
        <v>883</v>
      </c>
      <c r="H533" s="6" t="s">
        <v>884</v>
      </c>
      <c r="I533" s="6" t="s">
        <v>2997</v>
      </c>
      <c r="J533" s="6" t="s">
        <v>2998</v>
      </c>
      <c r="K533" s="6" t="s">
        <v>29</v>
      </c>
      <c r="L533" s="10" t="s">
        <v>30</v>
      </c>
    </row>
    <row r="534" ht="15.75" hidden="1" customHeight="1">
      <c r="A534" s="6" t="s">
        <v>2999</v>
      </c>
      <c r="B534" s="6" t="s">
        <v>3000</v>
      </c>
      <c r="C534" s="6" t="s">
        <v>227</v>
      </c>
      <c r="D534" s="6" t="s">
        <v>3001</v>
      </c>
      <c r="E534" s="6" t="s">
        <v>35</v>
      </c>
      <c r="F534" s="6" t="s">
        <v>882</v>
      </c>
      <c r="G534" s="6" t="s">
        <v>883</v>
      </c>
      <c r="H534" s="6" t="s">
        <v>884</v>
      </c>
      <c r="I534" s="6" t="s">
        <v>3002</v>
      </c>
      <c r="J534" s="6" t="s">
        <v>3003</v>
      </c>
      <c r="K534" s="6" t="s">
        <v>29</v>
      </c>
      <c r="L534" s="10" t="s">
        <v>30</v>
      </c>
    </row>
    <row r="535" ht="15.75" hidden="1" customHeight="1">
      <c r="A535" s="6" t="s">
        <v>3004</v>
      </c>
      <c r="B535" s="6" t="s">
        <v>3005</v>
      </c>
      <c r="C535" s="6" t="s">
        <v>227</v>
      </c>
      <c r="D535" s="6" t="s">
        <v>3006</v>
      </c>
      <c r="E535" s="6" t="s">
        <v>22</v>
      </c>
      <c r="F535" s="6" t="s">
        <v>23</v>
      </c>
      <c r="G535" s="6" t="s">
        <v>24</v>
      </c>
      <c r="H535" s="6" t="s">
        <v>25</v>
      </c>
      <c r="I535" s="6" t="s">
        <v>3007</v>
      </c>
      <c r="J535" s="6" t="s">
        <v>3008</v>
      </c>
      <c r="K535" s="6" t="s">
        <v>29</v>
      </c>
      <c r="L535" s="10" t="s">
        <v>30</v>
      </c>
    </row>
    <row r="536" ht="15.75" customHeight="1">
      <c r="A536" s="6" t="s">
        <v>3009</v>
      </c>
      <c r="B536" s="6" t="s">
        <v>3010</v>
      </c>
      <c r="C536" s="6" t="s">
        <v>227</v>
      </c>
      <c r="D536" s="6" t="s">
        <v>3011</v>
      </c>
      <c r="E536" s="6" t="s">
        <v>35</v>
      </c>
      <c r="F536" s="6" t="s">
        <v>271</v>
      </c>
      <c r="G536" s="6" t="s">
        <v>272</v>
      </c>
      <c r="H536" s="6" t="s">
        <v>273</v>
      </c>
      <c r="I536" s="6" t="s">
        <v>3012</v>
      </c>
      <c r="J536" s="6" t="s">
        <v>3013</v>
      </c>
      <c r="K536" s="6" t="s">
        <v>3014</v>
      </c>
      <c r="L536" s="14" t="s">
        <v>55</v>
      </c>
    </row>
    <row r="537" ht="15.75" customHeight="1">
      <c r="A537" s="6" t="s">
        <v>3015</v>
      </c>
      <c r="B537" s="6" t="s">
        <v>3016</v>
      </c>
      <c r="C537" s="6" t="s">
        <v>227</v>
      </c>
      <c r="D537" s="6" t="s">
        <v>3017</v>
      </c>
      <c r="E537" s="6" t="s">
        <v>35</v>
      </c>
      <c r="F537" s="6" t="s">
        <v>271</v>
      </c>
      <c r="G537" s="6" t="s">
        <v>272</v>
      </c>
      <c r="H537" s="6" t="s">
        <v>273</v>
      </c>
      <c r="I537" s="6" t="s">
        <v>3018</v>
      </c>
      <c r="J537" s="6" t="s">
        <v>3019</v>
      </c>
      <c r="K537" s="6" t="s">
        <v>3014</v>
      </c>
      <c r="L537" s="10" t="s">
        <v>609</v>
      </c>
    </row>
    <row r="538" ht="15.75" customHeight="1">
      <c r="A538" s="6" t="s">
        <v>3020</v>
      </c>
      <c r="B538" s="6" t="s">
        <v>3021</v>
      </c>
      <c r="C538" s="6" t="s">
        <v>227</v>
      </c>
      <c r="D538" s="6" t="s">
        <v>3022</v>
      </c>
      <c r="E538" s="6" t="s">
        <v>35</v>
      </c>
      <c r="F538" s="6" t="s">
        <v>271</v>
      </c>
      <c r="G538" s="6" t="s">
        <v>272</v>
      </c>
      <c r="H538" s="6" t="s">
        <v>273</v>
      </c>
      <c r="I538" s="6" t="s">
        <v>3023</v>
      </c>
      <c r="J538" s="6" t="s">
        <v>3024</v>
      </c>
      <c r="K538" s="6" t="s">
        <v>3014</v>
      </c>
      <c r="L538" s="10" t="s">
        <v>609</v>
      </c>
    </row>
    <row r="539" ht="15.75" hidden="1" customHeight="1">
      <c r="A539" s="6" t="s">
        <v>3025</v>
      </c>
      <c r="B539" s="6" t="s">
        <v>3026</v>
      </c>
      <c r="C539" s="6" t="s">
        <v>227</v>
      </c>
      <c r="D539" s="6" t="s">
        <v>3027</v>
      </c>
      <c r="E539" s="6" t="s">
        <v>35</v>
      </c>
      <c r="F539" s="6" t="s">
        <v>787</v>
      </c>
      <c r="G539" s="6" t="s">
        <v>788</v>
      </c>
      <c r="H539" s="6" t="s">
        <v>789</v>
      </c>
      <c r="I539" s="6" t="s">
        <v>3028</v>
      </c>
      <c r="J539" s="6" t="s">
        <v>3029</v>
      </c>
      <c r="K539" s="6" t="s">
        <v>1231</v>
      </c>
      <c r="L539" s="10" t="s">
        <v>609</v>
      </c>
    </row>
    <row r="540" ht="15.75" hidden="1" customHeight="1">
      <c r="A540" s="6" t="s">
        <v>3030</v>
      </c>
      <c r="B540" s="6" t="s">
        <v>3031</v>
      </c>
      <c r="C540" s="6" t="s">
        <v>227</v>
      </c>
      <c r="D540" s="6" t="s">
        <v>3032</v>
      </c>
      <c r="E540" s="6" t="s">
        <v>35</v>
      </c>
      <c r="F540" s="6" t="s">
        <v>787</v>
      </c>
      <c r="G540" s="6" t="s">
        <v>788</v>
      </c>
      <c r="H540" s="6" t="s">
        <v>789</v>
      </c>
      <c r="I540" s="6" t="s">
        <v>3033</v>
      </c>
      <c r="J540" s="6" t="s">
        <v>3034</v>
      </c>
      <c r="K540" s="6" t="s">
        <v>29</v>
      </c>
      <c r="L540" s="10" t="s">
        <v>30</v>
      </c>
    </row>
    <row r="541" ht="15.75" hidden="1" customHeight="1">
      <c r="A541" s="6" t="s">
        <v>3035</v>
      </c>
      <c r="B541" s="6" t="s">
        <v>3036</v>
      </c>
      <c r="C541" s="6" t="s">
        <v>227</v>
      </c>
      <c r="D541" s="6" t="s">
        <v>3037</v>
      </c>
      <c r="E541" s="6" t="s">
        <v>35</v>
      </c>
      <c r="F541" s="6" t="s">
        <v>787</v>
      </c>
      <c r="G541" s="6" t="s">
        <v>788</v>
      </c>
      <c r="H541" s="6" t="s">
        <v>789</v>
      </c>
      <c r="I541" s="6" t="s">
        <v>3038</v>
      </c>
      <c r="J541" s="6" t="s">
        <v>3039</v>
      </c>
      <c r="K541" s="6" t="s">
        <v>29</v>
      </c>
      <c r="L541" s="10" t="s">
        <v>30</v>
      </c>
    </row>
    <row r="542" ht="15.75" hidden="1" customHeight="1">
      <c r="A542" s="6" t="s">
        <v>3040</v>
      </c>
      <c r="B542" s="6" t="s">
        <v>3041</v>
      </c>
      <c r="C542" s="6" t="s">
        <v>242</v>
      </c>
      <c r="D542" s="6" t="s">
        <v>3042</v>
      </c>
      <c r="E542" s="6" t="s">
        <v>22</v>
      </c>
      <c r="F542" s="6" t="s">
        <v>23</v>
      </c>
      <c r="G542" s="6" t="s">
        <v>24</v>
      </c>
      <c r="H542" s="6" t="s">
        <v>25</v>
      </c>
      <c r="I542" s="6" t="s">
        <v>3043</v>
      </c>
      <c r="J542" s="6" t="s">
        <v>3044</v>
      </c>
      <c r="K542" s="6" t="s">
        <v>29</v>
      </c>
      <c r="L542" s="10" t="s">
        <v>30</v>
      </c>
    </row>
    <row r="543" ht="15.75" hidden="1" customHeight="1">
      <c r="A543" s="6" t="s">
        <v>3045</v>
      </c>
      <c r="B543" s="6" t="s">
        <v>3046</v>
      </c>
      <c r="C543" s="6" t="s">
        <v>242</v>
      </c>
      <c r="D543" s="6" t="s">
        <v>3047</v>
      </c>
      <c r="E543" s="6" t="s">
        <v>22</v>
      </c>
      <c r="F543" s="6" t="s">
        <v>3048</v>
      </c>
      <c r="G543" s="6" t="s">
        <v>3049</v>
      </c>
      <c r="H543" s="6" t="s">
        <v>3050</v>
      </c>
      <c r="I543" s="6" t="s">
        <v>3051</v>
      </c>
      <c r="J543" s="6" t="s">
        <v>3052</v>
      </c>
      <c r="K543" s="6" t="s">
        <v>29</v>
      </c>
      <c r="L543" s="10" t="s">
        <v>30</v>
      </c>
    </row>
    <row r="544" ht="15.75" hidden="1" customHeight="1">
      <c r="A544" s="6" t="s">
        <v>3053</v>
      </c>
      <c r="B544" s="6" t="s">
        <v>3054</v>
      </c>
      <c r="C544" s="6" t="s">
        <v>242</v>
      </c>
      <c r="D544" s="6" t="s">
        <v>3055</v>
      </c>
      <c r="E544" s="6" t="s">
        <v>22</v>
      </c>
      <c r="F544" s="6" t="s">
        <v>3048</v>
      </c>
      <c r="G544" s="6" t="s">
        <v>3056</v>
      </c>
      <c r="H544" s="6" t="s">
        <v>3057</v>
      </c>
      <c r="I544" s="6" t="s">
        <v>3058</v>
      </c>
      <c r="J544" s="6" t="s">
        <v>3059</v>
      </c>
      <c r="K544" s="6" t="s">
        <v>29</v>
      </c>
      <c r="L544" s="10" t="s">
        <v>30</v>
      </c>
    </row>
    <row r="545" ht="15.75" hidden="1" customHeight="1">
      <c r="A545" s="6" t="s">
        <v>3060</v>
      </c>
      <c r="B545" s="6" t="s">
        <v>3061</v>
      </c>
      <c r="C545" s="6" t="s">
        <v>242</v>
      </c>
      <c r="D545" s="6" t="s">
        <v>3062</v>
      </c>
      <c r="E545" s="6" t="s">
        <v>331</v>
      </c>
      <c r="F545" s="6" t="s">
        <v>1309</v>
      </c>
      <c r="G545" s="6" t="s">
        <v>1310</v>
      </c>
      <c r="H545" s="6" t="s">
        <v>1311</v>
      </c>
      <c r="I545" s="6" t="s">
        <v>3063</v>
      </c>
      <c r="J545" s="6" t="s">
        <v>3064</v>
      </c>
      <c r="K545" s="6" t="s">
        <v>29</v>
      </c>
      <c r="L545" s="10" t="s">
        <v>30</v>
      </c>
    </row>
    <row r="546" ht="15.75" hidden="1" customHeight="1">
      <c r="A546" s="6" t="s">
        <v>3065</v>
      </c>
      <c r="B546" s="6" t="s">
        <v>3066</v>
      </c>
      <c r="C546" s="6" t="s">
        <v>242</v>
      </c>
      <c r="D546" s="6" t="s">
        <v>3067</v>
      </c>
      <c r="E546" s="6" t="s">
        <v>331</v>
      </c>
      <c r="F546" s="6" t="s">
        <v>1591</v>
      </c>
      <c r="G546" s="6" t="s">
        <v>3068</v>
      </c>
      <c r="H546" s="6" t="s">
        <v>3069</v>
      </c>
      <c r="I546" s="6" t="s">
        <v>3070</v>
      </c>
      <c r="J546" s="6" t="s">
        <v>3071</v>
      </c>
      <c r="K546" s="6" t="s">
        <v>29</v>
      </c>
      <c r="L546" s="10" t="s">
        <v>30</v>
      </c>
    </row>
    <row r="547" ht="15.75" hidden="1" customHeight="1">
      <c r="A547" s="6" t="s">
        <v>3072</v>
      </c>
      <c r="B547" s="6" t="s">
        <v>3073</v>
      </c>
      <c r="C547" s="6" t="s">
        <v>242</v>
      </c>
      <c r="D547" s="6" t="s">
        <v>3074</v>
      </c>
      <c r="E547" s="6" t="s">
        <v>331</v>
      </c>
      <c r="F547" s="6" t="s">
        <v>1591</v>
      </c>
      <c r="G547" s="6" t="s">
        <v>3068</v>
      </c>
      <c r="H547" s="6" t="s">
        <v>3069</v>
      </c>
      <c r="I547" s="6" t="s">
        <v>3075</v>
      </c>
      <c r="J547" s="6" t="s">
        <v>3076</v>
      </c>
      <c r="K547" s="6" t="s">
        <v>29</v>
      </c>
      <c r="L547" s="10" t="s">
        <v>30</v>
      </c>
    </row>
    <row r="548" ht="15.75" hidden="1" customHeight="1">
      <c r="A548" s="6" t="s">
        <v>3077</v>
      </c>
      <c r="B548" s="6" t="s">
        <v>3078</v>
      </c>
      <c r="C548" s="6" t="s">
        <v>242</v>
      </c>
      <c r="D548" s="6" t="s">
        <v>3079</v>
      </c>
      <c r="E548" s="6" t="s">
        <v>22</v>
      </c>
      <c r="F548" s="6" t="s">
        <v>1322</v>
      </c>
      <c r="G548" s="6" t="s">
        <v>3080</v>
      </c>
      <c r="H548" s="6" t="s">
        <v>3081</v>
      </c>
      <c r="I548" s="6" t="s">
        <v>3082</v>
      </c>
      <c r="J548" s="6" t="s">
        <v>3083</v>
      </c>
      <c r="K548" s="6" t="s">
        <v>29</v>
      </c>
      <c r="L548" s="10" t="s">
        <v>30</v>
      </c>
    </row>
    <row r="549" ht="15.75" hidden="1" customHeight="1">
      <c r="A549" s="6" t="s">
        <v>3084</v>
      </c>
      <c r="B549" s="6" t="s">
        <v>3085</v>
      </c>
      <c r="C549" s="6" t="s">
        <v>242</v>
      </c>
      <c r="D549" s="6" t="s">
        <v>3086</v>
      </c>
      <c r="E549" s="6" t="s">
        <v>22</v>
      </c>
      <c r="F549" s="6" t="s">
        <v>3087</v>
      </c>
      <c r="G549" s="6" t="s">
        <v>3088</v>
      </c>
      <c r="H549" s="6" t="s">
        <v>3089</v>
      </c>
      <c r="I549" s="6" t="s">
        <v>3090</v>
      </c>
      <c r="J549" s="6" t="s">
        <v>3091</v>
      </c>
      <c r="K549" s="6" t="s">
        <v>29</v>
      </c>
      <c r="L549" s="10" t="s">
        <v>30</v>
      </c>
    </row>
    <row r="550" ht="15.75" hidden="1" customHeight="1">
      <c r="A550" s="6" t="s">
        <v>3092</v>
      </c>
      <c r="B550" s="6" t="s">
        <v>3093</v>
      </c>
      <c r="C550" s="6" t="s">
        <v>242</v>
      </c>
      <c r="D550" s="6" t="s">
        <v>3094</v>
      </c>
      <c r="E550" s="6" t="s">
        <v>22</v>
      </c>
      <c r="F550" s="6" t="s">
        <v>3087</v>
      </c>
      <c r="G550" s="6" t="s">
        <v>3088</v>
      </c>
      <c r="H550" s="6" t="s">
        <v>3089</v>
      </c>
      <c r="I550" s="6" t="s">
        <v>3095</v>
      </c>
      <c r="J550" s="6" t="s">
        <v>3096</v>
      </c>
      <c r="K550" s="6" t="s">
        <v>29</v>
      </c>
      <c r="L550" s="10" t="s">
        <v>30</v>
      </c>
    </row>
    <row r="551" ht="15.75" hidden="1" customHeight="1">
      <c r="A551" s="6" t="s">
        <v>3097</v>
      </c>
      <c r="B551" s="6" t="s">
        <v>3098</v>
      </c>
      <c r="C551" s="6" t="s">
        <v>242</v>
      </c>
      <c r="D551" s="6" t="s">
        <v>3099</v>
      </c>
      <c r="E551" s="6" t="s">
        <v>22</v>
      </c>
      <c r="F551" s="6" t="s">
        <v>3100</v>
      </c>
      <c r="G551" s="6" t="s">
        <v>3101</v>
      </c>
      <c r="H551" s="6" t="s">
        <v>3102</v>
      </c>
      <c r="I551" s="6" t="s">
        <v>3103</v>
      </c>
      <c r="J551" s="6" t="s">
        <v>3104</v>
      </c>
      <c r="K551" s="6" t="s">
        <v>29</v>
      </c>
      <c r="L551" s="10" t="s">
        <v>30</v>
      </c>
    </row>
    <row r="552" ht="15.75" hidden="1" customHeight="1">
      <c r="A552" s="6" t="s">
        <v>3105</v>
      </c>
      <c r="B552" s="6" t="s">
        <v>3106</v>
      </c>
      <c r="C552" s="6" t="s">
        <v>242</v>
      </c>
      <c r="D552" s="6" t="s">
        <v>3107</v>
      </c>
      <c r="E552" s="6" t="s">
        <v>22</v>
      </c>
      <c r="F552" s="6" t="s">
        <v>3087</v>
      </c>
      <c r="G552" s="6" t="s">
        <v>3108</v>
      </c>
      <c r="H552" s="6" t="s">
        <v>3109</v>
      </c>
      <c r="I552" s="6" t="s">
        <v>3110</v>
      </c>
      <c r="J552" s="6" t="s">
        <v>3111</v>
      </c>
      <c r="K552" s="6" t="s">
        <v>29</v>
      </c>
      <c r="L552" s="10" t="s">
        <v>30</v>
      </c>
    </row>
    <row r="553" ht="15.75" hidden="1" customHeight="1">
      <c r="A553" s="6" t="s">
        <v>3112</v>
      </c>
      <c r="B553" s="6" t="s">
        <v>3113</v>
      </c>
      <c r="C553" s="6" t="s">
        <v>242</v>
      </c>
      <c r="D553" s="6" t="s">
        <v>3114</v>
      </c>
      <c r="E553" s="6" t="s">
        <v>22</v>
      </c>
      <c r="F553" s="6" t="s">
        <v>3048</v>
      </c>
      <c r="G553" s="6" t="s">
        <v>3115</v>
      </c>
      <c r="H553" s="6" t="s">
        <v>3116</v>
      </c>
      <c r="I553" s="6" t="s">
        <v>3117</v>
      </c>
      <c r="J553" s="6" t="s">
        <v>3118</v>
      </c>
      <c r="K553" s="6" t="s">
        <v>29</v>
      </c>
      <c r="L553" s="10" t="s">
        <v>30</v>
      </c>
    </row>
    <row r="554" ht="15.75" hidden="1" customHeight="1">
      <c r="A554" s="6" t="s">
        <v>3119</v>
      </c>
      <c r="B554" s="6" t="s">
        <v>3120</v>
      </c>
      <c r="C554" s="6" t="s">
        <v>242</v>
      </c>
      <c r="D554" s="6" t="s">
        <v>3121</v>
      </c>
      <c r="E554" s="6" t="s">
        <v>22</v>
      </c>
      <c r="F554" s="6" t="s">
        <v>3100</v>
      </c>
      <c r="G554" s="6" t="s">
        <v>3122</v>
      </c>
      <c r="H554" s="6" t="s">
        <v>3123</v>
      </c>
      <c r="I554" s="6" t="s">
        <v>3124</v>
      </c>
      <c r="J554" s="6" t="s">
        <v>3125</v>
      </c>
      <c r="K554" s="6" t="s">
        <v>29</v>
      </c>
      <c r="L554" s="10" t="s">
        <v>30</v>
      </c>
    </row>
    <row r="555" ht="15.75" hidden="1" customHeight="1">
      <c r="A555" s="6" t="s">
        <v>3126</v>
      </c>
      <c r="B555" s="6" t="s">
        <v>3127</v>
      </c>
      <c r="C555" s="6" t="s">
        <v>242</v>
      </c>
      <c r="D555" s="6" t="s">
        <v>3128</v>
      </c>
      <c r="E555" s="6" t="s">
        <v>22</v>
      </c>
      <c r="F555" s="6" t="s">
        <v>3048</v>
      </c>
      <c r="G555" s="6" t="s">
        <v>3129</v>
      </c>
      <c r="H555" s="6" t="s">
        <v>3130</v>
      </c>
      <c r="I555" s="6" t="s">
        <v>3131</v>
      </c>
      <c r="J555" s="6" t="s">
        <v>3132</v>
      </c>
      <c r="K555" s="6" t="s">
        <v>29</v>
      </c>
      <c r="L555" s="10" t="s">
        <v>30</v>
      </c>
    </row>
    <row r="556" ht="15.75" hidden="1" customHeight="1">
      <c r="A556" s="6" t="s">
        <v>3133</v>
      </c>
      <c r="B556" s="6" t="s">
        <v>3134</v>
      </c>
      <c r="C556" s="6" t="s">
        <v>242</v>
      </c>
      <c r="D556" s="6" t="s">
        <v>3135</v>
      </c>
      <c r="E556" s="6" t="s">
        <v>22</v>
      </c>
      <c r="F556" s="6" t="s">
        <v>3048</v>
      </c>
      <c r="G556" s="6" t="s">
        <v>3056</v>
      </c>
      <c r="H556" s="6" t="s">
        <v>3057</v>
      </c>
      <c r="I556" s="6" t="s">
        <v>3136</v>
      </c>
      <c r="J556" s="6" t="s">
        <v>3137</v>
      </c>
      <c r="K556" s="6" t="s">
        <v>29</v>
      </c>
      <c r="L556" s="10" t="s">
        <v>30</v>
      </c>
    </row>
    <row r="557" ht="15.75" hidden="1" customHeight="1">
      <c r="A557" s="6" t="s">
        <v>3138</v>
      </c>
      <c r="B557" s="6" t="s">
        <v>3139</v>
      </c>
      <c r="C557" s="6" t="s">
        <v>242</v>
      </c>
      <c r="D557" s="6" t="s">
        <v>3140</v>
      </c>
      <c r="E557" s="6" t="s">
        <v>331</v>
      </c>
      <c r="F557" s="6" t="s">
        <v>1271</v>
      </c>
      <c r="G557" s="6" t="s">
        <v>1764</v>
      </c>
      <c r="H557" s="6" t="s">
        <v>1765</v>
      </c>
      <c r="I557" s="6" t="s">
        <v>3141</v>
      </c>
      <c r="J557" s="6" t="s">
        <v>3142</v>
      </c>
      <c r="K557" s="6" t="s">
        <v>29</v>
      </c>
      <c r="L557" s="10" t="s">
        <v>30</v>
      </c>
    </row>
    <row r="558" ht="15.75" hidden="1" customHeight="1">
      <c r="A558" s="6" t="s">
        <v>3143</v>
      </c>
      <c r="B558" s="6" t="s">
        <v>3144</v>
      </c>
      <c r="C558" s="6" t="s">
        <v>242</v>
      </c>
      <c r="D558" s="6" t="s">
        <v>3145</v>
      </c>
      <c r="E558" s="6" t="s">
        <v>331</v>
      </c>
      <c r="F558" s="6" t="s">
        <v>1309</v>
      </c>
      <c r="G558" s="6" t="s">
        <v>3146</v>
      </c>
      <c r="H558" s="6" t="s">
        <v>3147</v>
      </c>
      <c r="I558" s="6" t="s">
        <v>3148</v>
      </c>
      <c r="J558" s="6" t="s">
        <v>3149</v>
      </c>
      <c r="K558" s="6" t="s">
        <v>29</v>
      </c>
      <c r="L558" s="10" t="s">
        <v>30</v>
      </c>
    </row>
    <row r="559" ht="15.75" hidden="1" customHeight="1">
      <c r="A559" s="6" t="s">
        <v>3150</v>
      </c>
      <c r="B559" s="6" t="s">
        <v>3151</v>
      </c>
      <c r="C559" s="6" t="s">
        <v>242</v>
      </c>
      <c r="D559" s="6" t="s">
        <v>3152</v>
      </c>
      <c r="E559" s="6" t="s">
        <v>331</v>
      </c>
      <c r="F559" s="6" t="s">
        <v>1309</v>
      </c>
      <c r="G559" s="6" t="s">
        <v>3146</v>
      </c>
      <c r="H559" s="6" t="s">
        <v>3147</v>
      </c>
      <c r="I559" s="6" t="s">
        <v>3153</v>
      </c>
      <c r="J559" s="6" t="s">
        <v>3154</v>
      </c>
      <c r="K559" s="6" t="s">
        <v>29</v>
      </c>
      <c r="L559" s="10" t="s">
        <v>30</v>
      </c>
    </row>
    <row r="560" ht="15.75" hidden="1" customHeight="1">
      <c r="A560" s="6" t="s">
        <v>3155</v>
      </c>
      <c r="B560" s="6" t="s">
        <v>3156</v>
      </c>
      <c r="C560" s="6" t="s">
        <v>242</v>
      </c>
      <c r="D560" s="6" t="s">
        <v>3157</v>
      </c>
      <c r="E560" s="6" t="s">
        <v>331</v>
      </c>
      <c r="F560" s="6" t="s">
        <v>1309</v>
      </c>
      <c r="G560" s="6" t="s">
        <v>3146</v>
      </c>
      <c r="H560" s="6" t="s">
        <v>3147</v>
      </c>
      <c r="I560" s="6" t="s">
        <v>3158</v>
      </c>
      <c r="J560" s="6" t="s">
        <v>3159</v>
      </c>
      <c r="K560" s="6" t="s">
        <v>29</v>
      </c>
      <c r="L560" s="10" t="s">
        <v>30</v>
      </c>
    </row>
    <row r="561" ht="15.75" hidden="1" customHeight="1">
      <c r="A561" s="6" t="s">
        <v>3160</v>
      </c>
      <c r="B561" s="6" t="s">
        <v>3161</v>
      </c>
      <c r="C561" s="6" t="s">
        <v>242</v>
      </c>
      <c r="D561" s="6" t="s">
        <v>3162</v>
      </c>
      <c r="E561" s="6" t="s">
        <v>22</v>
      </c>
      <c r="F561" s="6" t="s">
        <v>3163</v>
      </c>
      <c r="G561" s="6" t="s">
        <v>3164</v>
      </c>
      <c r="H561" s="6" t="s">
        <v>3165</v>
      </c>
      <c r="I561" s="6" t="s">
        <v>3166</v>
      </c>
      <c r="J561" s="6" t="s">
        <v>3167</v>
      </c>
      <c r="K561" s="6" t="s">
        <v>29</v>
      </c>
      <c r="L561" s="10" t="s">
        <v>30</v>
      </c>
    </row>
    <row r="562" ht="15.75" hidden="1" customHeight="1">
      <c r="A562" s="6" t="s">
        <v>3168</v>
      </c>
      <c r="B562" s="6" t="s">
        <v>3169</v>
      </c>
      <c r="C562" s="6" t="s">
        <v>242</v>
      </c>
      <c r="D562" s="6" t="s">
        <v>3170</v>
      </c>
      <c r="E562" s="6" t="s">
        <v>22</v>
      </c>
      <c r="F562" s="6" t="s">
        <v>23</v>
      </c>
      <c r="G562" s="6" t="s">
        <v>24</v>
      </c>
      <c r="H562" s="6" t="s">
        <v>25</v>
      </c>
      <c r="I562" s="6" t="s">
        <v>3171</v>
      </c>
      <c r="J562" s="6" t="s">
        <v>3172</v>
      </c>
      <c r="K562" s="6" t="s">
        <v>29</v>
      </c>
      <c r="L562" s="10" t="s">
        <v>30</v>
      </c>
    </row>
    <row r="563" ht="15.75" hidden="1" customHeight="1">
      <c r="A563" s="6" t="s">
        <v>3173</v>
      </c>
      <c r="B563" s="6" t="s">
        <v>3174</v>
      </c>
      <c r="C563" s="6" t="s">
        <v>242</v>
      </c>
      <c r="D563" s="6" t="s">
        <v>3175</v>
      </c>
      <c r="E563" s="6" t="s">
        <v>22</v>
      </c>
      <c r="F563" s="6" t="s">
        <v>3048</v>
      </c>
      <c r="G563" s="6" t="s">
        <v>3049</v>
      </c>
      <c r="H563" s="6" t="s">
        <v>3050</v>
      </c>
      <c r="I563" s="6" t="s">
        <v>3176</v>
      </c>
      <c r="J563" s="6" t="s">
        <v>3177</v>
      </c>
      <c r="K563" s="6" t="s">
        <v>29</v>
      </c>
      <c r="L563" s="10" t="s">
        <v>30</v>
      </c>
    </row>
    <row r="564" ht="15.75" hidden="1" customHeight="1">
      <c r="A564" s="6" t="s">
        <v>3178</v>
      </c>
      <c r="B564" s="6" t="s">
        <v>3179</v>
      </c>
      <c r="C564" s="6" t="s">
        <v>242</v>
      </c>
      <c r="D564" s="6" t="s">
        <v>3180</v>
      </c>
      <c r="E564" s="6" t="s">
        <v>22</v>
      </c>
      <c r="F564" s="6" t="s">
        <v>23</v>
      </c>
      <c r="G564" s="6" t="s">
        <v>24</v>
      </c>
      <c r="H564" s="6" t="s">
        <v>25</v>
      </c>
      <c r="I564" s="6" t="s">
        <v>3181</v>
      </c>
      <c r="J564" s="6" t="s">
        <v>3182</v>
      </c>
      <c r="K564" s="6" t="s">
        <v>29</v>
      </c>
      <c r="L564" s="10" t="s">
        <v>30</v>
      </c>
    </row>
    <row r="565" ht="15.75" hidden="1" customHeight="1">
      <c r="A565" s="6" t="s">
        <v>3183</v>
      </c>
      <c r="B565" s="6" t="s">
        <v>3184</v>
      </c>
      <c r="C565" s="6" t="s">
        <v>242</v>
      </c>
      <c r="D565" s="6" t="s">
        <v>3185</v>
      </c>
      <c r="E565" s="6" t="s">
        <v>22</v>
      </c>
      <c r="F565" s="6" t="s">
        <v>23</v>
      </c>
      <c r="G565" s="6" t="s">
        <v>24</v>
      </c>
      <c r="H565" s="6" t="s">
        <v>25</v>
      </c>
      <c r="I565" s="6" t="s">
        <v>3186</v>
      </c>
      <c r="J565" s="6" t="s">
        <v>3187</v>
      </c>
      <c r="K565" s="6" t="s">
        <v>29</v>
      </c>
      <c r="L565" s="10" t="s">
        <v>30</v>
      </c>
    </row>
    <row r="566" ht="15.75" hidden="1" customHeight="1">
      <c r="A566" s="6" t="s">
        <v>3188</v>
      </c>
      <c r="B566" s="6" t="s">
        <v>3189</v>
      </c>
      <c r="C566" s="6" t="s">
        <v>242</v>
      </c>
      <c r="D566" s="6" t="s">
        <v>3190</v>
      </c>
      <c r="E566" s="6" t="s">
        <v>22</v>
      </c>
      <c r="F566" s="6" t="s">
        <v>3100</v>
      </c>
      <c r="G566" s="6" t="s">
        <v>3191</v>
      </c>
      <c r="H566" s="6" t="s">
        <v>3192</v>
      </c>
      <c r="I566" s="6" t="s">
        <v>3193</v>
      </c>
      <c r="J566" s="6" t="s">
        <v>3194</v>
      </c>
      <c r="K566" s="6" t="s">
        <v>29</v>
      </c>
      <c r="L566" s="10" t="s">
        <v>30</v>
      </c>
    </row>
    <row r="567" ht="15.75" hidden="1" customHeight="1">
      <c r="A567" s="6" t="s">
        <v>3195</v>
      </c>
      <c r="B567" s="6" t="s">
        <v>3196</v>
      </c>
      <c r="C567" s="6" t="s">
        <v>242</v>
      </c>
      <c r="D567" s="6" t="s">
        <v>3197</v>
      </c>
      <c r="E567" s="6" t="s">
        <v>22</v>
      </c>
      <c r="F567" s="6" t="s">
        <v>3100</v>
      </c>
      <c r="G567" s="6" t="s">
        <v>3191</v>
      </c>
      <c r="H567" s="6" t="s">
        <v>3192</v>
      </c>
      <c r="I567" s="6" t="s">
        <v>3198</v>
      </c>
      <c r="J567" s="6" t="s">
        <v>3199</v>
      </c>
      <c r="K567" s="6" t="s">
        <v>29</v>
      </c>
      <c r="L567" s="10" t="s">
        <v>30</v>
      </c>
    </row>
    <row r="568" ht="15.75" hidden="1" customHeight="1">
      <c r="A568" s="6" t="s">
        <v>3200</v>
      </c>
      <c r="B568" s="6" t="s">
        <v>3201</v>
      </c>
      <c r="C568" s="6" t="s">
        <v>242</v>
      </c>
      <c r="D568" s="6" t="s">
        <v>3202</v>
      </c>
      <c r="E568" s="6" t="s">
        <v>22</v>
      </c>
      <c r="F568" s="6" t="s">
        <v>1322</v>
      </c>
      <c r="G568" s="6" t="s">
        <v>3203</v>
      </c>
      <c r="H568" s="6" t="s">
        <v>3204</v>
      </c>
      <c r="I568" s="6" t="s">
        <v>3205</v>
      </c>
      <c r="J568" s="6" t="s">
        <v>3206</v>
      </c>
      <c r="K568" s="6" t="s">
        <v>29</v>
      </c>
      <c r="L568" s="10" t="s">
        <v>30</v>
      </c>
    </row>
    <row r="569" ht="15.75" hidden="1" customHeight="1">
      <c r="A569" s="6" t="s">
        <v>3207</v>
      </c>
      <c r="B569" s="6" t="s">
        <v>3208</v>
      </c>
      <c r="C569" s="6" t="s">
        <v>242</v>
      </c>
      <c r="D569" s="6" t="s">
        <v>3209</v>
      </c>
      <c r="E569" s="6" t="s">
        <v>22</v>
      </c>
      <c r="F569" s="6" t="s">
        <v>1322</v>
      </c>
      <c r="G569" s="6" t="s">
        <v>3203</v>
      </c>
      <c r="H569" s="6" t="s">
        <v>3204</v>
      </c>
      <c r="I569" s="6" t="s">
        <v>3210</v>
      </c>
      <c r="J569" s="6" t="s">
        <v>3211</v>
      </c>
      <c r="K569" s="6" t="s">
        <v>29</v>
      </c>
      <c r="L569" s="10" t="s">
        <v>30</v>
      </c>
    </row>
    <row r="570" ht="15.75" hidden="1" customHeight="1">
      <c r="A570" s="6" t="s">
        <v>3212</v>
      </c>
      <c r="B570" s="6" t="s">
        <v>3213</v>
      </c>
      <c r="C570" s="6" t="s">
        <v>242</v>
      </c>
      <c r="D570" s="6" t="s">
        <v>3214</v>
      </c>
      <c r="E570" s="6" t="s">
        <v>22</v>
      </c>
      <c r="F570" s="6" t="s">
        <v>3100</v>
      </c>
      <c r="G570" s="6" t="s">
        <v>3191</v>
      </c>
      <c r="H570" s="6" t="s">
        <v>3192</v>
      </c>
      <c r="I570" s="6" t="s">
        <v>3215</v>
      </c>
      <c r="J570" s="6" t="s">
        <v>3216</v>
      </c>
      <c r="K570" s="6" t="s">
        <v>29</v>
      </c>
      <c r="L570" s="10" t="s">
        <v>30</v>
      </c>
    </row>
    <row r="571" ht="15.75" hidden="1" customHeight="1">
      <c r="A571" s="6" t="s">
        <v>3217</v>
      </c>
      <c r="B571" s="6" t="s">
        <v>3218</v>
      </c>
      <c r="C571" s="6" t="s">
        <v>242</v>
      </c>
      <c r="D571" s="6" t="s">
        <v>3219</v>
      </c>
      <c r="E571" s="6" t="s">
        <v>22</v>
      </c>
      <c r="F571" s="6" t="s">
        <v>3100</v>
      </c>
      <c r="G571" s="6" t="s">
        <v>3191</v>
      </c>
      <c r="H571" s="6" t="s">
        <v>3192</v>
      </c>
      <c r="I571" s="6" t="s">
        <v>3220</v>
      </c>
      <c r="J571" s="6" t="s">
        <v>3221</v>
      </c>
      <c r="K571" s="6" t="s">
        <v>29</v>
      </c>
      <c r="L571" s="10" t="s">
        <v>30</v>
      </c>
    </row>
    <row r="572" ht="15.75" hidden="1" customHeight="1">
      <c r="A572" s="6" t="s">
        <v>3222</v>
      </c>
      <c r="B572" s="6" t="s">
        <v>3223</v>
      </c>
      <c r="C572" s="6" t="s">
        <v>242</v>
      </c>
      <c r="D572" s="6" t="s">
        <v>3224</v>
      </c>
      <c r="E572" s="6" t="s">
        <v>22</v>
      </c>
      <c r="F572" s="6" t="s">
        <v>1322</v>
      </c>
      <c r="G572" s="6" t="s">
        <v>3080</v>
      </c>
      <c r="H572" s="6" t="s">
        <v>3081</v>
      </c>
      <c r="I572" s="6" t="s">
        <v>3225</v>
      </c>
      <c r="J572" s="6" t="s">
        <v>3226</v>
      </c>
      <c r="K572" s="6" t="s">
        <v>29</v>
      </c>
      <c r="L572" s="10" t="s">
        <v>30</v>
      </c>
    </row>
    <row r="573" ht="15.75" hidden="1" customHeight="1">
      <c r="A573" s="6" t="s">
        <v>3227</v>
      </c>
      <c r="B573" s="6" t="s">
        <v>3228</v>
      </c>
      <c r="C573" s="6" t="s">
        <v>242</v>
      </c>
      <c r="D573" s="6" t="s">
        <v>3229</v>
      </c>
      <c r="E573" s="6" t="s">
        <v>22</v>
      </c>
      <c r="F573" s="6" t="s">
        <v>3087</v>
      </c>
      <c r="G573" s="6" t="s">
        <v>3230</v>
      </c>
      <c r="H573" s="6" t="s">
        <v>3231</v>
      </c>
      <c r="I573" s="6" t="s">
        <v>3232</v>
      </c>
      <c r="J573" s="6" t="s">
        <v>3233</v>
      </c>
      <c r="K573" s="6" t="s">
        <v>29</v>
      </c>
      <c r="L573" s="10" t="s">
        <v>30</v>
      </c>
    </row>
    <row r="574" ht="15.75" hidden="1" customHeight="1">
      <c r="A574" s="6" t="s">
        <v>3234</v>
      </c>
      <c r="B574" s="6" t="s">
        <v>3235</v>
      </c>
      <c r="C574" s="6" t="s">
        <v>242</v>
      </c>
      <c r="D574" s="6" t="s">
        <v>3236</v>
      </c>
      <c r="E574" s="6" t="s">
        <v>22</v>
      </c>
      <c r="F574" s="6" t="s">
        <v>3048</v>
      </c>
      <c r="G574" s="6" t="s">
        <v>3049</v>
      </c>
      <c r="H574" s="6" t="s">
        <v>3050</v>
      </c>
      <c r="I574" s="6" t="s">
        <v>3237</v>
      </c>
      <c r="J574" s="6" t="s">
        <v>3238</v>
      </c>
      <c r="K574" s="6" t="s">
        <v>29</v>
      </c>
      <c r="L574" s="10" t="s">
        <v>30</v>
      </c>
    </row>
    <row r="575" ht="15.75" hidden="1" customHeight="1">
      <c r="A575" s="6" t="s">
        <v>3239</v>
      </c>
      <c r="B575" s="6" t="s">
        <v>3240</v>
      </c>
      <c r="C575" s="6" t="s">
        <v>242</v>
      </c>
      <c r="D575" s="6" t="s">
        <v>3241</v>
      </c>
      <c r="E575" s="6" t="s">
        <v>22</v>
      </c>
      <c r="F575" s="6" t="s">
        <v>3163</v>
      </c>
      <c r="G575" s="6" t="s">
        <v>3242</v>
      </c>
      <c r="H575" s="6" t="s">
        <v>3243</v>
      </c>
      <c r="I575" s="6" t="s">
        <v>3244</v>
      </c>
      <c r="J575" s="6" t="s">
        <v>3245</v>
      </c>
      <c r="K575" s="6" t="s">
        <v>29</v>
      </c>
      <c r="L575" s="10" t="s">
        <v>30</v>
      </c>
    </row>
    <row r="576" ht="15.75" hidden="1" customHeight="1">
      <c r="A576" s="6" t="s">
        <v>3246</v>
      </c>
      <c r="B576" s="6" t="s">
        <v>3247</v>
      </c>
      <c r="C576" s="6" t="s">
        <v>242</v>
      </c>
      <c r="D576" s="6" t="s">
        <v>3248</v>
      </c>
      <c r="E576" s="6" t="s">
        <v>22</v>
      </c>
      <c r="F576" s="6" t="s">
        <v>3163</v>
      </c>
      <c r="G576" s="6" t="s">
        <v>3242</v>
      </c>
      <c r="H576" s="6" t="s">
        <v>3243</v>
      </c>
      <c r="I576" s="6" t="s">
        <v>3249</v>
      </c>
      <c r="J576" s="6" t="s">
        <v>3250</v>
      </c>
      <c r="K576" s="6" t="s">
        <v>29</v>
      </c>
      <c r="L576" s="10" t="s">
        <v>30</v>
      </c>
    </row>
    <row r="577" ht="15.75" hidden="1" customHeight="1">
      <c r="A577" s="6" t="s">
        <v>3251</v>
      </c>
      <c r="B577" s="6" t="s">
        <v>3252</v>
      </c>
      <c r="C577" s="6" t="s">
        <v>242</v>
      </c>
      <c r="D577" s="6" t="s">
        <v>3253</v>
      </c>
      <c r="E577" s="6" t="s">
        <v>22</v>
      </c>
      <c r="F577" s="6" t="s">
        <v>1322</v>
      </c>
      <c r="G577" s="6" t="s">
        <v>1323</v>
      </c>
      <c r="H577" s="6" t="s">
        <v>1324</v>
      </c>
      <c r="I577" s="6" t="s">
        <v>3254</v>
      </c>
      <c r="J577" s="6" t="s">
        <v>3255</v>
      </c>
      <c r="K577" s="6" t="s">
        <v>29</v>
      </c>
      <c r="L577" s="10" t="s">
        <v>30</v>
      </c>
    </row>
    <row r="578" ht="15.75" hidden="1" customHeight="1">
      <c r="A578" s="6" t="s">
        <v>3256</v>
      </c>
      <c r="B578" s="6" t="s">
        <v>3257</v>
      </c>
      <c r="C578" s="6" t="s">
        <v>242</v>
      </c>
      <c r="D578" s="6" t="s">
        <v>3258</v>
      </c>
      <c r="E578" s="6" t="s">
        <v>22</v>
      </c>
      <c r="F578" s="6" t="s">
        <v>3100</v>
      </c>
      <c r="G578" s="6" t="s">
        <v>3122</v>
      </c>
      <c r="H578" s="6" t="s">
        <v>3123</v>
      </c>
      <c r="I578" s="6" t="s">
        <v>3259</v>
      </c>
      <c r="J578" s="6" t="s">
        <v>3260</v>
      </c>
      <c r="K578" s="6" t="s">
        <v>29</v>
      </c>
      <c r="L578" s="10" t="s">
        <v>30</v>
      </c>
    </row>
    <row r="579" ht="15.75" hidden="1" customHeight="1">
      <c r="A579" s="6" t="s">
        <v>3261</v>
      </c>
      <c r="B579" s="6" t="s">
        <v>3262</v>
      </c>
      <c r="C579" s="6" t="s">
        <v>263</v>
      </c>
      <c r="D579" s="6" t="s">
        <v>21</v>
      </c>
      <c r="E579" s="6" t="s">
        <v>22</v>
      </c>
      <c r="F579" s="6" t="s">
        <v>23</v>
      </c>
      <c r="G579" s="6" t="s">
        <v>24</v>
      </c>
      <c r="H579" s="6" t="s">
        <v>25</v>
      </c>
      <c r="I579" s="6" t="s">
        <v>3263</v>
      </c>
      <c r="J579" s="6" t="s">
        <v>3264</v>
      </c>
      <c r="K579" s="6" t="s">
        <v>29</v>
      </c>
      <c r="L579" s="10" t="s">
        <v>30</v>
      </c>
    </row>
    <row r="580" ht="15.75" hidden="1" customHeight="1">
      <c r="A580" s="6" t="s">
        <v>3265</v>
      </c>
      <c r="B580" s="6" t="s">
        <v>3266</v>
      </c>
      <c r="C580" s="6" t="s">
        <v>263</v>
      </c>
      <c r="D580" s="6" t="s">
        <v>3267</v>
      </c>
      <c r="E580" s="6" t="s">
        <v>22</v>
      </c>
      <c r="F580" s="6" t="s">
        <v>3048</v>
      </c>
      <c r="G580" s="6" t="s">
        <v>3129</v>
      </c>
      <c r="H580" s="6" t="s">
        <v>3130</v>
      </c>
      <c r="I580" s="6" t="s">
        <v>3268</v>
      </c>
      <c r="J580" s="6" t="s">
        <v>3269</v>
      </c>
      <c r="K580" s="6" t="s">
        <v>29</v>
      </c>
      <c r="L580" s="10" t="s">
        <v>30</v>
      </c>
    </row>
    <row r="581" ht="15.75" hidden="1" customHeight="1">
      <c r="A581" s="6" t="s">
        <v>3270</v>
      </c>
      <c r="B581" s="6" t="s">
        <v>3271</v>
      </c>
      <c r="C581" s="6" t="s">
        <v>263</v>
      </c>
      <c r="D581" s="6" t="s">
        <v>3272</v>
      </c>
      <c r="E581" s="6" t="s">
        <v>22</v>
      </c>
      <c r="F581" s="6" t="s">
        <v>3048</v>
      </c>
      <c r="G581" s="6" t="s">
        <v>3129</v>
      </c>
      <c r="H581" s="6" t="s">
        <v>3130</v>
      </c>
      <c r="I581" s="6" t="s">
        <v>3273</v>
      </c>
      <c r="J581" s="6" t="s">
        <v>3274</v>
      </c>
      <c r="K581" s="6" t="s">
        <v>29</v>
      </c>
      <c r="L581" s="10" t="s">
        <v>30</v>
      </c>
    </row>
    <row r="582" ht="15.75" hidden="1" customHeight="1">
      <c r="A582" s="6" t="s">
        <v>3275</v>
      </c>
      <c r="B582" s="6" t="s">
        <v>3276</v>
      </c>
      <c r="C582" s="6" t="s">
        <v>263</v>
      </c>
      <c r="D582" s="6" t="s">
        <v>3277</v>
      </c>
      <c r="E582" s="6" t="s">
        <v>22</v>
      </c>
      <c r="F582" s="6" t="s">
        <v>3048</v>
      </c>
      <c r="G582" s="6" t="s">
        <v>3129</v>
      </c>
      <c r="H582" s="6" t="s">
        <v>3130</v>
      </c>
      <c r="I582" s="6" t="s">
        <v>3278</v>
      </c>
      <c r="J582" s="6" t="s">
        <v>3279</v>
      </c>
      <c r="K582" s="6" t="s">
        <v>29</v>
      </c>
      <c r="L582" s="10" t="s">
        <v>30</v>
      </c>
    </row>
    <row r="583" ht="15.75" hidden="1" customHeight="1">
      <c r="A583" s="6" t="s">
        <v>3280</v>
      </c>
      <c r="B583" s="6" t="s">
        <v>3281</v>
      </c>
      <c r="C583" s="6" t="s">
        <v>263</v>
      </c>
      <c r="D583" s="6" t="s">
        <v>3282</v>
      </c>
      <c r="E583" s="6" t="s">
        <v>22</v>
      </c>
      <c r="F583" s="6" t="s">
        <v>3048</v>
      </c>
      <c r="G583" s="6" t="s">
        <v>3129</v>
      </c>
      <c r="H583" s="6" t="s">
        <v>3130</v>
      </c>
      <c r="I583" s="6" t="s">
        <v>3283</v>
      </c>
      <c r="J583" s="6" t="s">
        <v>3284</v>
      </c>
      <c r="K583" s="6" t="s">
        <v>29</v>
      </c>
      <c r="L583" s="10" t="s">
        <v>30</v>
      </c>
    </row>
    <row r="584" ht="15.75" hidden="1" customHeight="1">
      <c r="A584" s="6" t="s">
        <v>3285</v>
      </c>
      <c r="B584" s="6" t="s">
        <v>3286</v>
      </c>
      <c r="C584" s="6" t="s">
        <v>263</v>
      </c>
      <c r="D584" s="6" t="s">
        <v>3287</v>
      </c>
      <c r="E584" s="6" t="s">
        <v>22</v>
      </c>
      <c r="F584" s="6" t="s">
        <v>3048</v>
      </c>
      <c r="G584" s="6" t="s">
        <v>3129</v>
      </c>
      <c r="H584" s="6" t="s">
        <v>3130</v>
      </c>
      <c r="I584" s="6" t="s">
        <v>3288</v>
      </c>
      <c r="J584" s="6" t="s">
        <v>3289</v>
      </c>
      <c r="K584" s="6" t="s">
        <v>29</v>
      </c>
      <c r="L584" s="10" t="s">
        <v>30</v>
      </c>
    </row>
    <row r="585" ht="15.75" hidden="1" customHeight="1">
      <c r="A585" s="6" t="s">
        <v>3290</v>
      </c>
      <c r="B585" s="6" t="s">
        <v>3291</v>
      </c>
      <c r="C585" s="6" t="s">
        <v>263</v>
      </c>
      <c r="D585" s="6" t="s">
        <v>3292</v>
      </c>
      <c r="E585" s="6" t="s">
        <v>22</v>
      </c>
      <c r="F585" s="6" t="s">
        <v>3048</v>
      </c>
      <c r="G585" s="6" t="s">
        <v>3129</v>
      </c>
      <c r="H585" s="6" t="s">
        <v>3130</v>
      </c>
      <c r="I585" s="6" t="s">
        <v>3293</v>
      </c>
      <c r="J585" s="6" t="s">
        <v>3294</v>
      </c>
      <c r="K585" s="6" t="s">
        <v>29</v>
      </c>
      <c r="L585" s="10" t="s">
        <v>30</v>
      </c>
    </row>
    <row r="586" ht="15.75" hidden="1" customHeight="1">
      <c r="A586" s="6" t="s">
        <v>3295</v>
      </c>
      <c r="B586" s="6" t="s">
        <v>3296</v>
      </c>
      <c r="C586" s="6" t="s">
        <v>263</v>
      </c>
      <c r="D586" s="6" t="s">
        <v>3297</v>
      </c>
      <c r="E586" s="6" t="s">
        <v>22</v>
      </c>
      <c r="F586" s="6" t="s">
        <v>3048</v>
      </c>
      <c r="G586" s="6" t="s">
        <v>3129</v>
      </c>
      <c r="H586" s="6" t="s">
        <v>3130</v>
      </c>
      <c r="I586" s="6" t="s">
        <v>3298</v>
      </c>
      <c r="J586" s="6" t="s">
        <v>3299</v>
      </c>
      <c r="K586" s="6" t="s">
        <v>509</v>
      </c>
      <c r="L586" s="14" t="s">
        <v>55</v>
      </c>
    </row>
    <row r="587" ht="15.75" hidden="1" customHeight="1">
      <c r="A587" s="6" t="s">
        <v>3300</v>
      </c>
      <c r="B587" s="6" t="s">
        <v>3301</v>
      </c>
      <c r="C587" s="6" t="s">
        <v>263</v>
      </c>
      <c r="D587" s="6" t="s">
        <v>3302</v>
      </c>
      <c r="E587" s="6" t="s">
        <v>22</v>
      </c>
      <c r="F587" s="6" t="s">
        <v>3048</v>
      </c>
      <c r="G587" s="6" t="s">
        <v>3129</v>
      </c>
      <c r="H587" s="6" t="s">
        <v>3130</v>
      </c>
      <c r="I587" s="6" t="s">
        <v>3303</v>
      </c>
      <c r="J587" s="6" t="s">
        <v>3304</v>
      </c>
      <c r="K587" s="6" t="s">
        <v>509</v>
      </c>
      <c r="L587" s="10" t="s">
        <v>609</v>
      </c>
    </row>
    <row r="588" ht="15.75" hidden="1" customHeight="1">
      <c r="A588" s="6" t="s">
        <v>3305</v>
      </c>
      <c r="B588" s="6" t="s">
        <v>3306</v>
      </c>
      <c r="C588" s="6" t="s">
        <v>263</v>
      </c>
      <c r="D588" s="6" t="s">
        <v>3307</v>
      </c>
      <c r="E588" s="6" t="s">
        <v>22</v>
      </c>
      <c r="F588" s="6" t="s">
        <v>3048</v>
      </c>
      <c r="G588" s="6" t="s">
        <v>3129</v>
      </c>
      <c r="H588" s="6" t="s">
        <v>3130</v>
      </c>
      <c r="I588" s="6" t="s">
        <v>3308</v>
      </c>
      <c r="J588" s="6" t="s">
        <v>3309</v>
      </c>
      <c r="K588" s="6" t="s">
        <v>509</v>
      </c>
      <c r="L588" s="10" t="s">
        <v>609</v>
      </c>
    </row>
    <row r="589" ht="15.75" hidden="1" customHeight="1">
      <c r="A589" s="6" t="s">
        <v>3310</v>
      </c>
      <c r="B589" s="6" t="s">
        <v>3311</v>
      </c>
      <c r="C589" s="6" t="s">
        <v>263</v>
      </c>
      <c r="D589" s="6" t="s">
        <v>3312</v>
      </c>
      <c r="E589" s="6" t="s">
        <v>22</v>
      </c>
      <c r="F589" s="6" t="s">
        <v>3048</v>
      </c>
      <c r="G589" s="6" t="s">
        <v>3129</v>
      </c>
      <c r="H589" s="6" t="s">
        <v>3130</v>
      </c>
      <c r="I589" s="6" t="s">
        <v>3313</v>
      </c>
      <c r="J589" s="6" t="s">
        <v>3314</v>
      </c>
      <c r="K589" s="6" t="s">
        <v>509</v>
      </c>
      <c r="L589" s="14" t="s">
        <v>55</v>
      </c>
    </row>
    <row r="590" ht="15.75" hidden="1" customHeight="1">
      <c r="A590" s="6" t="s">
        <v>3315</v>
      </c>
      <c r="B590" s="6" t="s">
        <v>3316</v>
      </c>
      <c r="C590" s="6" t="s">
        <v>263</v>
      </c>
      <c r="D590" s="6" t="s">
        <v>3317</v>
      </c>
      <c r="E590" s="6" t="s">
        <v>22</v>
      </c>
      <c r="F590" s="6" t="s">
        <v>3048</v>
      </c>
      <c r="G590" s="6" t="s">
        <v>3129</v>
      </c>
      <c r="H590" s="6" t="s">
        <v>3130</v>
      </c>
      <c r="I590" s="6" t="s">
        <v>3318</v>
      </c>
      <c r="J590" s="6" t="s">
        <v>3319</v>
      </c>
      <c r="K590" s="6" t="s">
        <v>29</v>
      </c>
      <c r="L590" s="10" t="s">
        <v>30</v>
      </c>
    </row>
    <row r="591" ht="15.75" hidden="1" customHeight="1">
      <c r="A591" s="6" t="s">
        <v>3320</v>
      </c>
      <c r="B591" s="6" t="s">
        <v>3321</v>
      </c>
      <c r="C591" s="6" t="s">
        <v>263</v>
      </c>
      <c r="D591" s="6" t="s">
        <v>3322</v>
      </c>
      <c r="E591" s="6" t="s">
        <v>22</v>
      </c>
      <c r="F591" s="6" t="s">
        <v>3048</v>
      </c>
      <c r="G591" s="6" t="s">
        <v>3129</v>
      </c>
      <c r="H591" s="6" t="s">
        <v>3130</v>
      </c>
      <c r="I591" s="6" t="s">
        <v>3323</v>
      </c>
      <c r="J591" s="6" t="s">
        <v>3324</v>
      </c>
      <c r="K591" s="6" t="s">
        <v>29</v>
      </c>
      <c r="L591" s="10" t="s">
        <v>30</v>
      </c>
    </row>
    <row r="592" ht="15.75" hidden="1" customHeight="1">
      <c r="A592" s="6" t="s">
        <v>3325</v>
      </c>
      <c r="B592" s="6" t="s">
        <v>3326</v>
      </c>
      <c r="C592" s="6" t="s">
        <v>263</v>
      </c>
      <c r="D592" s="6" t="s">
        <v>3327</v>
      </c>
      <c r="E592" s="6" t="s">
        <v>22</v>
      </c>
      <c r="F592" s="6" t="s">
        <v>3048</v>
      </c>
      <c r="G592" s="6" t="s">
        <v>3129</v>
      </c>
      <c r="H592" s="6" t="s">
        <v>3130</v>
      </c>
      <c r="I592" s="6" t="s">
        <v>3328</v>
      </c>
      <c r="J592" s="6" t="s">
        <v>3329</v>
      </c>
      <c r="K592" s="6" t="s">
        <v>29</v>
      </c>
      <c r="L592" s="10" t="s">
        <v>30</v>
      </c>
    </row>
    <row r="593" ht="15.75" hidden="1" customHeight="1">
      <c r="A593" s="6" t="s">
        <v>3330</v>
      </c>
      <c r="B593" s="6" t="s">
        <v>3331</v>
      </c>
      <c r="C593" s="6" t="s">
        <v>263</v>
      </c>
      <c r="D593" s="6" t="s">
        <v>3332</v>
      </c>
      <c r="E593" s="6" t="s">
        <v>22</v>
      </c>
      <c r="F593" s="6" t="s">
        <v>3163</v>
      </c>
      <c r="G593" s="6" t="s">
        <v>3164</v>
      </c>
      <c r="H593" s="6" t="s">
        <v>3165</v>
      </c>
      <c r="I593" s="6" t="s">
        <v>3333</v>
      </c>
      <c r="J593" s="6" t="s">
        <v>3334</v>
      </c>
      <c r="K593" s="6" t="s">
        <v>29</v>
      </c>
      <c r="L593" s="10" t="s">
        <v>30</v>
      </c>
    </row>
    <row r="594" ht="15.75" hidden="1" customHeight="1">
      <c r="A594" s="6" t="s">
        <v>3335</v>
      </c>
      <c r="B594" s="6" t="s">
        <v>3336</v>
      </c>
      <c r="C594" s="6" t="s">
        <v>263</v>
      </c>
      <c r="D594" s="6" t="s">
        <v>3337</v>
      </c>
      <c r="E594" s="6" t="s">
        <v>22</v>
      </c>
      <c r="F594" s="6" t="s">
        <v>3048</v>
      </c>
      <c r="G594" s="6" t="s">
        <v>3129</v>
      </c>
      <c r="H594" s="6" t="s">
        <v>3130</v>
      </c>
      <c r="I594" s="6" t="s">
        <v>3338</v>
      </c>
      <c r="J594" s="6" t="s">
        <v>3339</v>
      </c>
      <c r="K594" s="6" t="s">
        <v>29</v>
      </c>
      <c r="L594" s="10" t="s">
        <v>30</v>
      </c>
    </row>
    <row r="595" ht="15.75" hidden="1" customHeight="1">
      <c r="A595" s="6" t="s">
        <v>3340</v>
      </c>
      <c r="B595" s="6" t="s">
        <v>3341</v>
      </c>
      <c r="C595" s="6" t="s">
        <v>263</v>
      </c>
      <c r="D595" s="6" t="s">
        <v>3342</v>
      </c>
      <c r="E595" s="6" t="s">
        <v>22</v>
      </c>
      <c r="F595" s="6" t="s">
        <v>3048</v>
      </c>
      <c r="G595" s="6" t="s">
        <v>3115</v>
      </c>
      <c r="H595" s="6" t="s">
        <v>3116</v>
      </c>
      <c r="I595" s="6" t="s">
        <v>3343</v>
      </c>
      <c r="J595" s="6" t="s">
        <v>3344</v>
      </c>
      <c r="K595" s="6" t="s">
        <v>29</v>
      </c>
      <c r="L595" s="10" t="s">
        <v>30</v>
      </c>
    </row>
    <row r="596" ht="15.75" hidden="1" customHeight="1">
      <c r="A596" s="6" t="s">
        <v>3345</v>
      </c>
      <c r="B596" s="6" t="s">
        <v>3346</v>
      </c>
      <c r="C596" s="6" t="s">
        <v>285</v>
      </c>
      <c r="D596" s="6" t="s">
        <v>21</v>
      </c>
      <c r="E596" s="6" t="s">
        <v>22</v>
      </c>
      <c r="F596" s="6" t="s">
        <v>23</v>
      </c>
      <c r="G596" s="6" t="s">
        <v>24</v>
      </c>
      <c r="H596" s="6" t="s">
        <v>25</v>
      </c>
      <c r="I596" s="6" t="s">
        <v>3347</v>
      </c>
      <c r="J596" s="6" t="s">
        <v>3348</v>
      </c>
      <c r="K596" s="6" t="s">
        <v>29</v>
      </c>
      <c r="L596" s="10" t="s">
        <v>30</v>
      </c>
    </row>
    <row r="597" ht="15.75" hidden="1" customHeight="1">
      <c r="A597" s="6" t="s">
        <v>3349</v>
      </c>
      <c r="B597" s="6" t="s">
        <v>3350</v>
      </c>
      <c r="C597" s="6" t="s">
        <v>285</v>
      </c>
      <c r="D597" s="6" t="s">
        <v>3351</v>
      </c>
      <c r="E597" s="6" t="s">
        <v>22</v>
      </c>
      <c r="F597" s="6" t="s">
        <v>3100</v>
      </c>
      <c r="G597" s="6" t="s">
        <v>3191</v>
      </c>
      <c r="H597" s="6" t="s">
        <v>3192</v>
      </c>
      <c r="I597" s="6" t="s">
        <v>3352</v>
      </c>
      <c r="J597" s="6" t="s">
        <v>3353</v>
      </c>
      <c r="K597" s="6" t="s">
        <v>587</v>
      </c>
      <c r="L597" s="10" t="s">
        <v>30</v>
      </c>
    </row>
    <row r="598" ht="15.75" hidden="1" customHeight="1">
      <c r="A598" s="6" t="s">
        <v>3354</v>
      </c>
      <c r="B598" s="6" t="s">
        <v>3355</v>
      </c>
      <c r="C598" s="6" t="s">
        <v>285</v>
      </c>
      <c r="D598" s="6" t="s">
        <v>3356</v>
      </c>
      <c r="E598" s="6" t="s">
        <v>22</v>
      </c>
      <c r="F598" s="6" t="s">
        <v>3100</v>
      </c>
      <c r="G598" s="6" t="s">
        <v>3191</v>
      </c>
      <c r="H598" s="6" t="s">
        <v>3192</v>
      </c>
      <c r="I598" s="6" t="s">
        <v>3357</v>
      </c>
      <c r="J598" s="6" t="s">
        <v>3358</v>
      </c>
      <c r="K598" s="6" t="s">
        <v>587</v>
      </c>
      <c r="L598" s="10" t="s">
        <v>30</v>
      </c>
    </row>
    <row r="599" ht="15.75" hidden="1" customHeight="1">
      <c r="A599" s="6" t="s">
        <v>3359</v>
      </c>
      <c r="B599" s="6" t="s">
        <v>3360</v>
      </c>
      <c r="C599" s="6" t="s">
        <v>285</v>
      </c>
      <c r="D599" s="6" t="s">
        <v>3361</v>
      </c>
      <c r="E599" s="6" t="s">
        <v>22</v>
      </c>
      <c r="F599" s="6" t="s">
        <v>3100</v>
      </c>
      <c r="G599" s="6" t="s">
        <v>3191</v>
      </c>
      <c r="H599" s="6" t="s">
        <v>3192</v>
      </c>
      <c r="I599" s="6" t="s">
        <v>3362</v>
      </c>
      <c r="J599" s="6" t="s">
        <v>3363</v>
      </c>
      <c r="K599" s="6" t="s">
        <v>587</v>
      </c>
      <c r="L599" s="10" t="s">
        <v>30</v>
      </c>
    </row>
    <row r="600" ht="15.75" hidden="1" customHeight="1">
      <c r="A600" s="6" t="s">
        <v>3364</v>
      </c>
      <c r="B600" s="6" t="s">
        <v>3365</v>
      </c>
      <c r="C600" s="6" t="s">
        <v>285</v>
      </c>
      <c r="D600" s="6" t="s">
        <v>3366</v>
      </c>
      <c r="E600" s="6" t="s">
        <v>22</v>
      </c>
      <c r="F600" s="6" t="s">
        <v>3100</v>
      </c>
      <c r="G600" s="6" t="s">
        <v>3191</v>
      </c>
      <c r="H600" s="6" t="s">
        <v>3192</v>
      </c>
      <c r="I600" s="6" t="s">
        <v>3367</v>
      </c>
      <c r="J600" s="6" t="s">
        <v>3368</v>
      </c>
      <c r="K600" s="6" t="s">
        <v>587</v>
      </c>
      <c r="L600" s="10" t="s">
        <v>30</v>
      </c>
    </row>
    <row r="601" ht="15.75" hidden="1" customHeight="1">
      <c r="A601" s="6" t="s">
        <v>3369</v>
      </c>
      <c r="B601" s="6" t="s">
        <v>3370</v>
      </c>
      <c r="C601" s="6" t="s">
        <v>285</v>
      </c>
      <c r="D601" s="6" t="s">
        <v>3371</v>
      </c>
      <c r="E601" s="6" t="s">
        <v>22</v>
      </c>
      <c r="F601" s="6" t="s">
        <v>3100</v>
      </c>
      <c r="G601" s="6" t="s">
        <v>3191</v>
      </c>
      <c r="H601" s="6" t="s">
        <v>3192</v>
      </c>
      <c r="I601" s="6" t="s">
        <v>3372</v>
      </c>
      <c r="J601" s="6" t="s">
        <v>3373</v>
      </c>
      <c r="K601" s="6" t="s">
        <v>587</v>
      </c>
      <c r="L601" s="10" t="s">
        <v>30</v>
      </c>
    </row>
    <row r="602" ht="15.75" hidden="1" customHeight="1">
      <c r="A602" s="6" t="s">
        <v>3374</v>
      </c>
      <c r="B602" s="6" t="s">
        <v>3375</v>
      </c>
      <c r="C602" s="6" t="s">
        <v>285</v>
      </c>
      <c r="D602" s="6" t="s">
        <v>3376</v>
      </c>
      <c r="E602" s="6" t="s">
        <v>22</v>
      </c>
      <c r="F602" s="6" t="s">
        <v>3100</v>
      </c>
      <c r="G602" s="6" t="s">
        <v>3191</v>
      </c>
      <c r="H602" s="6" t="s">
        <v>3192</v>
      </c>
      <c r="I602" s="6" t="s">
        <v>3377</v>
      </c>
      <c r="J602" s="6" t="s">
        <v>3378</v>
      </c>
      <c r="K602" s="6" t="s">
        <v>587</v>
      </c>
      <c r="L602" s="10" t="s">
        <v>30</v>
      </c>
    </row>
    <row r="603" ht="15.75" hidden="1" customHeight="1">
      <c r="A603" s="6" t="s">
        <v>3379</v>
      </c>
      <c r="B603" s="6" t="s">
        <v>3380</v>
      </c>
      <c r="C603" s="6" t="s">
        <v>285</v>
      </c>
      <c r="D603" s="6" t="s">
        <v>3381</v>
      </c>
      <c r="E603" s="6" t="s">
        <v>22</v>
      </c>
      <c r="F603" s="6" t="s">
        <v>3100</v>
      </c>
      <c r="G603" s="6" t="s">
        <v>3191</v>
      </c>
      <c r="H603" s="6" t="s">
        <v>3192</v>
      </c>
      <c r="I603" s="6" t="s">
        <v>3382</v>
      </c>
      <c r="J603" s="6" t="s">
        <v>3383</v>
      </c>
      <c r="K603" s="6" t="s">
        <v>587</v>
      </c>
      <c r="L603" s="10" t="s">
        <v>30</v>
      </c>
    </row>
    <row r="604" ht="15.75" hidden="1" customHeight="1">
      <c r="A604" s="6" t="s">
        <v>3384</v>
      </c>
      <c r="B604" s="6" t="s">
        <v>3385</v>
      </c>
      <c r="C604" s="6" t="s">
        <v>285</v>
      </c>
      <c r="D604" s="6" t="s">
        <v>3386</v>
      </c>
      <c r="E604" s="6" t="s">
        <v>22</v>
      </c>
      <c r="F604" s="6" t="s">
        <v>3100</v>
      </c>
      <c r="G604" s="6" t="s">
        <v>3191</v>
      </c>
      <c r="H604" s="6" t="s">
        <v>3192</v>
      </c>
      <c r="I604" s="6" t="s">
        <v>3387</v>
      </c>
      <c r="J604" s="6" t="s">
        <v>3388</v>
      </c>
      <c r="K604" s="6" t="s">
        <v>587</v>
      </c>
      <c r="L604" s="10" t="s">
        <v>30</v>
      </c>
    </row>
    <row r="605" ht="15.75" hidden="1" customHeight="1">
      <c r="A605" s="6" t="s">
        <v>3389</v>
      </c>
      <c r="B605" s="6" t="s">
        <v>3390</v>
      </c>
      <c r="C605" s="6" t="s">
        <v>285</v>
      </c>
      <c r="D605" s="6" t="s">
        <v>3391</v>
      </c>
      <c r="E605" s="6" t="s">
        <v>22</v>
      </c>
      <c r="F605" s="6" t="s">
        <v>3100</v>
      </c>
      <c r="G605" s="6" t="s">
        <v>3191</v>
      </c>
      <c r="H605" s="6" t="s">
        <v>3192</v>
      </c>
      <c r="I605" s="6" t="s">
        <v>3392</v>
      </c>
      <c r="J605" s="6" t="s">
        <v>3393</v>
      </c>
      <c r="K605" s="6" t="s">
        <v>587</v>
      </c>
      <c r="L605" s="10" t="s">
        <v>30</v>
      </c>
    </row>
    <row r="606" ht="15.75" hidden="1" customHeight="1">
      <c r="A606" s="6" t="s">
        <v>3394</v>
      </c>
      <c r="B606" s="6" t="s">
        <v>3395</v>
      </c>
      <c r="C606" s="6" t="s">
        <v>285</v>
      </c>
      <c r="D606" s="6" t="s">
        <v>3396</v>
      </c>
      <c r="E606" s="6" t="s">
        <v>22</v>
      </c>
      <c r="F606" s="6" t="s">
        <v>3100</v>
      </c>
      <c r="G606" s="6" t="s">
        <v>3191</v>
      </c>
      <c r="H606" s="6" t="s">
        <v>3192</v>
      </c>
      <c r="I606" s="6" t="s">
        <v>3397</v>
      </c>
      <c r="J606" s="6" t="s">
        <v>3398</v>
      </c>
      <c r="K606" s="6" t="s">
        <v>587</v>
      </c>
      <c r="L606" s="10" t="s">
        <v>30</v>
      </c>
    </row>
    <row r="607" ht="15.75" hidden="1" customHeight="1">
      <c r="A607" s="6" t="s">
        <v>3399</v>
      </c>
      <c r="B607" s="6" t="s">
        <v>3400</v>
      </c>
      <c r="C607" s="6" t="s">
        <v>285</v>
      </c>
      <c r="D607" s="6" t="s">
        <v>3401</v>
      </c>
      <c r="E607" s="6" t="s">
        <v>22</v>
      </c>
      <c r="F607" s="6" t="s">
        <v>3100</v>
      </c>
      <c r="G607" s="6" t="s">
        <v>3191</v>
      </c>
      <c r="H607" s="6" t="s">
        <v>3192</v>
      </c>
      <c r="I607" s="6" t="s">
        <v>3402</v>
      </c>
      <c r="J607" s="6" t="s">
        <v>3403</v>
      </c>
      <c r="K607" s="6" t="s">
        <v>587</v>
      </c>
      <c r="L607" s="10" t="s">
        <v>30</v>
      </c>
    </row>
    <row r="608" ht="15.75" hidden="1" customHeight="1">
      <c r="A608" s="6" t="s">
        <v>3404</v>
      </c>
      <c r="B608" s="6" t="s">
        <v>3405</v>
      </c>
      <c r="C608" s="6" t="s">
        <v>285</v>
      </c>
      <c r="D608" s="6" t="s">
        <v>3406</v>
      </c>
      <c r="E608" s="6" t="s">
        <v>22</v>
      </c>
      <c r="F608" s="6" t="s">
        <v>3100</v>
      </c>
      <c r="G608" s="6" t="s">
        <v>3191</v>
      </c>
      <c r="H608" s="6" t="s">
        <v>3192</v>
      </c>
      <c r="I608" s="6" t="s">
        <v>3407</v>
      </c>
      <c r="J608" s="6" t="s">
        <v>3408</v>
      </c>
      <c r="K608" s="6" t="s">
        <v>587</v>
      </c>
      <c r="L608" s="10" t="s">
        <v>30</v>
      </c>
    </row>
    <row r="609" ht="15.75" hidden="1" customHeight="1">
      <c r="A609" s="6" t="s">
        <v>3409</v>
      </c>
      <c r="B609" s="6" t="s">
        <v>3410</v>
      </c>
      <c r="C609" s="6" t="s">
        <v>285</v>
      </c>
      <c r="D609" s="6" t="s">
        <v>3411</v>
      </c>
      <c r="E609" s="6" t="s">
        <v>22</v>
      </c>
      <c r="F609" s="6" t="s">
        <v>3100</v>
      </c>
      <c r="G609" s="6" t="s">
        <v>3191</v>
      </c>
      <c r="H609" s="6" t="s">
        <v>3192</v>
      </c>
      <c r="I609" s="6" t="s">
        <v>3412</v>
      </c>
      <c r="J609" s="6" t="s">
        <v>3413</v>
      </c>
      <c r="K609" s="6" t="s">
        <v>587</v>
      </c>
      <c r="L609" s="10" t="s">
        <v>30</v>
      </c>
    </row>
    <row r="610" ht="15.75" hidden="1" customHeight="1">
      <c r="A610" s="6" t="s">
        <v>3414</v>
      </c>
      <c r="B610" s="6" t="s">
        <v>3415</v>
      </c>
      <c r="C610" s="6" t="s">
        <v>285</v>
      </c>
      <c r="D610" s="6" t="s">
        <v>3416</v>
      </c>
      <c r="E610" s="6" t="s">
        <v>22</v>
      </c>
      <c r="F610" s="6" t="s">
        <v>3100</v>
      </c>
      <c r="G610" s="6" t="s">
        <v>3191</v>
      </c>
      <c r="H610" s="6" t="s">
        <v>3192</v>
      </c>
      <c r="I610" s="6" t="s">
        <v>3417</v>
      </c>
      <c r="J610" s="6" t="s">
        <v>3418</v>
      </c>
      <c r="K610" s="6" t="s">
        <v>587</v>
      </c>
      <c r="L610" s="10" t="s">
        <v>30</v>
      </c>
    </row>
    <row r="611" ht="15.75" hidden="1" customHeight="1">
      <c r="A611" s="6" t="s">
        <v>3419</v>
      </c>
      <c r="B611" s="6" t="s">
        <v>3420</v>
      </c>
      <c r="C611" s="6" t="s">
        <v>285</v>
      </c>
      <c r="D611" s="6" t="s">
        <v>3421</v>
      </c>
      <c r="E611" s="6" t="s">
        <v>22</v>
      </c>
      <c r="F611" s="6" t="s">
        <v>3100</v>
      </c>
      <c r="G611" s="6" t="s">
        <v>3191</v>
      </c>
      <c r="H611" s="6" t="s">
        <v>3192</v>
      </c>
      <c r="I611" s="6" t="s">
        <v>3422</v>
      </c>
      <c r="J611" s="6" t="s">
        <v>3423</v>
      </c>
      <c r="K611" s="6" t="s">
        <v>587</v>
      </c>
      <c r="L611" s="10" t="s">
        <v>30</v>
      </c>
    </row>
    <row r="612" ht="15.75" hidden="1" customHeight="1">
      <c r="A612" s="6" t="s">
        <v>3424</v>
      </c>
      <c r="B612" s="6" t="s">
        <v>3425</v>
      </c>
      <c r="C612" s="6" t="s">
        <v>285</v>
      </c>
      <c r="D612" s="6" t="s">
        <v>3426</v>
      </c>
      <c r="E612" s="6" t="s">
        <v>22</v>
      </c>
      <c r="F612" s="6" t="s">
        <v>3100</v>
      </c>
      <c r="G612" s="6" t="s">
        <v>3191</v>
      </c>
      <c r="H612" s="6" t="s">
        <v>3192</v>
      </c>
      <c r="I612" s="6" t="s">
        <v>3427</v>
      </c>
      <c r="J612" s="6" t="s">
        <v>3428</v>
      </c>
      <c r="K612" s="6" t="s">
        <v>587</v>
      </c>
      <c r="L612" s="10" t="s">
        <v>30</v>
      </c>
    </row>
    <row r="613" ht="15.75" hidden="1" customHeight="1">
      <c r="A613" s="6" t="s">
        <v>3429</v>
      </c>
      <c r="B613" s="6" t="s">
        <v>3430</v>
      </c>
      <c r="C613" s="6" t="s">
        <v>285</v>
      </c>
      <c r="D613" s="6" t="s">
        <v>3431</v>
      </c>
      <c r="E613" s="6" t="s">
        <v>22</v>
      </c>
      <c r="F613" s="6" t="s">
        <v>3100</v>
      </c>
      <c r="G613" s="6" t="s">
        <v>3191</v>
      </c>
      <c r="H613" s="6" t="s">
        <v>3192</v>
      </c>
      <c r="I613" s="6" t="s">
        <v>3432</v>
      </c>
      <c r="J613" s="6" t="s">
        <v>3433</v>
      </c>
      <c r="K613" s="6" t="s">
        <v>587</v>
      </c>
      <c r="L613" s="10" t="s">
        <v>30</v>
      </c>
    </row>
    <row r="614" ht="15.75" hidden="1" customHeight="1">
      <c r="A614" s="6" t="s">
        <v>3434</v>
      </c>
      <c r="B614" s="6" t="s">
        <v>3435</v>
      </c>
      <c r="C614" s="6" t="s">
        <v>285</v>
      </c>
      <c r="D614" s="6" t="s">
        <v>3436</v>
      </c>
      <c r="E614" s="6" t="s">
        <v>22</v>
      </c>
      <c r="F614" s="6" t="s">
        <v>3100</v>
      </c>
      <c r="G614" s="6" t="s">
        <v>3191</v>
      </c>
      <c r="H614" s="6" t="s">
        <v>3192</v>
      </c>
      <c r="I614" s="6" t="s">
        <v>3437</v>
      </c>
      <c r="J614" s="6" t="s">
        <v>3438</v>
      </c>
      <c r="K614" s="6" t="s">
        <v>587</v>
      </c>
      <c r="L614" s="10" t="s">
        <v>30</v>
      </c>
    </row>
    <row r="615" ht="15.75" hidden="1" customHeight="1">
      <c r="A615" s="6" t="s">
        <v>3439</v>
      </c>
      <c r="B615" s="6" t="s">
        <v>3440</v>
      </c>
      <c r="C615" s="6" t="s">
        <v>285</v>
      </c>
      <c r="D615" s="6" t="s">
        <v>3441</v>
      </c>
      <c r="E615" s="6" t="s">
        <v>22</v>
      </c>
      <c r="F615" s="6" t="s">
        <v>3100</v>
      </c>
      <c r="G615" s="6" t="s">
        <v>3191</v>
      </c>
      <c r="H615" s="6" t="s">
        <v>3192</v>
      </c>
      <c r="I615" s="6" t="s">
        <v>3442</v>
      </c>
      <c r="J615" s="6" t="s">
        <v>3443</v>
      </c>
      <c r="K615" s="6" t="s">
        <v>587</v>
      </c>
      <c r="L615" s="10" t="s">
        <v>30</v>
      </c>
    </row>
    <row r="616" ht="15.75" hidden="1" customHeight="1">
      <c r="A616" s="6" t="s">
        <v>3444</v>
      </c>
      <c r="B616" s="6" t="s">
        <v>3445</v>
      </c>
      <c r="C616" s="6" t="s">
        <v>285</v>
      </c>
      <c r="D616" s="6" t="s">
        <v>3446</v>
      </c>
      <c r="E616" s="6" t="s">
        <v>22</v>
      </c>
      <c r="F616" s="6" t="s">
        <v>3100</v>
      </c>
      <c r="G616" s="6" t="s">
        <v>3191</v>
      </c>
      <c r="H616" s="6" t="s">
        <v>3192</v>
      </c>
      <c r="I616" s="6" t="s">
        <v>3447</v>
      </c>
      <c r="J616" s="6" t="s">
        <v>3448</v>
      </c>
      <c r="K616" s="6" t="s">
        <v>587</v>
      </c>
      <c r="L616" s="10" t="s">
        <v>30</v>
      </c>
    </row>
    <row r="617" ht="15.75" hidden="1" customHeight="1">
      <c r="A617" s="6" t="s">
        <v>3449</v>
      </c>
      <c r="B617" s="6" t="s">
        <v>3450</v>
      </c>
      <c r="C617" s="6" t="s">
        <v>314</v>
      </c>
      <c r="D617" s="6" t="s">
        <v>21</v>
      </c>
      <c r="E617" s="6" t="s">
        <v>22</v>
      </c>
      <c r="F617" s="6" t="s">
        <v>23</v>
      </c>
      <c r="G617" s="6" t="s">
        <v>24</v>
      </c>
      <c r="H617" s="6" t="s">
        <v>25</v>
      </c>
      <c r="I617" s="6" t="s">
        <v>3451</v>
      </c>
      <c r="J617" s="6" t="s">
        <v>3452</v>
      </c>
      <c r="K617" s="6" t="s">
        <v>29</v>
      </c>
      <c r="L617" s="10" t="s">
        <v>30</v>
      </c>
    </row>
    <row r="618" ht="15.75" hidden="1" customHeight="1">
      <c r="A618" s="6" t="s">
        <v>3453</v>
      </c>
      <c r="B618" s="6" t="s">
        <v>3454</v>
      </c>
      <c r="C618" s="6" t="s">
        <v>314</v>
      </c>
      <c r="D618" s="6" t="s">
        <v>3455</v>
      </c>
      <c r="E618" s="6" t="s">
        <v>331</v>
      </c>
      <c r="F618" s="6" t="s">
        <v>1591</v>
      </c>
      <c r="G618" s="6" t="s">
        <v>3456</v>
      </c>
      <c r="H618" s="6" t="s">
        <v>3457</v>
      </c>
      <c r="I618" s="6" t="s">
        <v>3458</v>
      </c>
      <c r="J618" s="6" t="s">
        <v>3459</v>
      </c>
      <c r="K618" s="6" t="s">
        <v>29</v>
      </c>
      <c r="L618" s="10" t="s">
        <v>30</v>
      </c>
    </row>
    <row r="619" ht="15.75" hidden="1" customHeight="1">
      <c r="A619" s="6" t="s">
        <v>3460</v>
      </c>
      <c r="B619" s="6" t="s">
        <v>3461</v>
      </c>
      <c r="C619" s="6" t="s">
        <v>314</v>
      </c>
      <c r="D619" s="6" t="s">
        <v>3462</v>
      </c>
      <c r="E619" s="6" t="s">
        <v>331</v>
      </c>
      <c r="F619" s="6" t="s">
        <v>1591</v>
      </c>
      <c r="G619" s="6" t="s">
        <v>3456</v>
      </c>
      <c r="H619" s="6" t="s">
        <v>3457</v>
      </c>
      <c r="I619" s="6" t="s">
        <v>3463</v>
      </c>
      <c r="J619" s="6" t="s">
        <v>3464</v>
      </c>
      <c r="K619" s="6" t="s">
        <v>29</v>
      </c>
      <c r="L619" s="10" t="s">
        <v>30</v>
      </c>
    </row>
    <row r="620" ht="15.75" hidden="1" customHeight="1">
      <c r="A620" s="6" t="s">
        <v>3465</v>
      </c>
      <c r="B620" s="6" t="s">
        <v>3466</v>
      </c>
      <c r="C620" s="6" t="s">
        <v>314</v>
      </c>
      <c r="D620" s="6" t="s">
        <v>3467</v>
      </c>
      <c r="E620" s="6" t="s">
        <v>331</v>
      </c>
      <c r="F620" s="6" t="s">
        <v>1309</v>
      </c>
      <c r="G620" s="6" t="s">
        <v>3468</v>
      </c>
      <c r="H620" s="6" t="s">
        <v>3469</v>
      </c>
      <c r="I620" s="6" t="s">
        <v>3470</v>
      </c>
      <c r="J620" s="6" t="s">
        <v>3471</v>
      </c>
      <c r="K620" s="6" t="s">
        <v>29</v>
      </c>
      <c r="L620" s="10" t="s">
        <v>30</v>
      </c>
    </row>
    <row r="621" ht="15.75" hidden="1" customHeight="1">
      <c r="A621" s="6" t="s">
        <v>3472</v>
      </c>
      <c r="B621" s="6" t="s">
        <v>3473</v>
      </c>
      <c r="C621" s="6" t="s">
        <v>314</v>
      </c>
      <c r="D621" s="6" t="s">
        <v>3474</v>
      </c>
      <c r="E621" s="6" t="s">
        <v>331</v>
      </c>
      <c r="F621" s="6" t="s">
        <v>1309</v>
      </c>
      <c r="G621" s="6" t="s">
        <v>3468</v>
      </c>
      <c r="H621" s="6" t="s">
        <v>3469</v>
      </c>
      <c r="I621" s="6" t="s">
        <v>3475</v>
      </c>
      <c r="J621" s="6" t="s">
        <v>3476</v>
      </c>
      <c r="K621" s="6" t="s">
        <v>29</v>
      </c>
      <c r="L621" s="10" t="s">
        <v>30</v>
      </c>
    </row>
    <row r="622" ht="15.75" hidden="1" customHeight="1">
      <c r="A622" s="6" t="s">
        <v>3477</v>
      </c>
      <c r="B622" s="6" t="s">
        <v>3478</v>
      </c>
      <c r="C622" s="6" t="s">
        <v>314</v>
      </c>
      <c r="D622" s="6" t="s">
        <v>3479</v>
      </c>
      <c r="E622" s="6" t="s">
        <v>331</v>
      </c>
      <c r="F622" s="6" t="s">
        <v>1309</v>
      </c>
      <c r="G622" s="6" t="s">
        <v>3468</v>
      </c>
      <c r="H622" s="6" t="s">
        <v>3469</v>
      </c>
      <c r="I622" s="6" t="s">
        <v>3480</v>
      </c>
      <c r="J622" s="6" t="s">
        <v>3481</v>
      </c>
      <c r="K622" s="6" t="s">
        <v>29</v>
      </c>
      <c r="L622" s="10" t="s">
        <v>30</v>
      </c>
    </row>
    <row r="623" ht="15.75" hidden="1" customHeight="1">
      <c r="A623" s="6" t="s">
        <v>3482</v>
      </c>
      <c r="B623" s="6" t="s">
        <v>3483</v>
      </c>
      <c r="C623" s="6" t="s">
        <v>314</v>
      </c>
      <c r="D623" s="6" t="s">
        <v>3484</v>
      </c>
      <c r="E623" s="6" t="s">
        <v>331</v>
      </c>
      <c r="F623" s="6" t="s">
        <v>1309</v>
      </c>
      <c r="G623" s="6" t="s">
        <v>3468</v>
      </c>
      <c r="H623" s="6" t="s">
        <v>3469</v>
      </c>
      <c r="I623" s="6" t="s">
        <v>3485</v>
      </c>
      <c r="J623" s="6" t="s">
        <v>3486</v>
      </c>
      <c r="K623" s="6" t="s">
        <v>29</v>
      </c>
      <c r="L623" s="10" t="s">
        <v>30</v>
      </c>
    </row>
    <row r="624" ht="15.75" hidden="1" customHeight="1">
      <c r="A624" s="6" t="s">
        <v>3487</v>
      </c>
      <c r="B624" s="6" t="s">
        <v>3488</v>
      </c>
      <c r="C624" s="6" t="s">
        <v>314</v>
      </c>
      <c r="D624" s="6" t="s">
        <v>3489</v>
      </c>
      <c r="E624" s="6" t="s">
        <v>331</v>
      </c>
      <c r="F624" s="6" t="s">
        <v>1309</v>
      </c>
      <c r="G624" s="6" t="s">
        <v>3468</v>
      </c>
      <c r="H624" s="6" t="s">
        <v>3469</v>
      </c>
      <c r="I624" s="6" t="s">
        <v>3490</v>
      </c>
      <c r="J624" s="6" t="s">
        <v>3491</v>
      </c>
      <c r="K624" s="6" t="s">
        <v>29</v>
      </c>
      <c r="L624" s="10" t="s">
        <v>30</v>
      </c>
    </row>
    <row r="625" ht="15.75" customHeight="1">
      <c r="A625" s="6" t="s">
        <v>3492</v>
      </c>
      <c r="B625" s="6" t="s">
        <v>3493</v>
      </c>
      <c r="C625" s="6" t="s">
        <v>314</v>
      </c>
      <c r="D625" s="6" t="s">
        <v>3494</v>
      </c>
      <c r="E625" s="6" t="s">
        <v>331</v>
      </c>
      <c r="F625" s="6" t="s">
        <v>1309</v>
      </c>
      <c r="G625" s="6" t="s">
        <v>1370</v>
      </c>
      <c r="H625" s="6" t="s">
        <v>1371</v>
      </c>
      <c r="I625" s="6" t="s">
        <v>3495</v>
      </c>
      <c r="J625" s="6" t="s">
        <v>3496</v>
      </c>
      <c r="K625" s="6" t="s">
        <v>3497</v>
      </c>
      <c r="L625" s="12" t="s">
        <v>43</v>
      </c>
    </row>
    <row r="626" ht="15.75" customHeight="1">
      <c r="A626" s="6" t="s">
        <v>3498</v>
      </c>
      <c r="B626" s="6" t="s">
        <v>3499</v>
      </c>
      <c r="C626" s="6" t="s">
        <v>314</v>
      </c>
      <c r="D626" s="6" t="s">
        <v>3500</v>
      </c>
      <c r="E626" s="6" t="s">
        <v>331</v>
      </c>
      <c r="F626" s="6" t="s">
        <v>1309</v>
      </c>
      <c r="G626" s="6" t="s">
        <v>1370</v>
      </c>
      <c r="H626" s="6" t="s">
        <v>1371</v>
      </c>
      <c r="I626" s="6" t="s">
        <v>3501</v>
      </c>
      <c r="J626" s="6" t="s">
        <v>3502</v>
      </c>
      <c r="K626" s="6" t="s">
        <v>3497</v>
      </c>
      <c r="L626" s="14" t="s">
        <v>55</v>
      </c>
    </row>
    <row r="627" ht="15.75" customHeight="1">
      <c r="A627" s="6" t="s">
        <v>3503</v>
      </c>
      <c r="B627" s="6" t="s">
        <v>3504</v>
      </c>
      <c r="C627" s="6" t="s">
        <v>314</v>
      </c>
      <c r="D627" s="6" t="s">
        <v>3505</v>
      </c>
      <c r="E627" s="6" t="s">
        <v>331</v>
      </c>
      <c r="F627" s="6" t="s">
        <v>1309</v>
      </c>
      <c r="G627" s="6" t="s">
        <v>1370</v>
      </c>
      <c r="H627" s="6" t="s">
        <v>1371</v>
      </c>
      <c r="I627" s="6" t="s">
        <v>3506</v>
      </c>
      <c r="J627" s="6" t="s">
        <v>3507</v>
      </c>
      <c r="K627" s="6" t="s">
        <v>3497</v>
      </c>
      <c r="L627" s="14" t="s">
        <v>55</v>
      </c>
    </row>
    <row r="628" ht="15.75" customHeight="1">
      <c r="A628" s="6" t="s">
        <v>3508</v>
      </c>
      <c r="B628" s="6" t="s">
        <v>3509</v>
      </c>
      <c r="C628" s="6" t="s">
        <v>314</v>
      </c>
      <c r="D628" s="6" t="s">
        <v>3510</v>
      </c>
      <c r="E628" s="6" t="s">
        <v>331</v>
      </c>
      <c r="F628" s="6" t="s">
        <v>1309</v>
      </c>
      <c r="G628" s="6" t="s">
        <v>1370</v>
      </c>
      <c r="H628" s="6" t="s">
        <v>1371</v>
      </c>
      <c r="I628" s="6" t="s">
        <v>3511</v>
      </c>
      <c r="J628" s="6" t="s">
        <v>3512</v>
      </c>
      <c r="K628" s="6" t="s">
        <v>3497</v>
      </c>
      <c r="L628" s="14" t="s">
        <v>55</v>
      </c>
    </row>
    <row r="629" ht="15.75" customHeight="1">
      <c r="A629" s="6" t="s">
        <v>3513</v>
      </c>
      <c r="B629" s="6" t="s">
        <v>3514</v>
      </c>
      <c r="C629" s="6" t="s">
        <v>314</v>
      </c>
      <c r="D629" s="6" t="s">
        <v>3515</v>
      </c>
      <c r="E629" s="6" t="s">
        <v>331</v>
      </c>
      <c r="F629" s="6" t="s">
        <v>1309</v>
      </c>
      <c r="G629" s="6" t="s">
        <v>1370</v>
      </c>
      <c r="H629" s="6" t="s">
        <v>1371</v>
      </c>
      <c r="I629" s="6" t="s">
        <v>3516</v>
      </c>
      <c r="J629" s="6" t="s">
        <v>3517</v>
      </c>
      <c r="K629" s="6" t="s">
        <v>3497</v>
      </c>
      <c r="L629" s="12" t="s">
        <v>43</v>
      </c>
    </row>
    <row r="630" ht="15.75" customHeight="1">
      <c r="A630" s="6" t="s">
        <v>3518</v>
      </c>
      <c r="B630" s="6" t="s">
        <v>3519</v>
      </c>
      <c r="C630" s="6" t="s">
        <v>314</v>
      </c>
      <c r="D630" s="6" t="s">
        <v>3520</v>
      </c>
      <c r="E630" s="6" t="s">
        <v>331</v>
      </c>
      <c r="F630" s="6" t="s">
        <v>1309</v>
      </c>
      <c r="G630" s="6" t="s">
        <v>1370</v>
      </c>
      <c r="H630" s="6" t="s">
        <v>1371</v>
      </c>
      <c r="I630" s="6" t="s">
        <v>3521</v>
      </c>
      <c r="J630" s="6" t="s">
        <v>3522</v>
      </c>
      <c r="K630" s="6" t="s">
        <v>3497</v>
      </c>
      <c r="L630" s="14" t="s">
        <v>55</v>
      </c>
    </row>
    <row r="631" ht="15.75" customHeight="1">
      <c r="A631" s="6" t="s">
        <v>3523</v>
      </c>
      <c r="B631" s="6" t="s">
        <v>3524</v>
      </c>
      <c r="C631" s="6" t="s">
        <v>314</v>
      </c>
      <c r="D631" s="6" t="s">
        <v>3525</v>
      </c>
      <c r="E631" s="6" t="s">
        <v>331</v>
      </c>
      <c r="F631" s="6" t="s">
        <v>1309</v>
      </c>
      <c r="G631" s="6" t="s">
        <v>1370</v>
      </c>
      <c r="H631" s="6" t="s">
        <v>1371</v>
      </c>
      <c r="I631" s="6" t="s">
        <v>3526</v>
      </c>
      <c r="J631" s="6" t="s">
        <v>3527</v>
      </c>
      <c r="K631" s="6" t="s">
        <v>3497</v>
      </c>
      <c r="L631" s="12" t="s">
        <v>43</v>
      </c>
    </row>
    <row r="632" ht="15.75" customHeight="1">
      <c r="A632" s="6" t="s">
        <v>3528</v>
      </c>
      <c r="B632" s="6" t="s">
        <v>3529</v>
      </c>
      <c r="C632" s="6" t="s">
        <v>314</v>
      </c>
      <c r="D632" s="6" t="s">
        <v>3530</v>
      </c>
      <c r="E632" s="6" t="s">
        <v>331</v>
      </c>
      <c r="F632" s="6" t="s">
        <v>1309</v>
      </c>
      <c r="G632" s="6" t="s">
        <v>1370</v>
      </c>
      <c r="H632" s="6" t="s">
        <v>1371</v>
      </c>
      <c r="I632" s="6" t="s">
        <v>3531</v>
      </c>
      <c r="J632" s="6" t="s">
        <v>3532</v>
      </c>
      <c r="K632" s="6" t="s">
        <v>3497</v>
      </c>
      <c r="L632" s="14" t="s">
        <v>55</v>
      </c>
    </row>
    <row r="633" ht="15.75" customHeight="1">
      <c r="A633" s="6" t="s">
        <v>3533</v>
      </c>
      <c r="B633" s="6" t="s">
        <v>3534</v>
      </c>
      <c r="C633" s="6" t="s">
        <v>314</v>
      </c>
      <c r="D633" s="6" t="s">
        <v>3535</v>
      </c>
      <c r="E633" s="6" t="s">
        <v>331</v>
      </c>
      <c r="F633" s="6" t="s">
        <v>1309</v>
      </c>
      <c r="G633" s="6" t="s">
        <v>1370</v>
      </c>
      <c r="H633" s="6" t="s">
        <v>1371</v>
      </c>
      <c r="I633" s="6" t="s">
        <v>3536</v>
      </c>
      <c r="J633" s="6" t="s">
        <v>3537</v>
      </c>
      <c r="K633" s="6" t="s">
        <v>3497</v>
      </c>
      <c r="L633" s="14" t="s">
        <v>55</v>
      </c>
    </row>
    <row r="634" ht="15.75" hidden="1" customHeight="1">
      <c r="A634" s="6" t="s">
        <v>3538</v>
      </c>
      <c r="B634" s="6" t="s">
        <v>3539</v>
      </c>
      <c r="C634" s="6" t="s">
        <v>314</v>
      </c>
      <c r="D634" s="6" t="s">
        <v>3540</v>
      </c>
      <c r="E634" s="6" t="s">
        <v>331</v>
      </c>
      <c r="F634" s="6" t="s">
        <v>1309</v>
      </c>
      <c r="G634" s="6" t="s">
        <v>1370</v>
      </c>
      <c r="H634" s="6" t="s">
        <v>1371</v>
      </c>
      <c r="I634" s="6" t="s">
        <v>3541</v>
      </c>
      <c r="J634" s="6" t="s">
        <v>3542</v>
      </c>
      <c r="K634" s="6" t="s">
        <v>29</v>
      </c>
      <c r="L634" s="10" t="s">
        <v>30</v>
      </c>
    </row>
    <row r="635" ht="15.75" hidden="1" customHeight="1">
      <c r="A635" s="6" t="s">
        <v>3543</v>
      </c>
      <c r="B635" s="6" t="s">
        <v>3544</v>
      </c>
      <c r="C635" s="6" t="s">
        <v>314</v>
      </c>
      <c r="D635" s="6" t="s">
        <v>3545</v>
      </c>
      <c r="E635" s="6" t="s">
        <v>331</v>
      </c>
      <c r="F635" s="6" t="s">
        <v>1309</v>
      </c>
      <c r="G635" s="6" t="s">
        <v>1310</v>
      </c>
      <c r="H635" s="6" t="s">
        <v>1311</v>
      </c>
      <c r="I635" s="6" t="s">
        <v>3546</v>
      </c>
      <c r="J635" s="6" t="s">
        <v>3547</v>
      </c>
      <c r="K635" s="6" t="s">
        <v>29</v>
      </c>
      <c r="L635" s="10" t="s">
        <v>30</v>
      </c>
    </row>
    <row r="636" ht="15.75" hidden="1" customHeight="1">
      <c r="A636" s="6" t="s">
        <v>3548</v>
      </c>
      <c r="B636" s="6" t="s">
        <v>3549</v>
      </c>
      <c r="C636" s="6" t="s">
        <v>314</v>
      </c>
      <c r="D636" s="6" t="s">
        <v>3550</v>
      </c>
      <c r="E636" s="6" t="s">
        <v>331</v>
      </c>
      <c r="F636" s="6" t="s">
        <v>1309</v>
      </c>
      <c r="G636" s="6" t="s">
        <v>3551</v>
      </c>
      <c r="H636" s="6" t="s">
        <v>3552</v>
      </c>
      <c r="I636" s="6" t="s">
        <v>3553</v>
      </c>
      <c r="J636" s="6" t="s">
        <v>3554</v>
      </c>
      <c r="K636" s="6" t="s">
        <v>29</v>
      </c>
      <c r="L636" s="10" t="s">
        <v>30</v>
      </c>
    </row>
    <row r="637" ht="15.75" hidden="1" customHeight="1">
      <c r="A637" s="6" t="s">
        <v>3555</v>
      </c>
      <c r="B637" s="6" t="s">
        <v>3556</v>
      </c>
      <c r="C637" s="6" t="s">
        <v>314</v>
      </c>
      <c r="D637" s="6" t="s">
        <v>3557</v>
      </c>
      <c r="E637" s="6" t="s">
        <v>331</v>
      </c>
      <c r="F637" s="6" t="s">
        <v>1591</v>
      </c>
      <c r="G637" s="6" t="s">
        <v>3456</v>
      </c>
      <c r="H637" s="6" t="s">
        <v>3457</v>
      </c>
      <c r="I637" s="6" t="s">
        <v>3558</v>
      </c>
      <c r="J637" s="6" t="s">
        <v>3559</v>
      </c>
      <c r="K637" s="6" t="s">
        <v>29</v>
      </c>
      <c r="L637" s="10" t="s">
        <v>30</v>
      </c>
    </row>
    <row r="638" ht="15.75" hidden="1" customHeight="1">
      <c r="A638" s="6" t="s">
        <v>3560</v>
      </c>
      <c r="B638" s="6" t="s">
        <v>3561</v>
      </c>
      <c r="C638" s="6" t="s">
        <v>314</v>
      </c>
      <c r="D638" s="6" t="s">
        <v>3562</v>
      </c>
      <c r="E638" s="6" t="s">
        <v>339</v>
      </c>
      <c r="F638" s="6" t="s">
        <v>1037</v>
      </c>
      <c r="G638" s="6" t="s">
        <v>1038</v>
      </c>
      <c r="H638" s="6" t="s">
        <v>1039</v>
      </c>
      <c r="I638" s="6" t="s">
        <v>3563</v>
      </c>
      <c r="J638" s="6" t="s">
        <v>3564</v>
      </c>
      <c r="K638" s="6" t="s">
        <v>1106</v>
      </c>
      <c r="L638" s="14" t="s">
        <v>55</v>
      </c>
    </row>
    <row r="639" ht="15.75" hidden="1" customHeight="1">
      <c r="A639" s="6" t="s">
        <v>3565</v>
      </c>
      <c r="B639" s="6" t="s">
        <v>3566</v>
      </c>
      <c r="C639" s="6" t="s">
        <v>352</v>
      </c>
      <c r="D639" s="6" t="s">
        <v>21</v>
      </c>
      <c r="E639" s="6" t="s">
        <v>22</v>
      </c>
      <c r="F639" s="6" t="s">
        <v>23</v>
      </c>
      <c r="G639" s="6" t="s">
        <v>24</v>
      </c>
      <c r="H639" s="6" t="s">
        <v>25</v>
      </c>
      <c r="I639" s="6" t="s">
        <v>3567</v>
      </c>
      <c r="J639" s="6" t="s">
        <v>3568</v>
      </c>
      <c r="K639" s="6" t="s">
        <v>29</v>
      </c>
      <c r="L639" s="10" t="s">
        <v>30</v>
      </c>
    </row>
    <row r="640" ht="15.75" hidden="1" customHeight="1">
      <c r="A640" s="6" t="s">
        <v>3569</v>
      </c>
      <c r="B640" s="6" t="s">
        <v>3570</v>
      </c>
      <c r="C640" s="6" t="s">
        <v>352</v>
      </c>
      <c r="D640" s="6" t="s">
        <v>3571</v>
      </c>
      <c r="E640" s="6" t="s">
        <v>22</v>
      </c>
      <c r="F640" s="6" t="s">
        <v>3048</v>
      </c>
      <c r="G640" s="6" t="s">
        <v>3056</v>
      </c>
      <c r="H640" s="6" t="s">
        <v>3057</v>
      </c>
      <c r="I640" s="6" t="s">
        <v>3572</v>
      </c>
      <c r="J640" s="6" t="s">
        <v>3573</v>
      </c>
      <c r="K640" s="6" t="s">
        <v>521</v>
      </c>
      <c r="L640" s="10" t="s">
        <v>30</v>
      </c>
    </row>
    <row r="641" ht="15.75" hidden="1" customHeight="1">
      <c r="A641" s="6" t="s">
        <v>3574</v>
      </c>
      <c r="B641" s="6" t="s">
        <v>3575</v>
      </c>
      <c r="C641" s="6" t="s">
        <v>352</v>
      </c>
      <c r="D641" s="6" t="s">
        <v>3576</v>
      </c>
      <c r="E641" s="6" t="s">
        <v>35</v>
      </c>
      <c r="F641" s="6" t="s">
        <v>787</v>
      </c>
      <c r="G641" s="6" t="s">
        <v>3577</v>
      </c>
      <c r="H641" s="6" t="s">
        <v>3578</v>
      </c>
      <c r="I641" s="6" t="s">
        <v>3579</v>
      </c>
      <c r="J641" s="6" t="s">
        <v>3580</v>
      </c>
      <c r="K641" s="6" t="s">
        <v>521</v>
      </c>
      <c r="L641" s="10" t="s">
        <v>30</v>
      </c>
    </row>
    <row r="642" ht="15.75" hidden="1" customHeight="1">
      <c r="A642" s="6" t="s">
        <v>3581</v>
      </c>
      <c r="B642" s="6" t="s">
        <v>3582</v>
      </c>
      <c r="C642" s="6" t="s">
        <v>352</v>
      </c>
      <c r="D642" s="6" t="s">
        <v>3583</v>
      </c>
      <c r="E642" s="6" t="s">
        <v>35</v>
      </c>
      <c r="F642" s="6" t="s">
        <v>787</v>
      </c>
      <c r="G642" s="6" t="s">
        <v>3577</v>
      </c>
      <c r="H642" s="6" t="s">
        <v>3578</v>
      </c>
      <c r="I642" s="6" t="s">
        <v>3584</v>
      </c>
      <c r="J642" s="6" t="s">
        <v>3585</v>
      </c>
      <c r="K642" s="6" t="s">
        <v>521</v>
      </c>
      <c r="L642" s="10" t="s">
        <v>30</v>
      </c>
    </row>
    <row r="643" ht="15.75" hidden="1" customHeight="1">
      <c r="A643" s="6" t="s">
        <v>3586</v>
      </c>
      <c r="B643" s="6" t="s">
        <v>3587</v>
      </c>
      <c r="C643" s="6" t="s">
        <v>352</v>
      </c>
      <c r="D643" s="6" t="s">
        <v>3588</v>
      </c>
      <c r="E643" s="6" t="s">
        <v>35</v>
      </c>
      <c r="F643" s="6" t="s">
        <v>787</v>
      </c>
      <c r="G643" s="6" t="s">
        <v>3577</v>
      </c>
      <c r="H643" s="6" t="s">
        <v>3578</v>
      </c>
      <c r="I643" s="6" t="s">
        <v>3589</v>
      </c>
      <c r="J643" s="6" t="s">
        <v>3590</v>
      </c>
      <c r="K643" s="6" t="s">
        <v>521</v>
      </c>
      <c r="L643" s="10" t="s">
        <v>30</v>
      </c>
    </row>
    <row r="644" ht="15.75" hidden="1" customHeight="1">
      <c r="A644" s="6" t="s">
        <v>3591</v>
      </c>
      <c r="B644" s="6" t="s">
        <v>3592</v>
      </c>
      <c r="C644" s="6" t="s">
        <v>352</v>
      </c>
      <c r="D644" s="6" t="s">
        <v>3593</v>
      </c>
      <c r="E644" s="6" t="s">
        <v>35</v>
      </c>
      <c r="F644" s="6" t="s">
        <v>787</v>
      </c>
      <c r="G644" s="6" t="s">
        <v>3577</v>
      </c>
      <c r="H644" s="6" t="s">
        <v>3578</v>
      </c>
      <c r="I644" s="6" t="s">
        <v>3594</v>
      </c>
      <c r="J644" s="6" t="s">
        <v>3595</v>
      </c>
      <c r="K644" s="6" t="s">
        <v>521</v>
      </c>
      <c r="L644" s="10" t="s">
        <v>30</v>
      </c>
    </row>
    <row r="645" ht="15.75" hidden="1" customHeight="1">
      <c r="A645" s="6" t="s">
        <v>3596</v>
      </c>
      <c r="B645" s="6" t="s">
        <v>3597</v>
      </c>
      <c r="C645" s="6" t="s">
        <v>352</v>
      </c>
      <c r="D645" s="6" t="s">
        <v>3598</v>
      </c>
      <c r="E645" s="6" t="s">
        <v>22</v>
      </c>
      <c r="F645" s="6" t="s">
        <v>3163</v>
      </c>
      <c r="G645" s="6" t="s">
        <v>3164</v>
      </c>
      <c r="H645" s="6" t="s">
        <v>3165</v>
      </c>
      <c r="I645" s="6" t="s">
        <v>3599</v>
      </c>
      <c r="J645" s="6" t="s">
        <v>3600</v>
      </c>
      <c r="K645" s="6" t="s">
        <v>521</v>
      </c>
      <c r="L645" s="10" t="s">
        <v>30</v>
      </c>
    </row>
    <row r="646" ht="15.75" hidden="1" customHeight="1">
      <c r="A646" s="6" t="s">
        <v>3601</v>
      </c>
      <c r="B646" s="6" t="s">
        <v>3602</v>
      </c>
      <c r="C646" s="6" t="s">
        <v>352</v>
      </c>
      <c r="D646" s="6" t="s">
        <v>3603</v>
      </c>
      <c r="E646" s="6" t="s">
        <v>22</v>
      </c>
      <c r="F646" s="6" t="s">
        <v>3163</v>
      </c>
      <c r="G646" s="6" t="s">
        <v>3164</v>
      </c>
      <c r="H646" s="6" t="s">
        <v>3165</v>
      </c>
      <c r="I646" s="6" t="s">
        <v>3604</v>
      </c>
      <c r="J646" s="6" t="s">
        <v>3605</v>
      </c>
      <c r="K646" s="6" t="s">
        <v>521</v>
      </c>
      <c r="L646" s="10" t="s">
        <v>30</v>
      </c>
    </row>
    <row r="647" ht="15.75" hidden="1" customHeight="1">
      <c r="A647" s="6" t="s">
        <v>3606</v>
      </c>
      <c r="B647" s="6" t="s">
        <v>3607</v>
      </c>
      <c r="C647" s="6" t="s">
        <v>352</v>
      </c>
      <c r="D647" s="6" t="s">
        <v>3608</v>
      </c>
      <c r="E647" s="6" t="s">
        <v>22</v>
      </c>
      <c r="F647" s="6" t="s">
        <v>3163</v>
      </c>
      <c r="G647" s="6" t="s">
        <v>3164</v>
      </c>
      <c r="H647" s="6" t="s">
        <v>3165</v>
      </c>
      <c r="I647" s="6" t="s">
        <v>3609</v>
      </c>
      <c r="J647" s="6" t="s">
        <v>3610</v>
      </c>
      <c r="K647" s="6" t="s">
        <v>521</v>
      </c>
      <c r="L647" s="10" t="s">
        <v>30</v>
      </c>
    </row>
    <row r="648" ht="15.75" hidden="1" customHeight="1">
      <c r="A648" s="6" t="s">
        <v>3611</v>
      </c>
      <c r="B648" s="6" t="s">
        <v>3612</v>
      </c>
      <c r="C648" s="6" t="s">
        <v>352</v>
      </c>
      <c r="D648" s="6" t="s">
        <v>3613</v>
      </c>
      <c r="E648" s="6" t="s">
        <v>22</v>
      </c>
      <c r="F648" s="6" t="s">
        <v>3163</v>
      </c>
      <c r="G648" s="6" t="s">
        <v>3164</v>
      </c>
      <c r="H648" s="6" t="s">
        <v>3165</v>
      </c>
      <c r="I648" s="6" t="s">
        <v>3614</v>
      </c>
      <c r="J648" s="6" t="s">
        <v>3615</v>
      </c>
      <c r="K648" s="6" t="s">
        <v>521</v>
      </c>
      <c r="L648" s="10" t="s">
        <v>30</v>
      </c>
    </row>
    <row r="649" ht="15.75" hidden="1" customHeight="1">
      <c r="A649" s="6" t="s">
        <v>3616</v>
      </c>
      <c r="B649" s="6" t="s">
        <v>3617</v>
      </c>
      <c r="C649" s="6" t="s">
        <v>352</v>
      </c>
      <c r="D649" s="6" t="s">
        <v>3618</v>
      </c>
      <c r="E649" s="6" t="s">
        <v>22</v>
      </c>
      <c r="F649" s="6" t="s">
        <v>3163</v>
      </c>
      <c r="G649" s="6" t="s">
        <v>3164</v>
      </c>
      <c r="H649" s="6" t="s">
        <v>3165</v>
      </c>
      <c r="I649" s="6" t="s">
        <v>3619</v>
      </c>
      <c r="J649" s="6" t="s">
        <v>3620</v>
      </c>
      <c r="K649" s="6" t="s">
        <v>521</v>
      </c>
      <c r="L649" s="10" t="s">
        <v>30</v>
      </c>
    </row>
    <row r="650" ht="15.75" hidden="1" customHeight="1">
      <c r="A650" s="6" t="s">
        <v>3621</v>
      </c>
      <c r="B650" s="6" t="s">
        <v>3622</v>
      </c>
      <c r="C650" s="6" t="s">
        <v>352</v>
      </c>
      <c r="D650" s="6" t="s">
        <v>3623</v>
      </c>
      <c r="E650" s="6" t="s">
        <v>22</v>
      </c>
      <c r="F650" s="6" t="s">
        <v>3163</v>
      </c>
      <c r="G650" s="6" t="s">
        <v>3164</v>
      </c>
      <c r="H650" s="6" t="s">
        <v>3165</v>
      </c>
      <c r="I650" s="6" t="s">
        <v>3624</v>
      </c>
      <c r="J650" s="6" t="s">
        <v>3625</v>
      </c>
      <c r="K650" s="6" t="s">
        <v>521</v>
      </c>
      <c r="L650" s="10" t="s">
        <v>30</v>
      </c>
    </row>
    <row r="651" ht="15.75" hidden="1" customHeight="1">
      <c r="A651" s="6" t="s">
        <v>3626</v>
      </c>
      <c r="B651" s="6" t="s">
        <v>3627</v>
      </c>
      <c r="C651" s="6" t="s">
        <v>352</v>
      </c>
      <c r="D651" s="6" t="s">
        <v>3628</v>
      </c>
      <c r="E651" s="6" t="s">
        <v>22</v>
      </c>
      <c r="F651" s="6" t="s">
        <v>3163</v>
      </c>
      <c r="G651" s="6" t="s">
        <v>3164</v>
      </c>
      <c r="H651" s="6" t="s">
        <v>3165</v>
      </c>
      <c r="I651" s="6" t="s">
        <v>3629</v>
      </c>
      <c r="J651" s="6" t="s">
        <v>3630</v>
      </c>
      <c r="K651" s="6" t="s">
        <v>521</v>
      </c>
      <c r="L651" s="10" t="s">
        <v>30</v>
      </c>
    </row>
    <row r="652" ht="15.75" hidden="1" customHeight="1">
      <c r="A652" s="6" t="s">
        <v>3631</v>
      </c>
      <c r="B652" s="6" t="s">
        <v>3632</v>
      </c>
      <c r="C652" s="6" t="s">
        <v>352</v>
      </c>
      <c r="D652" s="6" t="s">
        <v>3633</v>
      </c>
      <c r="E652" s="6" t="s">
        <v>22</v>
      </c>
      <c r="F652" s="6" t="s">
        <v>3163</v>
      </c>
      <c r="G652" s="6" t="s">
        <v>3164</v>
      </c>
      <c r="H652" s="6" t="s">
        <v>3165</v>
      </c>
      <c r="I652" s="6" t="s">
        <v>3634</v>
      </c>
      <c r="J652" s="6" t="s">
        <v>3635</v>
      </c>
      <c r="K652" s="6" t="s">
        <v>521</v>
      </c>
      <c r="L652" s="10" t="s">
        <v>30</v>
      </c>
    </row>
    <row r="653" ht="15.75" hidden="1" customHeight="1">
      <c r="A653" s="6" t="s">
        <v>3636</v>
      </c>
      <c r="B653" s="6" t="s">
        <v>3637</v>
      </c>
      <c r="C653" s="6" t="s">
        <v>352</v>
      </c>
      <c r="D653" s="6" t="s">
        <v>3638</v>
      </c>
      <c r="E653" s="6" t="s">
        <v>22</v>
      </c>
      <c r="F653" s="6" t="s">
        <v>3163</v>
      </c>
      <c r="G653" s="6" t="s">
        <v>3164</v>
      </c>
      <c r="H653" s="6" t="s">
        <v>3165</v>
      </c>
      <c r="I653" s="6" t="s">
        <v>3639</v>
      </c>
      <c r="J653" s="6" t="s">
        <v>3640</v>
      </c>
      <c r="K653" s="6" t="s">
        <v>521</v>
      </c>
      <c r="L653" s="10" t="s">
        <v>30</v>
      </c>
    </row>
    <row r="654" ht="15.75" hidden="1" customHeight="1">
      <c r="A654" s="6" t="s">
        <v>3641</v>
      </c>
      <c r="B654" s="6" t="s">
        <v>3642</v>
      </c>
      <c r="C654" s="6" t="s">
        <v>352</v>
      </c>
      <c r="D654" s="6" t="s">
        <v>3643</v>
      </c>
      <c r="E654" s="6" t="s">
        <v>22</v>
      </c>
      <c r="F654" s="6" t="s">
        <v>3163</v>
      </c>
      <c r="G654" s="6" t="s">
        <v>3164</v>
      </c>
      <c r="H654" s="6" t="s">
        <v>3165</v>
      </c>
      <c r="I654" s="6" t="s">
        <v>3644</v>
      </c>
      <c r="J654" s="6" t="s">
        <v>3645</v>
      </c>
      <c r="K654" s="6" t="s">
        <v>521</v>
      </c>
      <c r="L654" s="10" t="s">
        <v>30</v>
      </c>
    </row>
    <row r="655" ht="15.75" hidden="1" customHeight="1">
      <c r="A655" s="6" t="s">
        <v>3646</v>
      </c>
      <c r="B655" s="6" t="s">
        <v>3647</v>
      </c>
      <c r="C655" s="6" t="s">
        <v>352</v>
      </c>
      <c r="D655" s="6" t="s">
        <v>3648</v>
      </c>
      <c r="E655" s="6" t="s">
        <v>22</v>
      </c>
      <c r="F655" s="6" t="s">
        <v>3163</v>
      </c>
      <c r="G655" s="6" t="s">
        <v>3164</v>
      </c>
      <c r="H655" s="6" t="s">
        <v>3165</v>
      </c>
      <c r="I655" s="6" t="s">
        <v>3649</v>
      </c>
      <c r="J655" s="6" t="s">
        <v>3650</v>
      </c>
      <c r="K655" s="6" t="s">
        <v>521</v>
      </c>
      <c r="L655" s="10" t="s">
        <v>30</v>
      </c>
    </row>
    <row r="656" ht="15.75" hidden="1" customHeight="1">
      <c r="A656" s="6" t="s">
        <v>3651</v>
      </c>
      <c r="B656" s="6" t="s">
        <v>3652</v>
      </c>
      <c r="C656" s="6" t="s">
        <v>352</v>
      </c>
      <c r="D656" s="6" t="s">
        <v>3653</v>
      </c>
      <c r="E656" s="6" t="s">
        <v>22</v>
      </c>
      <c r="F656" s="6" t="s">
        <v>3163</v>
      </c>
      <c r="G656" s="6" t="s">
        <v>3164</v>
      </c>
      <c r="H656" s="6" t="s">
        <v>3165</v>
      </c>
      <c r="I656" s="6" t="s">
        <v>3654</v>
      </c>
      <c r="J656" s="6" t="s">
        <v>3655</v>
      </c>
      <c r="K656" s="6" t="s">
        <v>521</v>
      </c>
      <c r="L656" s="10" t="s">
        <v>30</v>
      </c>
    </row>
    <row r="657" ht="15.75" hidden="1" customHeight="1">
      <c r="A657" s="6" t="s">
        <v>3656</v>
      </c>
      <c r="B657" s="6" t="s">
        <v>3657</v>
      </c>
      <c r="C657" s="6" t="s">
        <v>352</v>
      </c>
      <c r="D657" s="6" t="s">
        <v>3658</v>
      </c>
      <c r="E657" s="6" t="s">
        <v>35</v>
      </c>
      <c r="F657" s="6" t="s">
        <v>787</v>
      </c>
      <c r="G657" s="6" t="s">
        <v>788</v>
      </c>
      <c r="H657" s="6" t="s">
        <v>789</v>
      </c>
      <c r="I657" s="6" t="s">
        <v>3659</v>
      </c>
      <c r="J657" s="6" t="s">
        <v>3660</v>
      </c>
      <c r="K657" s="6" t="s">
        <v>521</v>
      </c>
      <c r="L657" s="10" t="s">
        <v>30</v>
      </c>
    </row>
    <row r="658" ht="15.75" hidden="1" customHeight="1">
      <c r="A658" s="6" t="s">
        <v>3661</v>
      </c>
      <c r="B658" s="6" t="s">
        <v>3662</v>
      </c>
      <c r="C658" s="6" t="s">
        <v>352</v>
      </c>
      <c r="D658" s="6" t="s">
        <v>3663</v>
      </c>
      <c r="E658" s="6" t="s">
        <v>35</v>
      </c>
      <c r="F658" s="6" t="s">
        <v>787</v>
      </c>
      <c r="G658" s="6" t="s">
        <v>3577</v>
      </c>
      <c r="H658" s="6" t="s">
        <v>3578</v>
      </c>
      <c r="I658" s="6" t="s">
        <v>3664</v>
      </c>
      <c r="J658" s="6" t="s">
        <v>3665</v>
      </c>
      <c r="K658" s="6" t="s">
        <v>521</v>
      </c>
      <c r="L658" s="10" t="s">
        <v>30</v>
      </c>
    </row>
    <row r="659" ht="15.75" hidden="1" customHeight="1">
      <c r="A659" s="6" t="s">
        <v>3666</v>
      </c>
      <c r="B659" s="6" t="s">
        <v>3667</v>
      </c>
      <c r="C659" s="6" t="s">
        <v>352</v>
      </c>
      <c r="D659" s="6" t="s">
        <v>3668</v>
      </c>
      <c r="E659" s="6" t="s">
        <v>35</v>
      </c>
      <c r="F659" s="6" t="s">
        <v>787</v>
      </c>
      <c r="G659" s="6" t="s">
        <v>3577</v>
      </c>
      <c r="H659" s="6" t="s">
        <v>3578</v>
      </c>
      <c r="I659" s="6" t="s">
        <v>3669</v>
      </c>
      <c r="J659" s="6" t="s">
        <v>3670</v>
      </c>
      <c r="K659" s="6" t="s">
        <v>521</v>
      </c>
      <c r="L659" s="10" t="s">
        <v>30</v>
      </c>
    </row>
    <row r="660" ht="15.75" hidden="1" customHeight="1">
      <c r="A660" s="6" t="s">
        <v>3671</v>
      </c>
      <c r="B660" s="6" t="s">
        <v>3672</v>
      </c>
      <c r="C660" s="6" t="s">
        <v>352</v>
      </c>
      <c r="D660" s="6" t="s">
        <v>3673</v>
      </c>
      <c r="E660" s="6" t="s">
        <v>35</v>
      </c>
      <c r="F660" s="6" t="s">
        <v>787</v>
      </c>
      <c r="G660" s="6" t="s">
        <v>3577</v>
      </c>
      <c r="H660" s="6" t="s">
        <v>3578</v>
      </c>
      <c r="I660" s="6" t="s">
        <v>3674</v>
      </c>
      <c r="J660" s="6" t="s">
        <v>3675</v>
      </c>
      <c r="K660" s="6" t="s">
        <v>521</v>
      </c>
      <c r="L660" s="10" t="s">
        <v>30</v>
      </c>
    </row>
    <row r="661" ht="15.75" hidden="1" customHeight="1">
      <c r="A661" s="6" t="s">
        <v>3676</v>
      </c>
      <c r="B661" s="6" t="s">
        <v>3677</v>
      </c>
      <c r="C661" s="6" t="s">
        <v>352</v>
      </c>
      <c r="D661" s="6" t="s">
        <v>3678</v>
      </c>
      <c r="E661" s="6" t="s">
        <v>35</v>
      </c>
      <c r="F661" s="6" t="s">
        <v>787</v>
      </c>
      <c r="G661" s="6" t="s">
        <v>3577</v>
      </c>
      <c r="H661" s="6" t="s">
        <v>3578</v>
      </c>
      <c r="I661" s="6" t="s">
        <v>3679</v>
      </c>
      <c r="J661" s="6" t="s">
        <v>3680</v>
      </c>
      <c r="K661" s="6" t="s">
        <v>521</v>
      </c>
      <c r="L661" s="10" t="s">
        <v>30</v>
      </c>
    </row>
    <row r="662" ht="15.75" hidden="1" customHeight="1">
      <c r="A662" s="6" t="s">
        <v>3681</v>
      </c>
      <c r="B662" s="6" t="s">
        <v>3682</v>
      </c>
      <c r="C662" s="6" t="s">
        <v>352</v>
      </c>
      <c r="D662" s="6" t="s">
        <v>3683</v>
      </c>
      <c r="E662" s="6" t="s">
        <v>35</v>
      </c>
      <c r="F662" s="6" t="s">
        <v>787</v>
      </c>
      <c r="G662" s="6" t="s">
        <v>3577</v>
      </c>
      <c r="H662" s="6" t="s">
        <v>3578</v>
      </c>
      <c r="I662" s="6" t="s">
        <v>3684</v>
      </c>
      <c r="J662" s="6" t="s">
        <v>3685</v>
      </c>
      <c r="K662" s="6" t="s">
        <v>521</v>
      </c>
      <c r="L662" s="10" t="s">
        <v>30</v>
      </c>
    </row>
    <row r="663" ht="15.75" hidden="1" customHeight="1">
      <c r="A663" s="6" t="s">
        <v>3686</v>
      </c>
      <c r="B663" s="6" t="s">
        <v>3687</v>
      </c>
      <c r="C663" s="6" t="s">
        <v>352</v>
      </c>
      <c r="D663" s="6" t="s">
        <v>3688</v>
      </c>
      <c r="E663" s="6" t="s">
        <v>35</v>
      </c>
      <c r="F663" s="6" t="s">
        <v>787</v>
      </c>
      <c r="G663" s="6" t="s">
        <v>3577</v>
      </c>
      <c r="H663" s="6" t="s">
        <v>3578</v>
      </c>
      <c r="I663" s="6" t="s">
        <v>3689</v>
      </c>
      <c r="J663" s="6" t="s">
        <v>3690</v>
      </c>
      <c r="K663" s="6" t="s">
        <v>521</v>
      </c>
      <c r="L663" s="10" t="s">
        <v>30</v>
      </c>
    </row>
    <row r="664" ht="15.75" hidden="1" customHeight="1">
      <c r="A664" s="6" t="s">
        <v>3691</v>
      </c>
      <c r="B664" s="6" t="s">
        <v>3692</v>
      </c>
      <c r="C664" s="6" t="s">
        <v>352</v>
      </c>
      <c r="D664" s="6" t="s">
        <v>3693</v>
      </c>
      <c r="E664" s="6" t="s">
        <v>35</v>
      </c>
      <c r="F664" s="6" t="s">
        <v>787</v>
      </c>
      <c r="G664" s="6" t="s">
        <v>3577</v>
      </c>
      <c r="H664" s="6" t="s">
        <v>3578</v>
      </c>
      <c r="I664" s="6" t="s">
        <v>3694</v>
      </c>
      <c r="J664" s="6" t="s">
        <v>3695</v>
      </c>
      <c r="K664" s="6" t="s">
        <v>521</v>
      </c>
      <c r="L664" s="10" t="s">
        <v>30</v>
      </c>
    </row>
    <row r="665" ht="15.75" hidden="1" customHeight="1">
      <c r="A665" s="6" t="s">
        <v>3696</v>
      </c>
      <c r="B665" s="6" t="s">
        <v>3697</v>
      </c>
      <c r="C665" s="6" t="s">
        <v>352</v>
      </c>
      <c r="D665" s="6" t="s">
        <v>3698</v>
      </c>
      <c r="E665" s="6" t="s">
        <v>35</v>
      </c>
      <c r="F665" s="6" t="s">
        <v>787</v>
      </c>
      <c r="G665" s="6" t="s">
        <v>3577</v>
      </c>
      <c r="H665" s="6" t="s">
        <v>3578</v>
      </c>
      <c r="I665" s="6" t="s">
        <v>3699</v>
      </c>
      <c r="J665" s="6" t="s">
        <v>3700</v>
      </c>
      <c r="K665" s="6" t="s">
        <v>521</v>
      </c>
      <c r="L665" s="10" t="s">
        <v>30</v>
      </c>
    </row>
    <row r="666" ht="15.75" hidden="1" customHeight="1">
      <c r="A666" s="6" t="s">
        <v>3701</v>
      </c>
      <c r="B666" s="6" t="s">
        <v>3702</v>
      </c>
      <c r="C666" s="6" t="s">
        <v>352</v>
      </c>
      <c r="D666" s="6" t="s">
        <v>3703</v>
      </c>
      <c r="E666" s="6" t="s">
        <v>35</v>
      </c>
      <c r="F666" s="6" t="s">
        <v>787</v>
      </c>
      <c r="G666" s="6" t="s">
        <v>3577</v>
      </c>
      <c r="H666" s="6" t="s">
        <v>3578</v>
      </c>
      <c r="I666" s="6" t="s">
        <v>3704</v>
      </c>
      <c r="J666" s="6" t="s">
        <v>3705</v>
      </c>
      <c r="K666" s="6" t="s">
        <v>521</v>
      </c>
      <c r="L666" s="10" t="s">
        <v>30</v>
      </c>
    </row>
    <row r="667" ht="15.75" hidden="1" customHeight="1">
      <c r="A667" s="6" t="s">
        <v>3706</v>
      </c>
      <c r="B667" s="6" t="s">
        <v>3707</v>
      </c>
      <c r="C667" s="6" t="s">
        <v>352</v>
      </c>
      <c r="D667" s="6" t="s">
        <v>3708</v>
      </c>
      <c r="E667" s="6" t="s">
        <v>35</v>
      </c>
      <c r="F667" s="6" t="s">
        <v>787</v>
      </c>
      <c r="G667" s="6" t="s">
        <v>3577</v>
      </c>
      <c r="H667" s="6" t="s">
        <v>3578</v>
      </c>
      <c r="I667" s="6" t="s">
        <v>3709</v>
      </c>
      <c r="J667" s="6" t="s">
        <v>3710</v>
      </c>
      <c r="K667" s="6" t="s">
        <v>521</v>
      </c>
      <c r="L667" s="10" t="s">
        <v>30</v>
      </c>
    </row>
    <row r="668" ht="15.75" hidden="1" customHeight="1">
      <c r="A668" s="6" t="s">
        <v>3711</v>
      </c>
      <c r="B668" s="6" t="s">
        <v>3712</v>
      </c>
      <c r="C668" s="6" t="s">
        <v>352</v>
      </c>
      <c r="D668" s="6" t="s">
        <v>3713</v>
      </c>
      <c r="E668" s="6" t="s">
        <v>35</v>
      </c>
      <c r="F668" s="6" t="s">
        <v>787</v>
      </c>
      <c r="G668" s="6" t="s">
        <v>3577</v>
      </c>
      <c r="H668" s="6" t="s">
        <v>3578</v>
      </c>
      <c r="I668" s="6" t="s">
        <v>3714</v>
      </c>
      <c r="J668" s="6" t="s">
        <v>3715</v>
      </c>
      <c r="K668" s="6" t="s">
        <v>521</v>
      </c>
      <c r="L668" s="10" t="s">
        <v>30</v>
      </c>
    </row>
    <row r="669" ht="15.75" hidden="1" customHeight="1">
      <c r="A669" s="6" t="s">
        <v>3716</v>
      </c>
      <c r="B669" s="6" t="s">
        <v>3717</v>
      </c>
      <c r="C669" s="6" t="s">
        <v>352</v>
      </c>
      <c r="D669" s="6" t="s">
        <v>3718</v>
      </c>
      <c r="E669" s="6" t="s">
        <v>35</v>
      </c>
      <c r="F669" s="6" t="s">
        <v>787</v>
      </c>
      <c r="G669" s="6" t="s">
        <v>3577</v>
      </c>
      <c r="H669" s="6" t="s">
        <v>3578</v>
      </c>
      <c r="I669" s="6" t="s">
        <v>3719</v>
      </c>
      <c r="J669" s="6" t="s">
        <v>3720</v>
      </c>
      <c r="K669" s="6" t="s">
        <v>521</v>
      </c>
      <c r="L669" s="10" t="s">
        <v>30</v>
      </c>
    </row>
    <row r="670" ht="15.75" hidden="1" customHeight="1">
      <c r="A670" s="6" t="s">
        <v>3721</v>
      </c>
      <c r="B670" s="6" t="s">
        <v>3722</v>
      </c>
      <c r="C670" s="6" t="s">
        <v>352</v>
      </c>
      <c r="D670" s="6" t="s">
        <v>3723</v>
      </c>
      <c r="E670" s="6" t="s">
        <v>35</v>
      </c>
      <c r="F670" s="6" t="s">
        <v>787</v>
      </c>
      <c r="G670" s="6" t="s">
        <v>3577</v>
      </c>
      <c r="H670" s="6" t="s">
        <v>3578</v>
      </c>
      <c r="I670" s="6" t="s">
        <v>3724</v>
      </c>
      <c r="J670" s="6" t="s">
        <v>3725</v>
      </c>
      <c r="K670" s="6" t="s">
        <v>521</v>
      </c>
      <c r="L670" s="10" t="s">
        <v>30</v>
      </c>
    </row>
    <row r="671" ht="15.75" hidden="1" customHeight="1">
      <c r="A671" s="6" t="s">
        <v>3726</v>
      </c>
      <c r="B671" s="6" t="s">
        <v>3727</v>
      </c>
      <c r="C671" s="6" t="s">
        <v>352</v>
      </c>
      <c r="D671" s="6" t="s">
        <v>3728</v>
      </c>
      <c r="E671" s="6" t="s">
        <v>35</v>
      </c>
      <c r="F671" s="6" t="s">
        <v>787</v>
      </c>
      <c r="G671" s="6" t="s">
        <v>3577</v>
      </c>
      <c r="H671" s="6" t="s">
        <v>3578</v>
      </c>
      <c r="I671" s="6" t="s">
        <v>3729</v>
      </c>
      <c r="J671" s="6" t="s">
        <v>3730</v>
      </c>
      <c r="K671" s="6" t="s">
        <v>521</v>
      </c>
      <c r="L671" s="10" t="s">
        <v>30</v>
      </c>
    </row>
    <row r="672" ht="15.75" hidden="1" customHeight="1">
      <c r="A672" s="6" t="s">
        <v>3731</v>
      </c>
      <c r="B672" s="6" t="s">
        <v>3732</v>
      </c>
      <c r="C672" s="6" t="s">
        <v>352</v>
      </c>
      <c r="D672" s="6" t="s">
        <v>3733</v>
      </c>
      <c r="E672" s="6" t="s">
        <v>35</v>
      </c>
      <c r="F672" s="6" t="s">
        <v>787</v>
      </c>
      <c r="G672" s="6" t="s">
        <v>3577</v>
      </c>
      <c r="H672" s="6" t="s">
        <v>3578</v>
      </c>
      <c r="I672" s="6" t="s">
        <v>3734</v>
      </c>
      <c r="J672" s="6" t="s">
        <v>3735</v>
      </c>
      <c r="K672" s="6" t="s">
        <v>521</v>
      </c>
      <c r="L672" s="10" t="s">
        <v>30</v>
      </c>
    </row>
    <row r="673" ht="15.75" hidden="1" customHeight="1">
      <c r="A673" s="6" t="s">
        <v>3736</v>
      </c>
      <c r="B673" s="6" t="s">
        <v>3737</v>
      </c>
      <c r="C673" s="6" t="s">
        <v>352</v>
      </c>
      <c r="D673" s="6" t="s">
        <v>3738</v>
      </c>
      <c r="E673" s="6" t="s">
        <v>35</v>
      </c>
      <c r="F673" s="6" t="s">
        <v>787</v>
      </c>
      <c r="G673" s="6" t="s">
        <v>3577</v>
      </c>
      <c r="H673" s="6" t="s">
        <v>3578</v>
      </c>
      <c r="I673" s="6" t="s">
        <v>3739</v>
      </c>
      <c r="J673" s="6" t="s">
        <v>3740</v>
      </c>
      <c r="K673" s="6" t="s">
        <v>521</v>
      </c>
      <c r="L673" s="10" t="s">
        <v>30</v>
      </c>
    </row>
    <row r="674" ht="15.75" hidden="1" customHeight="1">
      <c r="A674" s="6" t="s">
        <v>3741</v>
      </c>
      <c r="B674" s="6" t="s">
        <v>3742</v>
      </c>
      <c r="C674" s="6" t="s">
        <v>352</v>
      </c>
      <c r="D674" s="6" t="s">
        <v>3743</v>
      </c>
      <c r="E674" s="6" t="s">
        <v>35</v>
      </c>
      <c r="F674" s="6" t="s">
        <v>787</v>
      </c>
      <c r="G674" s="6" t="s">
        <v>3577</v>
      </c>
      <c r="H674" s="6" t="s">
        <v>3578</v>
      </c>
      <c r="I674" s="6" t="s">
        <v>3744</v>
      </c>
      <c r="J674" s="6" t="s">
        <v>3745</v>
      </c>
      <c r="K674" s="6" t="s">
        <v>521</v>
      </c>
      <c r="L674" s="10" t="s">
        <v>30</v>
      </c>
    </row>
    <row r="675" ht="15.75" hidden="1" customHeight="1">
      <c r="A675" s="6" t="s">
        <v>3746</v>
      </c>
      <c r="B675" s="6" t="s">
        <v>3747</v>
      </c>
      <c r="C675" s="6" t="s">
        <v>352</v>
      </c>
      <c r="D675" s="6" t="s">
        <v>3748</v>
      </c>
      <c r="E675" s="6" t="s">
        <v>35</v>
      </c>
      <c r="F675" s="6" t="s">
        <v>787</v>
      </c>
      <c r="G675" s="6" t="s">
        <v>3577</v>
      </c>
      <c r="H675" s="6" t="s">
        <v>3578</v>
      </c>
      <c r="I675" s="6" t="s">
        <v>3749</v>
      </c>
      <c r="J675" s="6" t="s">
        <v>3750</v>
      </c>
      <c r="K675" s="6" t="s">
        <v>521</v>
      </c>
      <c r="L675" s="10" t="s">
        <v>30</v>
      </c>
    </row>
    <row r="676" ht="15.75" hidden="1" customHeight="1">
      <c r="A676" s="6" t="s">
        <v>3751</v>
      </c>
      <c r="B676" s="6" t="s">
        <v>3752</v>
      </c>
      <c r="C676" s="6" t="s">
        <v>352</v>
      </c>
      <c r="D676" s="6" t="s">
        <v>3753</v>
      </c>
      <c r="E676" s="6" t="s">
        <v>35</v>
      </c>
      <c r="F676" s="6" t="s">
        <v>787</v>
      </c>
      <c r="G676" s="6" t="s">
        <v>3577</v>
      </c>
      <c r="H676" s="6" t="s">
        <v>3578</v>
      </c>
      <c r="I676" s="6" t="s">
        <v>3754</v>
      </c>
      <c r="J676" s="6" t="s">
        <v>3755</v>
      </c>
      <c r="K676" s="6" t="s">
        <v>521</v>
      </c>
      <c r="L676" s="10" t="s">
        <v>30</v>
      </c>
    </row>
    <row r="677" ht="15.75" hidden="1" customHeight="1">
      <c r="A677" s="6" t="s">
        <v>3756</v>
      </c>
      <c r="B677" s="6" t="s">
        <v>3757</v>
      </c>
      <c r="C677" s="6" t="s">
        <v>352</v>
      </c>
      <c r="D677" s="6" t="s">
        <v>3758</v>
      </c>
      <c r="E677" s="6" t="s">
        <v>35</v>
      </c>
      <c r="F677" s="6" t="s">
        <v>787</v>
      </c>
      <c r="G677" s="6" t="s">
        <v>3577</v>
      </c>
      <c r="H677" s="6" t="s">
        <v>3578</v>
      </c>
      <c r="I677" s="6" t="s">
        <v>3759</v>
      </c>
      <c r="J677" s="6" t="s">
        <v>3760</v>
      </c>
      <c r="K677" s="6" t="s">
        <v>521</v>
      </c>
      <c r="L677" s="10" t="s">
        <v>30</v>
      </c>
    </row>
    <row r="678" ht="15.75" hidden="1" customHeight="1">
      <c r="A678" s="6" t="s">
        <v>3761</v>
      </c>
      <c r="B678" s="6" t="s">
        <v>3762</v>
      </c>
      <c r="C678" s="6" t="s">
        <v>352</v>
      </c>
      <c r="D678" s="6" t="s">
        <v>3763</v>
      </c>
      <c r="E678" s="6" t="s">
        <v>35</v>
      </c>
      <c r="F678" s="6" t="s">
        <v>787</v>
      </c>
      <c r="G678" s="6" t="s">
        <v>3577</v>
      </c>
      <c r="H678" s="6" t="s">
        <v>3578</v>
      </c>
      <c r="I678" s="6" t="s">
        <v>3764</v>
      </c>
      <c r="J678" s="6" t="s">
        <v>3765</v>
      </c>
      <c r="K678" s="6" t="s">
        <v>521</v>
      </c>
      <c r="L678" s="10" t="s">
        <v>30</v>
      </c>
    </row>
    <row r="679" ht="15.75" hidden="1" customHeight="1">
      <c r="A679" s="6" t="s">
        <v>3766</v>
      </c>
      <c r="B679" s="6" t="s">
        <v>3767</v>
      </c>
      <c r="C679" s="6" t="s">
        <v>352</v>
      </c>
      <c r="D679" s="6" t="s">
        <v>3768</v>
      </c>
      <c r="E679" s="6" t="s">
        <v>35</v>
      </c>
      <c r="F679" s="6" t="s">
        <v>787</v>
      </c>
      <c r="G679" s="6" t="s">
        <v>3577</v>
      </c>
      <c r="H679" s="6" t="s">
        <v>3578</v>
      </c>
      <c r="I679" s="6" t="s">
        <v>3769</v>
      </c>
      <c r="J679" s="6" t="s">
        <v>3770</v>
      </c>
      <c r="K679" s="6" t="s">
        <v>521</v>
      </c>
      <c r="L679" s="10" t="s">
        <v>30</v>
      </c>
    </row>
    <row r="680" ht="15.75" hidden="1" customHeight="1">
      <c r="A680" s="6" t="s">
        <v>3771</v>
      </c>
      <c r="B680" s="6" t="s">
        <v>3772</v>
      </c>
      <c r="C680" s="6" t="s">
        <v>352</v>
      </c>
      <c r="D680" s="6" t="s">
        <v>3773</v>
      </c>
      <c r="E680" s="6" t="s">
        <v>35</v>
      </c>
      <c r="F680" s="6" t="s">
        <v>787</v>
      </c>
      <c r="G680" s="6" t="s">
        <v>3577</v>
      </c>
      <c r="H680" s="6" t="s">
        <v>3578</v>
      </c>
      <c r="I680" s="6" t="s">
        <v>3774</v>
      </c>
      <c r="J680" s="6" t="s">
        <v>3775</v>
      </c>
      <c r="K680" s="6" t="s">
        <v>521</v>
      </c>
      <c r="L680" s="10" t="s">
        <v>30</v>
      </c>
    </row>
    <row r="681" ht="15.75" hidden="1" customHeight="1">
      <c r="A681" s="6" t="s">
        <v>3776</v>
      </c>
      <c r="B681" s="6" t="s">
        <v>3777</v>
      </c>
      <c r="C681" s="6" t="s">
        <v>352</v>
      </c>
      <c r="D681" s="6" t="s">
        <v>3778</v>
      </c>
      <c r="E681" s="6" t="s">
        <v>35</v>
      </c>
      <c r="F681" s="6" t="s">
        <v>787</v>
      </c>
      <c r="G681" s="6" t="s">
        <v>3577</v>
      </c>
      <c r="H681" s="6" t="s">
        <v>3578</v>
      </c>
      <c r="I681" s="6" t="s">
        <v>3779</v>
      </c>
      <c r="J681" s="6" t="s">
        <v>3780</v>
      </c>
      <c r="K681" s="6" t="s">
        <v>521</v>
      </c>
      <c r="L681" s="10" t="s">
        <v>30</v>
      </c>
    </row>
    <row r="682" ht="15.75" hidden="1" customHeight="1">
      <c r="A682" s="6" t="s">
        <v>3781</v>
      </c>
      <c r="B682" s="6" t="s">
        <v>3782</v>
      </c>
      <c r="C682" s="6" t="s">
        <v>352</v>
      </c>
      <c r="D682" s="6" t="s">
        <v>3783</v>
      </c>
      <c r="E682" s="6" t="s">
        <v>35</v>
      </c>
      <c r="F682" s="6" t="s">
        <v>787</v>
      </c>
      <c r="G682" s="6" t="s">
        <v>3577</v>
      </c>
      <c r="H682" s="6" t="s">
        <v>3578</v>
      </c>
      <c r="I682" s="6" t="s">
        <v>3784</v>
      </c>
      <c r="J682" s="6" t="s">
        <v>3785</v>
      </c>
      <c r="K682" s="6" t="s">
        <v>521</v>
      </c>
      <c r="L682" s="10" t="s">
        <v>30</v>
      </c>
    </row>
    <row r="683" ht="15.75" hidden="1" customHeight="1">
      <c r="A683" s="6" t="s">
        <v>3786</v>
      </c>
      <c r="B683" s="6" t="s">
        <v>3787</v>
      </c>
      <c r="C683" s="6" t="s">
        <v>352</v>
      </c>
      <c r="D683" s="6" t="s">
        <v>3788</v>
      </c>
      <c r="E683" s="6" t="s">
        <v>35</v>
      </c>
      <c r="F683" s="6" t="s">
        <v>787</v>
      </c>
      <c r="G683" s="6" t="s">
        <v>3577</v>
      </c>
      <c r="H683" s="6" t="s">
        <v>3578</v>
      </c>
      <c r="I683" s="6" t="s">
        <v>3789</v>
      </c>
      <c r="J683" s="6" t="s">
        <v>3790</v>
      </c>
      <c r="K683" s="6" t="s">
        <v>521</v>
      </c>
      <c r="L683" s="10" t="s">
        <v>30</v>
      </c>
    </row>
    <row r="684" ht="15.75" hidden="1" customHeight="1">
      <c r="A684" s="6" t="s">
        <v>3791</v>
      </c>
      <c r="B684" s="6" t="s">
        <v>3792</v>
      </c>
      <c r="C684" s="6" t="s">
        <v>352</v>
      </c>
      <c r="D684" s="6" t="s">
        <v>3793</v>
      </c>
      <c r="E684" s="6" t="s">
        <v>35</v>
      </c>
      <c r="F684" s="6" t="s">
        <v>787</v>
      </c>
      <c r="G684" s="6" t="s">
        <v>3577</v>
      </c>
      <c r="H684" s="6" t="s">
        <v>3578</v>
      </c>
      <c r="I684" s="6" t="s">
        <v>3794</v>
      </c>
      <c r="J684" s="6" t="s">
        <v>3795</v>
      </c>
      <c r="K684" s="6" t="s">
        <v>521</v>
      </c>
      <c r="L684" s="10" t="s">
        <v>30</v>
      </c>
    </row>
    <row r="685" ht="15.75" hidden="1" customHeight="1">
      <c r="A685" s="6" t="s">
        <v>3796</v>
      </c>
      <c r="B685" s="6" t="s">
        <v>3797</v>
      </c>
      <c r="C685" s="6" t="s">
        <v>352</v>
      </c>
      <c r="D685" s="6" t="s">
        <v>3798</v>
      </c>
      <c r="E685" s="6" t="s">
        <v>35</v>
      </c>
      <c r="F685" s="6" t="s">
        <v>787</v>
      </c>
      <c r="G685" s="6" t="s">
        <v>3577</v>
      </c>
      <c r="H685" s="6" t="s">
        <v>3578</v>
      </c>
      <c r="I685" s="6" t="s">
        <v>3799</v>
      </c>
      <c r="J685" s="6" t="s">
        <v>3800</v>
      </c>
      <c r="K685" s="6" t="s">
        <v>521</v>
      </c>
      <c r="L685" s="10" t="s">
        <v>30</v>
      </c>
    </row>
    <row r="686" ht="15.75" hidden="1" customHeight="1">
      <c r="A686" s="6" t="s">
        <v>3801</v>
      </c>
      <c r="B686" s="6" t="s">
        <v>3802</v>
      </c>
      <c r="C686" s="6" t="s">
        <v>352</v>
      </c>
      <c r="D686" s="6" t="s">
        <v>3803</v>
      </c>
      <c r="E686" s="6" t="s">
        <v>35</v>
      </c>
      <c r="F686" s="6" t="s">
        <v>787</v>
      </c>
      <c r="G686" s="6" t="s">
        <v>3577</v>
      </c>
      <c r="H686" s="6" t="s">
        <v>3578</v>
      </c>
      <c r="I686" s="6" t="s">
        <v>3804</v>
      </c>
      <c r="J686" s="6" t="s">
        <v>3805</v>
      </c>
      <c r="K686" s="6" t="s">
        <v>521</v>
      </c>
      <c r="L686" s="10" t="s">
        <v>30</v>
      </c>
    </row>
    <row r="687" ht="15.75" hidden="1" customHeight="1">
      <c r="A687" s="6" t="s">
        <v>3806</v>
      </c>
      <c r="B687" s="6" t="s">
        <v>3807</v>
      </c>
      <c r="C687" s="6" t="s">
        <v>352</v>
      </c>
      <c r="D687" s="6" t="s">
        <v>3808</v>
      </c>
      <c r="E687" s="6" t="s">
        <v>35</v>
      </c>
      <c r="F687" s="6" t="s">
        <v>787</v>
      </c>
      <c r="G687" s="6" t="s">
        <v>3577</v>
      </c>
      <c r="H687" s="6" t="s">
        <v>3578</v>
      </c>
      <c r="I687" s="6" t="s">
        <v>3809</v>
      </c>
      <c r="J687" s="6" t="s">
        <v>3810</v>
      </c>
      <c r="K687" s="6" t="s">
        <v>521</v>
      </c>
      <c r="L687" s="10" t="s">
        <v>30</v>
      </c>
    </row>
    <row r="688" ht="15.75" hidden="1" customHeight="1">
      <c r="A688" s="6" t="s">
        <v>3811</v>
      </c>
      <c r="B688" s="6" t="s">
        <v>3812</v>
      </c>
      <c r="C688" s="6" t="s">
        <v>352</v>
      </c>
      <c r="D688" s="6" t="s">
        <v>3813</v>
      </c>
      <c r="E688" s="6" t="s">
        <v>35</v>
      </c>
      <c r="F688" s="6" t="s">
        <v>787</v>
      </c>
      <c r="G688" s="6" t="s">
        <v>3577</v>
      </c>
      <c r="H688" s="6" t="s">
        <v>3578</v>
      </c>
      <c r="I688" s="6" t="s">
        <v>3814</v>
      </c>
      <c r="J688" s="6" t="s">
        <v>3815</v>
      </c>
      <c r="K688" s="6" t="s">
        <v>521</v>
      </c>
      <c r="L688" s="10" t="s">
        <v>30</v>
      </c>
    </row>
    <row r="689" ht="15.75" hidden="1" customHeight="1">
      <c r="A689" s="6" t="s">
        <v>3816</v>
      </c>
      <c r="B689" s="6" t="s">
        <v>3817</v>
      </c>
      <c r="C689" s="6" t="s">
        <v>352</v>
      </c>
      <c r="D689" s="6" t="s">
        <v>3818</v>
      </c>
      <c r="E689" s="6" t="s">
        <v>35</v>
      </c>
      <c r="F689" s="6" t="s">
        <v>787</v>
      </c>
      <c r="G689" s="6" t="s">
        <v>3577</v>
      </c>
      <c r="H689" s="6" t="s">
        <v>3578</v>
      </c>
      <c r="I689" s="6" t="s">
        <v>3819</v>
      </c>
      <c r="J689" s="6" t="s">
        <v>3820</v>
      </c>
      <c r="K689" s="6" t="s">
        <v>521</v>
      </c>
      <c r="L689" s="10" t="s">
        <v>30</v>
      </c>
    </row>
    <row r="690" ht="15.75" hidden="1" customHeight="1">
      <c r="A690" s="6" t="s">
        <v>3821</v>
      </c>
      <c r="B690" s="6" t="s">
        <v>3822</v>
      </c>
      <c r="C690" s="6" t="s">
        <v>352</v>
      </c>
      <c r="D690" s="6" t="s">
        <v>3823</v>
      </c>
      <c r="E690" s="6" t="s">
        <v>35</v>
      </c>
      <c r="F690" s="6" t="s">
        <v>787</v>
      </c>
      <c r="G690" s="6" t="s">
        <v>3577</v>
      </c>
      <c r="H690" s="6" t="s">
        <v>3578</v>
      </c>
      <c r="I690" s="6" t="s">
        <v>3824</v>
      </c>
      <c r="J690" s="6" t="s">
        <v>3825</v>
      </c>
      <c r="K690" s="6" t="s">
        <v>521</v>
      </c>
      <c r="L690" s="10" t="s">
        <v>30</v>
      </c>
    </row>
    <row r="691" ht="15.75" hidden="1" customHeight="1">
      <c r="A691" s="6" t="s">
        <v>3826</v>
      </c>
      <c r="B691" s="6" t="s">
        <v>3827</v>
      </c>
      <c r="C691" s="6" t="s">
        <v>352</v>
      </c>
      <c r="D691" s="6" t="s">
        <v>3828</v>
      </c>
      <c r="E691" s="6" t="s">
        <v>35</v>
      </c>
      <c r="F691" s="6" t="s">
        <v>787</v>
      </c>
      <c r="G691" s="6" t="s">
        <v>3577</v>
      </c>
      <c r="H691" s="6" t="s">
        <v>3578</v>
      </c>
      <c r="I691" s="6" t="s">
        <v>3829</v>
      </c>
      <c r="J691" s="6" t="s">
        <v>3830</v>
      </c>
      <c r="K691" s="6" t="s">
        <v>521</v>
      </c>
      <c r="L691" s="10" t="s">
        <v>30</v>
      </c>
    </row>
    <row r="692" ht="15.75" customHeight="1">
      <c r="A692" s="6" t="s">
        <v>3831</v>
      </c>
      <c r="B692" s="6" t="s">
        <v>3832</v>
      </c>
      <c r="C692" s="6" t="s">
        <v>352</v>
      </c>
      <c r="D692" s="6" t="s">
        <v>3833</v>
      </c>
      <c r="E692" s="6" t="s">
        <v>22</v>
      </c>
      <c r="F692" s="6" t="s">
        <v>3163</v>
      </c>
      <c r="G692" s="6" t="s">
        <v>3834</v>
      </c>
      <c r="H692" s="6" t="s">
        <v>3835</v>
      </c>
      <c r="I692" s="6" t="s">
        <v>3836</v>
      </c>
      <c r="J692" s="6" t="s">
        <v>3837</v>
      </c>
      <c r="K692" s="6" t="s">
        <v>3838</v>
      </c>
      <c r="L692" s="14" t="s">
        <v>55</v>
      </c>
    </row>
    <row r="693" ht="15.75" customHeight="1">
      <c r="A693" s="6" t="s">
        <v>3839</v>
      </c>
      <c r="B693" s="6" t="s">
        <v>3840</v>
      </c>
      <c r="C693" s="6" t="s">
        <v>352</v>
      </c>
      <c r="D693" s="6" t="s">
        <v>3841</v>
      </c>
      <c r="E693" s="6" t="s">
        <v>22</v>
      </c>
      <c r="F693" s="6" t="s">
        <v>3163</v>
      </c>
      <c r="G693" s="6" t="s">
        <v>3834</v>
      </c>
      <c r="H693" s="6" t="s">
        <v>3835</v>
      </c>
      <c r="I693" s="6" t="s">
        <v>3842</v>
      </c>
      <c r="J693" s="6" t="s">
        <v>3843</v>
      </c>
      <c r="K693" s="6" t="s">
        <v>3838</v>
      </c>
      <c r="L693" s="10" t="s">
        <v>609</v>
      </c>
    </row>
    <row r="694" ht="15.75" customHeight="1">
      <c r="A694" s="6" t="s">
        <v>3844</v>
      </c>
      <c r="B694" s="6" t="s">
        <v>3845</v>
      </c>
      <c r="C694" s="6" t="s">
        <v>352</v>
      </c>
      <c r="D694" s="6" t="s">
        <v>3846</v>
      </c>
      <c r="E694" s="6" t="s">
        <v>22</v>
      </c>
      <c r="F694" s="6" t="s">
        <v>3163</v>
      </c>
      <c r="G694" s="6" t="s">
        <v>3834</v>
      </c>
      <c r="H694" s="6" t="s">
        <v>3835</v>
      </c>
      <c r="I694" s="6" t="s">
        <v>3847</v>
      </c>
      <c r="J694" s="6" t="s">
        <v>3848</v>
      </c>
      <c r="K694" s="6" t="s">
        <v>3838</v>
      </c>
      <c r="L694" s="10" t="s">
        <v>609</v>
      </c>
    </row>
    <row r="695" ht="15.75" customHeight="1">
      <c r="A695" s="6" t="s">
        <v>3849</v>
      </c>
      <c r="B695" s="6" t="s">
        <v>3850</v>
      </c>
      <c r="C695" s="6" t="s">
        <v>352</v>
      </c>
      <c r="D695" s="6" t="s">
        <v>3851</v>
      </c>
      <c r="E695" s="6" t="s">
        <v>22</v>
      </c>
      <c r="F695" s="6" t="s">
        <v>3163</v>
      </c>
      <c r="G695" s="6" t="s">
        <v>3834</v>
      </c>
      <c r="H695" s="6" t="s">
        <v>3835</v>
      </c>
      <c r="I695" s="6" t="s">
        <v>3852</v>
      </c>
      <c r="J695" s="6" t="s">
        <v>3853</v>
      </c>
      <c r="K695" s="6" t="s">
        <v>3838</v>
      </c>
      <c r="L695" s="10" t="s">
        <v>609</v>
      </c>
    </row>
    <row r="696" ht="15.75" customHeight="1">
      <c r="A696" s="6" t="s">
        <v>3854</v>
      </c>
      <c r="B696" s="6" t="s">
        <v>3855</v>
      </c>
      <c r="C696" s="6" t="s">
        <v>352</v>
      </c>
      <c r="D696" s="6" t="s">
        <v>3856</v>
      </c>
      <c r="E696" s="6" t="s">
        <v>22</v>
      </c>
      <c r="F696" s="6" t="s">
        <v>3163</v>
      </c>
      <c r="G696" s="6" t="s">
        <v>3834</v>
      </c>
      <c r="H696" s="6" t="s">
        <v>3835</v>
      </c>
      <c r="I696" s="6" t="s">
        <v>3857</v>
      </c>
      <c r="J696" s="6" t="s">
        <v>3858</v>
      </c>
      <c r="K696" s="6" t="s">
        <v>3838</v>
      </c>
      <c r="L696" s="10" t="s">
        <v>609</v>
      </c>
    </row>
    <row r="697" ht="15.75" customHeight="1">
      <c r="A697" s="6" t="s">
        <v>3859</v>
      </c>
      <c r="B697" s="6" t="s">
        <v>3860</v>
      </c>
      <c r="C697" s="6" t="s">
        <v>352</v>
      </c>
      <c r="D697" s="6" t="s">
        <v>3861</v>
      </c>
      <c r="E697" s="6" t="s">
        <v>22</v>
      </c>
      <c r="F697" s="6" t="s">
        <v>3163</v>
      </c>
      <c r="G697" s="6" t="s">
        <v>3834</v>
      </c>
      <c r="H697" s="6" t="s">
        <v>3835</v>
      </c>
      <c r="I697" s="6" t="s">
        <v>3862</v>
      </c>
      <c r="J697" s="6" t="s">
        <v>3863</v>
      </c>
      <c r="K697" s="6" t="s">
        <v>3838</v>
      </c>
      <c r="L697" s="10" t="s">
        <v>609</v>
      </c>
    </row>
    <row r="698" ht="15.75" customHeight="1">
      <c r="A698" s="6" t="s">
        <v>3864</v>
      </c>
      <c r="B698" s="6" t="s">
        <v>3865</v>
      </c>
      <c r="C698" s="6" t="s">
        <v>352</v>
      </c>
      <c r="D698" s="6" t="s">
        <v>3866</v>
      </c>
      <c r="E698" s="6" t="s">
        <v>22</v>
      </c>
      <c r="F698" s="6" t="s">
        <v>3163</v>
      </c>
      <c r="G698" s="6" t="s">
        <v>3834</v>
      </c>
      <c r="H698" s="6" t="s">
        <v>3835</v>
      </c>
      <c r="I698" s="6" t="s">
        <v>3867</v>
      </c>
      <c r="J698" s="6" t="s">
        <v>3868</v>
      </c>
      <c r="K698" s="6" t="s">
        <v>3838</v>
      </c>
      <c r="L698" s="14" t="s">
        <v>55</v>
      </c>
    </row>
    <row r="699" ht="15.75" customHeight="1">
      <c r="A699" s="6" t="s">
        <v>3869</v>
      </c>
      <c r="B699" s="6" t="s">
        <v>3870</v>
      </c>
      <c r="C699" s="6" t="s">
        <v>352</v>
      </c>
      <c r="D699" s="6" t="s">
        <v>3871</v>
      </c>
      <c r="E699" s="6" t="s">
        <v>22</v>
      </c>
      <c r="F699" s="6" t="s">
        <v>3163</v>
      </c>
      <c r="G699" s="6" t="s">
        <v>3834</v>
      </c>
      <c r="H699" s="6" t="s">
        <v>3835</v>
      </c>
      <c r="I699" s="6" t="s">
        <v>3872</v>
      </c>
      <c r="J699" s="6" t="s">
        <v>3873</v>
      </c>
      <c r="K699" s="6" t="s">
        <v>3838</v>
      </c>
      <c r="L699" s="14" t="s">
        <v>55</v>
      </c>
    </row>
    <row r="700" ht="15.75" customHeight="1">
      <c r="A700" s="6" t="s">
        <v>3874</v>
      </c>
      <c r="B700" s="6" t="s">
        <v>3875</v>
      </c>
      <c r="C700" s="6" t="s">
        <v>352</v>
      </c>
      <c r="D700" s="6" t="s">
        <v>3876</v>
      </c>
      <c r="E700" s="6" t="s">
        <v>22</v>
      </c>
      <c r="F700" s="6" t="s">
        <v>3163</v>
      </c>
      <c r="G700" s="6" t="s">
        <v>3834</v>
      </c>
      <c r="H700" s="6" t="s">
        <v>3835</v>
      </c>
      <c r="I700" s="6" t="s">
        <v>3877</v>
      </c>
      <c r="J700" s="6" t="s">
        <v>3878</v>
      </c>
      <c r="K700" s="6" t="s">
        <v>3838</v>
      </c>
      <c r="L700" s="10" t="s">
        <v>609</v>
      </c>
    </row>
    <row r="701" ht="15.75" hidden="1" customHeight="1">
      <c r="A701" s="6" t="s">
        <v>3879</v>
      </c>
      <c r="B701" s="6" t="s">
        <v>3880</v>
      </c>
      <c r="C701" s="6" t="s">
        <v>352</v>
      </c>
      <c r="D701" s="6" t="s">
        <v>3881</v>
      </c>
      <c r="E701" s="6" t="s">
        <v>35</v>
      </c>
      <c r="F701" s="6" t="s">
        <v>787</v>
      </c>
      <c r="G701" s="6" t="s">
        <v>3577</v>
      </c>
      <c r="H701" s="6" t="s">
        <v>3578</v>
      </c>
      <c r="I701" s="6" t="s">
        <v>3882</v>
      </c>
      <c r="J701" s="6" t="s">
        <v>3883</v>
      </c>
      <c r="K701" s="6" t="s">
        <v>521</v>
      </c>
      <c r="L701" s="14" t="s">
        <v>55</v>
      </c>
    </row>
    <row r="702" ht="15.75" hidden="1" customHeight="1">
      <c r="A702" s="6" t="s">
        <v>3884</v>
      </c>
      <c r="B702" s="6" t="s">
        <v>3885</v>
      </c>
      <c r="C702" s="6" t="s">
        <v>352</v>
      </c>
      <c r="D702" s="6" t="s">
        <v>3886</v>
      </c>
      <c r="E702" s="6" t="s">
        <v>35</v>
      </c>
      <c r="F702" s="6" t="s">
        <v>787</v>
      </c>
      <c r="G702" s="6" t="s">
        <v>3577</v>
      </c>
      <c r="H702" s="6" t="s">
        <v>3578</v>
      </c>
      <c r="I702" s="6" t="s">
        <v>3887</v>
      </c>
      <c r="J702" s="6" t="s">
        <v>3888</v>
      </c>
      <c r="K702" s="6" t="s">
        <v>521</v>
      </c>
      <c r="L702" s="14" t="s">
        <v>55</v>
      </c>
    </row>
    <row r="703" ht="15.75" hidden="1" customHeight="1">
      <c r="A703" s="6" t="s">
        <v>3889</v>
      </c>
      <c r="B703" s="6" t="s">
        <v>3890</v>
      </c>
      <c r="C703" s="6" t="s">
        <v>352</v>
      </c>
      <c r="D703" s="6" t="s">
        <v>3891</v>
      </c>
      <c r="E703" s="6" t="s">
        <v>35</v>
      </c>
      <c r="F703" s="6" t="s">
        <v>787</v>
      </c>
      <c r="G703" s="6" t="s">
        <v>3577</v>
      </c>
      <c r="H703" s="6" t="s">
        <v>3578</v>
      </c>
      <c r="I703" s="6" t="s">
        <v>3892</v>
      </c>
      <c r="J703" s="6" t="s">
        <v>3893</v>
      </c>
      <c r="K703" s="6" t="s">
        <v>521</v>
      </c>
      <c r="L703" s="10" t="s">
        <v>609</v>
      </c>
    </row>
    <row r="704" ht="15.75" hidden="1" customHeight="1">
      <c r="A704" s="6" t="s">
        <v>3894</v>
      </c>
      <c r="B704" s="6" t="s">
        <v>3895</v>
      </c>
      <c r="C704" s="6" t="s">
        <v>352</v>
      </c>
      <c r="D704" s="6" t="s">
        <v>3896</v>
      </c>
      <c r="E704" s="6" t="s">
        <v>35</v>
      </c>
      <c r="F704" s="6" t="s">
        <v>787</v>
      </c>
      <c r="G704" s="6" t="s">
        <v>3577</v>
      </c>
      <c r="H704" s="6" t="s">
        <v>3578</v>
      </c>
      <c r="I704" s="6" t="s">
        <v>3897</v>
      </c>
      <c r="J704" s="6" t="s">
        <v>3898</v>
      </c>
      <c r="K704" s="6" t="s">
        <v>521</v>
      </c>
      <c r="L704" s="14" t="s">
        <v>55</v>
      </c>
    </row>
    <row r="705" ht="15.75" hidden="1" customHeight="1">
      <c r="A705" s="6" t="s">
        <v>3899</v>
      </c>
      <c r="B705" s="6" t="s">
        <v>3900</v>
      </c>
      <c r="C705" s="6" t="s">
        <v>352</v>
      </c>
      <c r="D705" s="6" t="s">
        <v>3901</v>
      </c>
      <c r="E705" s="6" t="s">
        <v>35</v>
      </c>
      <c r="F705" s="6" t="s">
        <v>787</v>
      </c>
      <c r="G705" s="6" t="s">
        <v>3577</v>
      </c>
      <c r="H705" s="6" t="s">
        <v>3578</v>
      </c>
      <c r="I705" s="6" t="s">
        <v>3902</v>
      </c>
      <c r="J705" s="6" t="s">
        <v>3903</v>
      </c>
      <c r="K705" s="6" t="s">
        <v>521</v>
      </c>
      <c r="L705" s="10" t="s">
        <v>609</v>
      </c>
    </row>
    <row r="706" ht="15.75" hidden="1" customHeight="1">
      <c r="A706" s="6" t="s">
        <v>3904</v>
      </c>
      <c r="B706" s="6" t="s">
        <v>3905</v>
      </c>
      <c r="C706" s="6" t="s">
        <v>352</v>
      </c>
      <c r="D706" s="6" t="s">
        <v>3906</v>
      </c>
      <c r="E706" s="6" t="s">
        <v>35</v>
      </c>
      <c r="F706" s="6" t="s">
        <v>787</v>
      </c>
      <c r="G706" s="6" t="s">
        <v>3577</v>
      </c>
      <c r="H706" s="6" t="s">
        <v>3578</v>
      </c>
      <c r="I706" s="6" t="s">
        <v>3907</v>
      </c>
      <c r="J706" s="6" t="s">
        <v>3908</v>
      </c>
      <c r="K706" s="6" t="s">
        <v>521</v>
      </c>
      <c r="L706" s="14" t="s">
        <v>55</v>
      </c>
    </row>
    <row r="707" ht="15.75" hidden="1" customHeight="1">
      <c r="A707" s="6" t="s">
        <v>3909</v>
      </c>
      <c r="B707" s="6" t="s">
        <v>3910</v>
      </c>
      <c r="C707" s="6" t="s">
        <v>352</v>
      </c>
      <c r="D707" s="6" t="s">
        <v>3911</v>
      </c>
      <c r="E707" s="6" t="s">
        <v>35</v>
      </c>
      <c r="F707" s="6" t="s">
        <v>787</v>
      </c>
      <c r="G707" s="6" t="s">
        <v>3577</v>
      </c>
      <c r="H707" s="6" t="s">
        <v>3578</v>
      </c>
      <c r="I707" s="6" t="s">
        <v>3912</v>
      </c>
      <c r="J707" s="6" t="s">
        <v>3913</v>
      </c>
      <c r="K707" s="6" t="s">
        <v>521</v>
      </c>
      <c r="L707" s="10" t="s">
        <v>609</v>
      </c>
    </row>
    <row r="708" ht="15.75" hidden="1" customHeight="1">
      <c r="A708" s="6" t="s">
        <v>3914</v>
      </c>
      <c r="B708" s="6" t="s">
        <v>3915</v>
      </c>
      <c r="C708" s="6" t="s">
        <v>352</v>
      </c>
      <c r="D708" s="6" t="s">
        <v>3916</v>
      </c>
      <c r="E708" s="6" t="s">
        <v>35</v>
      </c>
      <c r="F708" s="6" t="s">
        <v>787</v>
      </c>
      <c r="G708" s="6" t="s">
        <v>3577</v>
      </c>
      <c r="H708" s="6" t="s">
        <v>3578</v>
      </c>
      <c r="I708" s="6" t="s">
        <v>3917</v>
      </c>
      <c r="J708" s="6" t="s">
        <v>3918</v>
      </c>
      <c r="K708" s="6" t="s">
        <v>521</v>
      </c>
      <c r="L708" s="10" t="s">
        <v>609</v>
      </c>
    </row>
    <row r="709" ht="15.75" hidden="1" customHeight="1">
      <c r="A709" s="6" t="s">
        <v>3919</v>
      </c>
      <c r="B709" s="6" t="s">
        <v>3920</v>
      </c>
      <c r="C709" s="6" t="s">
        <v>352</v>
      </c>
      <c r="D709" s="6" t="s">
        <v>3921</v>
      </c>
      <c r="E709" s="6" t="s">
        <v>35</v>
      </c>
      <c r="F709" s="6" t="s">
        <v>787</v>
      </c>
      <c r="G709" s="6" t="s">
        <v>3577</v>
      </c>
      <c r="H709" s="6" t="s">
        <v>3578</v>
      </c>
      <c r="I709" s="6" t="s">
        <v>3922</v>
      </c>
      <c r="J709" s="6" t="s">
        <v>3923</v>
      </c>
      <c r="K709" s="6" t="s">
        <v>521</v>
      </c>
      <c r="L709" s="10" t="s">
        <v>609</v>
      </c>
    </row>
    <row r="710" ht="15.75" hidden="1" customHeight="1">
      <c r="A710" s="6" t="s">
        <v>3924</v>
      </c>
      <c r="B710" s="6" t="s">
        <v>3925</v>
      </c>
      <c r="C710" s="6" t="s">
        <v>352</v>
      </c>
      <c r="D710" s="6" t="s">
        <v>3926</v>
      </c>
      <c r="E710" s="6" t="s">
        <v>35</v>
      </c>
      <c r="F710" s="6" t="s">
        <v>787</v>
      </c>
      <c r="G710" s="6" t="s">
        <v>3577</v>
      </c>
      <c r="H710" s="6" t="s">
        <v>3578</v>
      </c>
      <c r="I710" s="6" t="s">
        <v>3927</v>
      </c>
      <c r="J710" s="6" t="s">
        <v>3928</v>
      </c>
      <c r="K710" s="6" t="s">
        <v>521</v>
      </c>
      <c r="L710" s="10" t="s">
        <v>609</v>
      </c>
    </row>
    <row r="711" ht="15.75" hidden="1" customHeight="1">
      <c r="A711" s="6" t="s">
        <v>3929</v>
      </c>
      <c r="B711" s="6" t="s">
        <v>3930</v>
      </c>
      <c r="C711" s="6" t="s">
        <v>352</v>
      </c>
      <c r="D711" s="6" t="s">
        <v>3931</v>
      </c>
      <c r="E711" s="6" t="s">
        <v>35</v>
      </c>
      <c r="F711" s="6" t="s">
        <v>787</v>
      </c>
      <c r="G711" s="6" t="s">
        <v>3577</v>
      </c>
      <c r="H711" s="6" t="s">
        <v>3578</v>
      </c>
      <c r="I711" s="6" t="s">
        <v>3932</v>
      </c>
      <c r="J711" s="6" t="s">
        <v>3933</v>
      </c>
      <c r="K711" s="6" t="s">
        <v>521</v>
      </c>
      <c r="L711" s="10" t="s">
        <v>609</v>
      </c>
    </row>
    <row r="712" ht="15.75" hidden="1" customHeight="1">
      <c r="A712" s="6" t="s">
        <v>3934</v>
      </c>
      <c r="B712" s="6" t="s">
        <v>3935</v>
      </c>
      <c r="C712" s="6" t="s">
        <v>352</v>
      </c>
      <c r="D712" s="6" t="s">
        <v>3936</v>
      </c>
      <c r="E712" s="6" t="s">
        <v>35</v>
      </c>
      <c r="F712" s="6" t="s">
        <v>787</v>
      </c>
      <c r="G712" s="6" t="s">
        <v>3577</v>
      </c>
      <c r="H712" s="6" t="s">
        <v>3578</v>
      </c>
      <c r="I712" s="6" t="s">
        <v>3937</v>
      </c>
      <c r="J712" s="6" t="s">
        <v>3938</v>
      </c>
      <c r="K712" s="6" t="s">
        <v>521</v>
      </c>
      <c r="L712" s="10" t="s">
        <v>609</v>
      </c>
    </row>
    <row r="713" ht="15.75" hidden="1" customHeight="1">
      <c r="A713" s="6" t="s">
        <v>3939</v>
      </c>
      <c r="B713" s="6" t="s">
        <v>3940</v>
      </c>
      <c r="C713" s="6" t="s">
        <v>352</v>
      </c>
      <c r="D713" s="6" t="s">
        <v>3941</v>
      </c>
      <c r="E713" s="6" t="s">
        <v>35</v>
      </c>
      <c r="F713" s="6" t="s">
        <v>787</v>
      </c>
      <c r="G713" s="6" t="s">
        <v>3577</v>
      </c>
      <c r="H713" s="6" t="s">
        <v>3578</v>
      </c>
      <c r="I713" s="6" t="s">
        <v>3942</v>
      </c>
      <c r="J713" s="6" t="s">
        <v>3943</v>
      </c>
      <c r="K713" s="6" t="s">
        <v>521</v>
      </c>
      <c r="L713" s="10" t="s">
        <v>609</v>
      </c>
    </row>
    <row r="714" ht="15.75" hidden="1" customHeight="1">
      <c r="A714" s="6" t="s">
        <v>3944</v>
      </c>
      <c r="B714" s="6" t="s">
        <v>3945</v>
      </c>
      <c r="C714" s="6" t="s">
        <v>352</v>
      </c>
      <c r="D714" s="6" t="s">
        <v>3946</v>
      </c>
      <c r="E714" s="6" t="s">
        <v>35</v>
      </c>
      <c r="F714" s="6" t="s">
        <v>787</v>
      </c>
      <c r="G714" s="6" t="s">
        <v>3577</v>
      </c>
      <c r="H714" s="6" t="s">
        <v>3578</v>
      </c>
      <c r="I714" s="6" t="s">
        <v>3947</v>
      </c>
      <c r="J714" s="6" t="s">
        <v>3948</v>
      </c>
      <c r="K714" s="6" t="s">
        <v>521</v>
      </c>
      <c r="L714" s="10" t="s">
        <v>609</v>
      </c>
    </row>
    <row r="715" ht="15.75" hidden="1" customHeight="1">
      <c r="A715" s="6" t="s">
        <v>3949</v>
      </c>
      <c r="B715" s="6" t="s">
        <v>3950</v>
      </c>
      <c r="C715" s="6" t="s">
        <v>352</v>
      </c>
      <c r="D715" s="6" t="s">
        <v>3951</v>
      </c>
      <c r="E715" s="6" t="s">
        <v>35</v>
      </c>
      <c r="F715" s="6" t="s">
        <v>787</v>
      </c>
      <c r="G715" s="6" t="s">
        <v>3577</v>
      </c>
      <c r="H715" s="6" t="s">
        <v>3578</v>
      </c>
      <c r="I715" s="6" t="s">
        <v>3952</v>
      </c>
      <c r="J715" s="6" t="s">
        <v>3953</v>
      </c>
      <c r="K715" s="6" t="s">
        <v>521</v>
      </c>
      <c r="L715" s="10" t="s">
        <v>609</v>
      </c>
    </row>
    <row r="716" ht="15.75" hidden="1" customHeight="1">
      <c r="A716" s="6" t="s">
        <v>3954</v>
      </c>
      <c r="B716" s="6" t="s">
        <v>3955</v>
      </c>
      <c r="C716" s="6" t="s">
        <v>352</v>
      </c>
      <c r="D716" s="6" t="s">
        <v>3956</v>
      </c>
      <c r="E716" s="6" t="s">
        <v>35</v>
      </c>
      <c r="F716" s="6" t="s">
        <v>787</v>
      </c>
      <c r="G716" s="6" t="s">
        <v>3577</v>
      </c>
      <c r="H716" s="6" t="s">
        <v>3578</v>
      </c>
      <c r="I716" s="6" t="s">
        <v>3957</v>
      </c>
      <c r="J716" s="6" t="s">
        <v>3958</v>
      </c>
      <c r="K716" s="6" t="s">
        <v>521</v>
      </c>
      <c r="L716" s="10" t="s">
        <v>609</v>
      </c>
    </row>
    <row r="717" ht="15.75" hidden="1" customHeight="1">
      <c r="A717" s="6" t="s">
        <v>3959</v>
      </c>
      <c r="B717" s="6" t="s">
        <v>3960</v>
      </c>
      <c r="C717" s="6" t="s">
        <v>352</v>
      </c>
      <c r="D717" s="6" t="s">
        <v>3961</v>
      </c>
      <c r="E717" s="6" t="s">
        <v>35</v>
      </c>
      <c r="F717" s="6" t="s">
        <v>787</v>
      </c>
      <c r="G717" s="6" t="s">
        <v>3577</v>
      </c>
      <c r="H717" s="6" t="s">
        <v>3578</v>
      </c>
      <c r="I717" s="6" t="s">
        <v>3962</v>
      </c>
      <c r="J717" s="6" t="s">
        <v>3963</v>
      </c>
      <c r="K717" s="6" t="s">
        <v>521</v>
      </c>
      <c r="L717" s="10" t="s">
        <v>609</v>
      </c>
    </row>
    <row r="718" ht="15.75" hidden="1" customHeight="1">
      <c r="A718" s="6" t="s">
        <v>3964</v>
      </c>
      <c r="B718" s="6" t="s">
        <v>3965</v>
      </c>
      <c r="C718" s="6" t="s">
        <v>352</v>
      </c>
      <c r="D718" s="6" t="s">
        <v>3966</v>
      </c>
      <c r="E718" s="6" t="s">
        <v>35</v>
      </c>
      <c r="F718" s="6" t="s">
        <v>787</v>
      </c>
      <c r="G718" s="6" t="s">
        <v>3577</v>
      </c>
      <c r="H718" s="6" t="s">
        <v>3578</v>
      </c>
      <c r="I718" s="6" t="s">
        <v>3967</v>
      </c>
      <c r="J718" s="6" t="s">
        <v>3968</v>
      </c>
      <c r="K718" s="6" t="s">
        <v>521</v>
      </c>
      <c r="L718" s="10" t="s">
        <v>609</v>
      </c>
    </row>
    <row r="719" ht="15.75" hidden="1" customHeight="1">
      <c r="A719" s="6" t="s">
        <v>3969</v>
      </c>
      <c r="B719" s="6" t="s">
        <v>3970</v>
      </c>
      <c r="C719" s="6" t="s">
        <v>352</v>
      </c>
      <c r="D719" s="6" t="s">
        <v>3971</v>
      </c>
      <c r="E719" s="6" t="s">
        <v>35</v>
      </c>
      <c r="F719" s="6" t="s">
        <v>787</v>
      </c>
      <c r="G719" s="6" t="s">
        <v>3577</v>
      </c>
      <c r="H719" s="6" t="s">
        <v>3578</v>
      </c>
      <c r="I719" s="6" t="s">
        <v>3972</v>
      </c>
      <c r="J719" s="6" t="s">
        <v>3973</v>
      </c>
      <c r="K719" s="6" t="s">
        <v>521</v>
      </c>
      <c r="L719" s="10" t="s">
        <v>30</v>
      </c>
    </row>
    <row r="720" ht="15.75" hidden="1" customHeight="1">
      <c r="A720" s="6" t="s">
        <v>3974</v>
      </c>
      <c r="B720" s="6" t="s">
        <v>3975</v>
      </c>
      <c r="C720" s="6" t="s">
        <v>352</v>
      </c>
      <c r="D720" s="6" t="s">
        <v>3976</v>
      </c>
      <c r="E720" s="6" t="s">
        <v>35</v>
      </c>
      <c r="F720" s="6" t="s">
        <v>787</v>
      </c>
      <c r="G720" s="6" t="s">
        <v>3577</v>
      </c>
      <c r="H720" s="6" t="s">
        <v>3578</v>
      </c>
      <c r="I720" s="6" t="s">
        <v>3977</v>
      </c>
      <c r="J720" s="6" t="s">
        <v>3978</v>
      </c>
      <c r="K720" s="6" t="s">
        <v>521</v>
      </c>
      <c r="L720" s="10" t="s">
        <v>30</v>
      </c>
    </row>
    <row r="721" ht="15.75" hidden="1" customHeight="1">
      <c r="A721" s="6" t="s">
        <v>3979</v>
      </c>
      <c r="B721" s="6" t="s">
        <v>3980</v>
      </c>
      <c r="C721" s="6" t="s">
        <v>352</v>
      </c>
      <c r="D721" s="6" t="s">
        <v>3981</v>
      </c>
      <c r="E721" s="6" t="s">
        <v>35</v>
      </c>
      <c r="F721" s="6" t="s">
        <v>787</v>
      </c>
      <c r="G721" s="6" t="s">
        <v>3577</v>
      </c>
      <c r="H721" s="6" t="s">
        <v>3578</v>
      </c>
      <c r="I721" s="6" t="s">
        <v>3982</v>
      </c>
      <c r="J721" s="6" t="s">
        <v>3983</v>
      </c>
      <c r="K721" s="6" t="s">
        <v>521</v>
      </c>
      <c r="L721" s="10" t="s">
        <v>30</v>
      </c>
    </row>
    <row r="722" ht="15.75" hidden="1" customHeight="1">
      <c r="A722" s="6" t="s">
        <v>3984</v>
      </c>
      <c r="B722" s="6" t="s">
        <v>3985</v>
      </c>
      <c r="C722" s="6" t="s">
        <v>352</v>
      </c>
      <c r="D722" s="6" t="s">
        <v>3986</v>
      </c>
      <c r="E722" s="6" t="s">
        <v>35</v>
      </c>
      <c r="F722" s="6" t="s">
        <v>787</v>
      </c>
      <c r="G722" s="6" t="s">
        <v>3577</v>
      </c>
      <c r="H722" s="6" t="s">
        <v>3578</v>
      </c>
      <c r="I722" s="6" t="s">
        <v>3987</v>
      </c>
      <c r="J722" s="6" t="s">
        <v>3988</v>
      </c>
      <c r="K722" s="6" t="s">
        <v>521</v>
      </c>
      <c r="L722" s="10" t="s">
        <v>30</v>
      </c>
    </row>
    <row r="723" ht="15.75" hidden="1" customHeight="1">
      <c r="A723" s="6" t="s">
        <v>3989</v>
      </c>
      <c r="B723" s="6" t="s">
        <v>3990</v>
      </c>
      <c r="C723" s="6" t="s">
        <v>352</v>
      </c>
      <c r="D723" s="6" t="s">
        <v>3991</v>
      </c>
      <c r="E723" s="6" t="s">
        <v>35</v>
      </c>
      <c r="F723" s="6" t="s">
        <v>787</v>
      </c>
      <c r="G723" s="6" t="s">
        <v>3577</v>
      </c>
      <c r="H723" s="6" t="s">
        <v>3578</v>
      </c>
      <c r="I723" s="6" t="s">
        <v>3992</v>
      </c>
      <c r="J723" s="6" t="s">
        <v>3993</v>
      </c>
      <c r="K723" s="6" t="s">
        <v>521</v>
      </c>
      <c r="L723" s="10" t="s">
        <v>30</v>
      </c>
    </row>
    <row r="724" ht="15.75" hidden="1" customHeight="1">
      <c r="A724" s="6" t="s">
        <v>3994</v>
      </c>
      <c r="B724" s="6" t="s">
        <v>3995</v>
      </c>
      <c r="C724" s="6" t="s">
        <v>352</v>
      </c>
      <c r="D724" s="6" t="s">
        <v>3996</v>
      </c>
      <c r="E724" s="6" t="s">
        <v>35</v>
      </c>
      <c r="F724" s="6" t="s">
        <v>787</v>
      </c>
      <c r="G724" s="6" t="s">
        <v>3577</v>
      </c>
      <c r="H724" s="6" t="s">
        <v>3578</v>
      </c>
      <c r="I724" s="6" t="s">
        <v>3997</v>
      </c>
      <c r="J724" s="6" t="s">
        <v>3998</v>
      </c>
      <c r="K724" s="6" t="s">
        <v>521</v>
      </c>
      <c r="L724" s="10" t="s">
        <v>30</v>
      </c>
    </row>
    <row r="725" ht="15.75" hidden="1" customHeight="1">
      <c r="A725" s="6" t="s">
        <v>3999</v>
      </c>
      <c r="B725" s="6" t="s">
        <v>4000</v>
      </c>
      <c r="C725" s="6" t="s">
        <v>352</v>
      </c>
      <c r="D725" s="6" t="s">
        <v>4001</v>
      </c>
      <c r="E725" s="6" t="s">
        <v>35</v>
      </c>
      <c r="F725" s="6" t="s">
        <v>787</v>
      </c>
      <c r="G725" s="6" t="s">
        <v>3577</v>
      </c>
      <c r="H725" s="6" t="s">
        <v>3578</v>
      </c>
      <c r="I725" s="6" t="s">
        <v>4002</v>
      </c>
      <c r="J725" s="6" t="s">
        <v>4003</v>
      </c>
      <c r="K725" s="6" t="s">
        <v>521</v>
      </c>
      <c r="L725" s="10" t="s">
        <v>30</v>
      </c>
    </row>
    <row r="726" ht="15.75" hidden="1" customHeight="1">
      <c r="A726" s="6" t="s">
        <v>4004</v>
      </c>
      <c r="B726" s="6" t="s">
        <v>4005</v>
      </c>
      <c r="C726" s="6" t="s">
        <v>352</v>
      </c>
      <c r="D726" s="6" t="s">
        <v>4006</v>
      </c>
      <c r="E726" s="6" t="s">
        <v>35</v>
      </c>
      <c r="F726" s="6" t="s">
        <v>787</v>
      </c>
      <c r="G726" s="6" t="s">
        <v>3577</v>
      </c>
      <c r="H726" s="6" t="s">
        <v>3578</v>
      </c>
      <c r="I726" s="6" t="s">
        <v>4007</v>
      </c>
      <c r="J726" s="6" t="s">
        <v>4008</v>
      </c>
      <c r="K726" s="6" t="s">
        <v>521</v>
      </c>
      <c r="L726" s="10" t="s">
        <v>30</v>
      </c>
    </row>
    <row r="727" ht="15.75" hidden="1" customHeight="1">
      <c r="A727" s="6" t="s">
        <v>4009</v>
      </c>
      <c r="B727" s="6" t="s">
        <v>4010</v>
      </c>
      <c r="C727" s="6" t="s">
        <v>352</v>
      </c>
      <c r="D727" s="6" t="s">
        <v>4011</v>
      </c>
      <c r="E727" s="6" t="s">
        <v>35</v>
      </c>
      <c r="F727" s="6" t="s">
        <v>787</v>
      </c>
      <c r="G727" s="6" t="s">
        <v>3577</v>
      </c>
      <c r="H727" s="6" t="s">
        <v>3578</v>
      </c>
      <c r="I727" s="6" t="s">
        <v>4012</v>
      </c>
      <c r="J727" s="6" t="s">
        <v>4013</v>
      </c>
      <c r="K727" s="6" t="s">
        <v>521</v>
      </c>
      <c r="L727" s="10" t="s">
        <v>30</v>
      </c>
    </row>
    <row r="728" ht="15.75" hidden="1" customHeight="1">
      <c r="A728" s="6" t="s">
        <v>4014</v>
      </c>
      <c r="B728" s="6" t="s">
        <v>4015</v>
      </c>
      <c r="C728" s="6" t="s">
        <v>352</v>
      </c>
      <c r="D728" s="6" t="s">
        <v>4016</v>
      </c>
      <c r="E728" s="6" t="s">
        <v>35</v>
      </c>
      <c r="F728" s="6" t="s">
        <v>787</v>
      </c>
      <c r="G728" s="6" t="s">
        <v>3577</v>
      </c>
      <c r="H728" s="6" t="s">
        <v>3578</v>
      </c>
      <c r="I728" s="6" t="s">
        <v>4017</v>
      </c>
      <c r="J728" s="6" t="s">
        <v>4018</v>
      </c>
      <c r="K728" s="6" t="s">
        <v>521</v>
      </c>
      <c r="L728" s="10" t="s">
        <v>30</v>
      </c>
    </row>
    <row r="729" ht="15.75" hidden="1" customHeight="1">
      <c r="A729" s="6" t="s">
        <v>4019</v>
      </c>
      <c r="B729" s="6" t="s">
        <v>4020</v>
      </c>
      <c r="C729" s="6" t="s">
        <v>352</v>
      </c>
      <c r="D729" s="6" t="s">
        <v>4021</v>
      </c>
      <c r="E729" s="6" t="s">
        <v>35</v>
      </c>
      <c r="F729" s="6" t="s">
        <v>787</v>
      </c>
      <c r="G729" s="6" t="s">
        <v>3577</v>
      </c>
      <c r="H729" s="6" t="s">
        <v>3578</v>
      </c>
      <c r="I729" s="6" t="s">
        <v>4022</v>
      </c>
      <c r="J729" s="6" t="s">
        <v>4023</v>
      </c>
      <c r="K729" s="6" t="s">
        <v>521</v>
      </c>
      <c r="L729" s="10" t="s">
        <v>30</v>
      </c>
    </row>
    <row r="730" ht="15.75" hidden="1" customHeight="1">
      <c r="A730" s="6" t="s">
        <v>4024</v>
      </c>
      <c r="B730" s="6" t="s">
        <v>4025</v>
      </c>
      <c r="C730" s="6" t="s">
        <v>352</v>
      </c>
      <c r="D730" s="6" t="s">
        <v>4026</v>
      </c>
      <c r="E730" s="6" t="s">
        <v>35</v>
      </c>
      <c r="F730" s="6" t="s">
        <v>882</v>
      </c>
      <c r="G730" s="6" t="s">
        <v>920</v>
      </c>
      <c r="H730" s="6" t="s">
        <v>921</v>
      </c>
      <c r="I730" s="6" t="s">
        <v>4027</v>
      </c>
      <c r="J730" s="6" t="s">
        <v>4028</v>
      </c>
      <c r="K730" s="6" t="s">
        <v>521</v>
      </c>
      <c r="L730" s="10" t="s">
        <v>30</v>
      </c>
    </row>
    <row r="731" ht="15.75" hidden="1" customHeight="1">
      <c r="A731" s="6" t="s">
        <v>4029</v>
      </c>
      <c r="B731" s="6" t="s">
        <v>4030</v>
      </c>
      <c r="C731" s="6" t="s">
        <v>352</v>
      </c>
      <c r="D731" s="6" t="s">
        <v>4031</v>
      </c>
      <c r="E731" s="6" t="s">
        <v>35</v>
      </c>
      <c r="F731" s="6" t="s">
        <v>787</v>
      </c>
      <c r="G731" s="6" t="s">
        <v>3577</v>
      </c>
      <c r="H731" s="6" t="s">
        <v>3578</v>
      </c>
      <c r="I731" s="6" t="s">
        <v>4032</v>
      </c>
      <c r="J731" s="6" t="s">
        <v>4033</v>
      </c>
      <c r="K731" s="6" t="s">
        <v>521</v>
      </c>
      <c r="L731" s="10" t="s">
        <v>30</v>
      </c>
    </row>
    <row r="732" ht="15.75" hidden="1" customHeight="1">
      <c r="A732" s="6" t="s">
        <v>4034</v>
      </c>
      <c r="B732" s="6" t="s">
        <v>4035</v>
      </c>
      <c r="C732" s="6" t="s">
        <v>352</v>
      </c>
      <c r="D732" s="6" t="s">
        <v>4036</v>
      </c>
      <c r="E732" s="6" t="s">
        <v>35</v>
      </c>
      <c r="F732" s="6" t="s">
        <v>787</v>
      </c>
      <c r="G732" s="6" t="s">
        <v>3577</v>
      </c>
      <c r="H732" s="6" t="s">
        <v>3578</v>
      </c>
      <c r="I732" s="6" t="s">
        <v>4037</v>
      </c>
      <c r="J732" s="6" t="s">
        <v>4038</v>
      </c>
      <c r="K732" s="6" t="s">
        <v>521</v>
      </c>
      <c r="L732" s="10" t="s">
        <v>30</v>
      </c>
    </row>
    <row r="733" ht="15.75" hidden="1" customHeight="1">
      <c r="A733" s="6" t="s">
        <v>4039</v>
      </c>
      <c r="B733" s="6" t="s">
        <v>4040</v>
      </c>
      <c r="C733" s="6" t="s">
        <v>352</v>
      </c>
      <c r="D733" s="6" t="s">
        <v>4041</v>
      </c>
      <c r="E733" s="6" t="s">
        <v>35</v>
      </c>
      <c r="F733" s="6" t="s">
        <v>787</v>
      </c>
      <c r="G733" s="6" t="s">
        <v>3577</v>
      </c>
      <c r="H733" s="6" t="s">
        <v>3578</v>
      </c>
      <c r="I733" s="6" t="s">
        <v>4042</v>
      </c>
      <c r="J733" s="6" t="s">
        <v>4043</v>
      </c>
      <c r="K733" s="6" t="s">
        <v>521</v>
      </c>
      <c r="L733" s="10" t="s">
        <v>30</v>
      </c>
    </row>
    <row r="734" ht="15.75" hidden="1" customHeight="1">
      <c r="A734" s="6" t="s">
        <v>4044</v>
      </c>
      <c r="B734" s="6" t="s">
        <v>4045</v>
      </c>
      <c r="C734" s="6" t="s">
        <v>352</v>
      </c>
      <c r="D734" s="6" t="s">
        <v>4046</v>
      </c>
      <c r="E734" s="6" t="s">
        <v>35</v>
      </c>
      <c r="F734" s="6" t="s">
        <v>787</v>
      </c>
      <c r="G734" s="6" t="s">
        <v>3577</v>
      </c>
      <c r="H734" s="6" t="s">
        <v>3578</v>
      </c>
      <c r="I734" s="6" t="s">
        <v>4047</v>
      </c>
      <c r="J734" s="6" t="s">
        <v>4048</v>
      </c>
      <c r="K734" s="6" t="s">
        <v>521</v>
      </c>
      <c r="L734" s="10" t="s">
        <v>30</v>
      </c>
    </row>
    <row r="735" ht="15.75" hidden="1" customHeight="1">
      <c r="A735" s="6" t="s">
        <v>4049</v>
      </c>
      <c r="B735" s="6" t="s">
        <v>4050</v>
      </c>
      <c r="C735" s="6" t="s">
        <v>352</v>
      </c>
      <c r="D735" s="6" t="s">
        <v>4051</v>
      </c>
      <c r="E735" s="6" t="s">
        <v>35</v>
      </c>
      <c r="F735" s="6" t="s">
        <v>787</v>
      </c>
      <c r="G735" s="6" t="s">
        <v>3577</v>
      </c>
      <c r="H735" s="6" t="s">
        <v>3578</v>
      </c>
      <c r="I735" s="6" t="s">
        <v>4052</v>
      </c>
      <c r="J735" s="6" t="s">
        <v>4053</v>
      </c>
      <c r="K735" s="6" t="s">
        <v>521</v>
      </c>
      <c r="L735" s="10" t="s">
        <v>30</v>
      </c>
    </row>
    <row r="736" ht="15.75" hidden="1" customHeight="1">
      <c r="A736" s="6" t="s">
        <v>4054</v>
      </c>
      <c r="B736" s="6" t="s">
        <v>4055</v>
      </c>
      <c r="C736" s="6" t="s">
        <v>352</v>
      </c>
      <c r="D736" s="6" t="s">
        <v>4056</v>
      </c>
      <c r="E736" s="6" t="s">
        <v>35</v>
      </c>
      <c r="F736" s="6" t="s">
        <v>787</v>
      </c>
      <c r="G736" s="6" t="s">
        <v>3577</v>
      </c>
      <c r="H736" s="6" t="s">
        <v>3578</v>
      </c>
      <c r="I736" s="6" t="s">
        <v>4057</v>
      </c>
      <c r="J736" s="6" t="s">
        <v>4058</v>
      </c>
      <c r="K736" s="6" t="s">
        <v>521</v>
      </c>
      <c r="L736" s="10" t="s">
        <v>30</v>
      </c>
    </row>
    <row r="737" ht="15.75" hidden="1" customHeight="1">
      <c r="A737" s="6" t="s">
        <v>4059</v>
      </c>
      <c r="B737" s="6" t="s">
        <v>4060</v>
      </c>
      <c r="C737" s="6" t="s">
        <v>352</v>
      </c>
      <c r="D737" s="6" t="s">
        <v>4061</v>
      </c>
      <c r="E737" s="6" t="s">
        <v>35</v>
      </c>
      <c r="F737" s="6" t="s">
        <v>787</v>
      </c>
      <c r="G737" s="6" t="s">
        <v>3577</v>
      </c>
      <c r="H737" s="6" t="s">
        <v>3578</v>
      </c>
      <c r="I737" s="6" t="s">
        <v>4062</v>
      </c>
      <c r="J737" s="6" t="s">
        <v>4063</v>
      </c>
      <c r="K737" s="6" t="s">
        <v>521</v>
      </c>
      <c r="L737" s="10" t="s">
        <v>30</v>
      </c>
    </row>
    <row r="738" ht="15.75" hidden="1" customHeight="1">
      <c r="A738" s="6" t="s">
        <v>4064</v>
      </c>
      <c r="B738" s="6" t="s">
        <v>4065</v>
      </c>
      <c r="C738" s="6" t="s">
        <v>352</v>
      </c>
      <c r="D738" s="6" t="s">
        <v>4066</v>
      </c>
      <c r="E738" s="6" t="s">
        <v>35</v>
      </c>
      <c r="F738" s="6" t="s">
        <v>787</v>
      </c>
      <c r="G738" s="6" t="s">
        <v>3577</v>
      </c>
      <c r="H738" s="6" t="s">
        <v>3578</v>
      </c>
      <c r="I738" s="6" t="s">
        <v>4067</v>
      </c>
      <c r="J738" s="6" t="s">
        <v>4068</v>
      </c>
      <c r="K738" s="6" t="s">
        <v>521</v>
      </c>
      <c r="L738" s="10" t="s">
        <v>30</v>
      </c>
    </row>
    <row r="739" ht="15.75" hidden="1" customHeight="1">
      <c r="A739" s="6" t="s">
        <v>4069</v>
      </c>
      <c r="B739" s="6" t="s">
        <v>4070</v>
      </c>
      <c r="C739" s="6" t="s">
        <v>352</v>
      </c>
      <c r="D739" s="6" t="s">
        <v>4071</v>
      </c>
      <c r="E739" s="6" t="s">
        <v>35</v>
      </c>
      <c r="F739" s="6" t="s">
        <v>787</v>
      </c>
      <c r="G739" s="6" t="s">
        <v>3577</v>
      </c>
      <c r="H739" s="6" t="s">
        <v>3578</v>
      </c>
      <c r="I739" s="6" t="s">
        <v>4072</v>
      </c>
      <c r="J739" s="6" t="s">
        <v>4073</v>
      </c>
      <c r="K739" s="6" t="s">
        <v>521</v>
      </c>
      <c r="L739" s="10" t="s">
        <v>30</v>
      </c>
    </row>
    <row r="740" ht="15.75" hidden="1" customHeight="1">
      <c r="A740" s="6" t="s">
        <v>4074</v>
      </c>
      <c r="B740" s="6" t="s">
        <v>4075</v>
      </c>
      <c r="C740" s="6" t="s">
        <v>352</v>
      </c>
      <c r="D740" s="6" t="s">
        <v>4076</v>
      </c>
      <c r="E740" s="6" t="s">
        <v>35</v>
      </c>
      <c r="F740" s="6" t="s">
        <v>787</v>
      </c>
      <c r="G740" s="6" t="s">
        <v>3577</v>
      </c>
      <c r="H740" s="6" t="s">
        <v>3578</v>
      </c>
      <c r="I740" s="6" t="s">
        <v>4077</v>
      </c>
      <c r="J740" s="6" t="s">
        <v>4078</v>
      </c>
      <c r="K740" s="6" t="s">
        <v>521</v>
      </c>
      <c r="L740" s="10" t="s">
        <v>30</v>
      </c>
    </row>
    <row r="741" ht="15.75" hidden="1" customHeight="1">
      <c r="A741" s="6" t="s">
        <v>4079</v>
      </c>
      <c r="B741" s="6" t="s">
        <v>4080</v>
      </c>
      <c r="C741" s="6" t="s">
        <v>352</v>
      </c>
      <c r="D741" s="6" t="s">
        <v>4081</v>
      </c>
      <c r="E741" s="6" t="s">
        <v>35</v>
      </c>
      <c r="F741" s="6" t="s">
        <v>787</v>
      </c>
      <c r="G741" s="6" t="s">
        <v>3577</v>
      </c>
      <c r="H741" s="6" t="s">
        <v>3578</v>
      </c>
      <c r="I741" s="6" t="s">
        <v>4082</v>
      </c>
      <c r="J741" s="6" t="s">
        <v>4083</v>
      </c>
      <c r="K741" s="6" t="s">
        <v>521</v>
      </c>
      <c r="L741" s="10" t="s">
        <v>30</v>
      </c>
    </row>
    <row r="742" ht="15.75" hidden="1" customHeight="1">
      <c r="A742" s="6" t="s">
        <v>4084</v>
      </c>
      <c r="B742" s="6" t="s">
        <v>4085</v>
      </c>
      <c r="C742" s="6" t="s">
        <v>352</v>
      </c>
      <c r="D742" s="6" t="s">
        <v>4086</v>
      </c>
      <c r="E742" s="6" t="s">
        <v>22</v>
      </c>
      <c r="F742" s="6" t="s">
        <v>3048</v>
      </c>
      <c r="G742" s="6" t="s">
        <v>3129</v>
      </c>
      <c r="H742" s="6" t="s">
        <v>3130</v>
      </c>
      <c r="I742" s="6" t="s">
        <v>4087</v>
      </c>
      <c r="J742" s="6" t="s">
        <v>4088</v>
      </c>
      <c r="K742" s="6" t="s">
        <v>521</v>
      </c>
      <c r="L742" s="10" t="s">
        <v>30</v>
      </c>
    </row>
    <row r="743" ht="15.75" hidden="1" customHeight="1">
      <c r="A743" s="6" t="s">
        <v>4089</v>
      </c>
      <c r="B743" s="6" t="s">
        <v>4090</v>
      </c>
      <c r="C743" s="6" t="s">
        <v>352</v>
      </c>
      <c r="D743" s="6" t="s">
        <v>4091</v>
      </c>
      <c r="E743" s="6" t="s">
        <v>22</v>
      </c>
      <c r="F743" s="6" t="s">
        <v>3048</v>
      </c>
      <c r="G743" s="6" t="s">
        <v>3129</v>
      </c>
      <c r="H743" s="6" t="s">
        <v>3130</v>
      </c>
      <c r="I743" s="6" t="s">
        <v>4092</v>
      </c>
      <c r="J743" s="6" t="s">
        <v>4093</v>
      </c>
      <c r="K743" s="6" t="s">
        <v>521</v>
      </c>
      <c r="L743" s="10" t="s">
        <v>30</v>
      </c>
    </row>
    <row r="744" ht="15.75" hidden="1" customHeight="1">
      <c r="A744" s="6" t="s">
        <v>4094</v>
      </c>
      <c r="B744" s="6" t="s">
        <v>4095</v>
      </c>
      <c r="C744" s="6" t="s">
        <v>352</v>
      </c>
      <c r="D744" s="6" t="s">
        <v>4096</v>
      </c>
      <c r="E744" s="6" t="s">
        <v>35</v>
      </c>
      <c r="F744" s="6" t="s">
        <v>787</v>
      </c>
      <c r="G744" s="6" t="s">
        <v>1644</v>
      </c>
      <c r="H744" s="6" t="s">
        <v>1645</v>
      </c>
      <c r="I744" s="6" t="s">
        <v>4097</v>
      </c>
      <c r="J744" s="6" t="s">
        <v>4098</v>
      </c>
      <c r="K744" s="6" t="s">
        <v>1699</v>
      </c>
      <c r="L744" s="14" t="s">
        <v>55</v>
      </c>
    </row>
    <row r="745" ht="15.75" hidden="1" customHeight="1">
      <c r="A745" s="6" t="s">
        <v>4099</v>
      </c>
      <c r="B745" s="6" t="s">
        <v>4100</v>
      </c>
      <c r="C745" s="6" t="s">
        <v>352</v>
      </c>
      <c r="D745" s="6" t="s">
        <v>4101</v>
      </c>
      <c r="E745" s="6" t="s">
        <v>35</v>
      </c>
      <c r="F745" s="6" t="s">
        <v>787</v>
      </c>
      <c r="G745" s="6" t="s">
        <v>1644</v>
      </c>
      <c r="H745" s="6" t="s">
        <v>1645</v>
      </c>
      <c r="I745" s="6" t="s">
        <v>4102</v>
      </c>
      <c r="J745" s="6" t="s">
        <v>4103</v>
      </c>
      <c r="K745" s="6" t="s">
        <v>1699</v>
      </c>
      <c r="L745" s="10" t="s">
        <v>609</v>
      </c>
    </row>
    <row r="746" ht="15.75" hidden="1" customHeight="1">
      <c r="A746" s="6" t="s">
        <v>4104</v>
      </c>
      <c r="B746" s="6" t="s">
        <v>4105</v>
      </c>
      <c r="C746" s="6" t="s">
        <v>352</v>
      </c>
      <c r="D746" s="6" t="s">
        <v>4106</v>
      </c>
      <c r="E746" s="6" t="s">
        <v>35</v>
      </c>
      <c r="F746" s="6" t="s">
        <v>787</v>
      </c>
      <c r="G746" s="6" t="s">
        <v>3577</v>
      </c>
      <c r="H746" s="6" t="s">
        <v>3578</v>
      </c>
      <c r="I746" s="6" t="s">
        <v>4107</v>
      </c>
      <c r="J746" s="6" t="s">
        <v>4108</v>
      </c>
      <c r="K746" s="6" t="s">
        <v>521</v>
      </c>
      <c r="L746" s="10" t="s">
        <v>30</v>
      </c>
    </row>
    <row r="747" ht="15.75" hidden="1" customHeight="1">
      <c r="A747" s="6" t="s">
        <v>4109</v>
      </c>
      <c r="B747" s="6" t="s">
        <v>4110</v>
      </c>
      <c r="C747" s="6" t="s">
        <v>352</v>
      </c>
      <c r="D747" s="6" t="s">
        <v>4111</v>
      </c>
      <c r="E747" s="6" t="s">
        <v>35</v>
      </c>
      <c r="F747" s="6" t="s">
        <v>271</v>
      </c>
      <c r="G747" s="6" t="s">
        <v>1707</v>
      </c>
      <c r="H747" s="6" t="s">
        <v>1708</v>
      </c>
      <c r="I747" s="6" t="s">
        <v>4112</v>
      </c>
      <c r="J747" s="6" t="s">
        <v>4113</v>
      </c>
      <c r="K747" s="6" t="s">
        <v>521</v>
      </c>
      <c r="L747" s="10" t="s">
        <v>30</v>
      </c>
    </row>
    <row r="748" ht="15.75" hidden="1" customHeight="1">
      <c r="A748" s="6" t="s">
        <v>4114</v>
      </c>
      <c r="B748" s="6" t="s">
        <v>4115</v>
      </c>
      <c r="C748" s="6" t="s">
        <v>389</v>
      </c>
      <c r="D748" s="6" t="s">
        <v>21</v>
      </c>
      <c r="E748" s="6" t="s">
        <v>22</v>
      </c>
      <c r="F748" s="6" t="s">
        <v>23</v>
      </c>
      <c r="G748" s="6" t="s">
        <v>24</v>
      </c>
      <c r="H748" s="6" t="s">
        <v>25</v>
      </c>
      <c r="I748" s="6" t="s">
        <v>4116</v>
      </c>
      <c r="J748" s="6" t="s">
        <v>4117</v>
      </c>
      <c r="K748" s="6" t="s">
        <v>29</v>
      </c>
      <c r="L748" s="10" t="s">
        <v>30</v>
      </c>
    </row>
    <row r="749" ht="15.75" hidden="1" customHeight="1">
      <c r="A749" s="6" t="s">
        <v>4118</v>
      </c>
      <c r="B749" s="6" t="s">
        <v>4119</v>
      </c>
      <c r="C749" s="6" t="s">
        <v>389</v>
      </c>
      <c r="D749" s="6" t="s">
        <v>4120</v>
      </c>
      <c r="E749" s="6" t="s">
        <v>35</v>
      </c>
      <c r="F749" s="6" t="s">
        <v>271</v>
      </c>
      <c r="G749" s="6" t="s">
        <v>272</v>
      </c>
      <c r="H749" s="6" t="s">
        <v>273</v>
      </c>
      <c r="I749" s="6" t="s">
        <v>4121</v>
      </c>
      <c r="J749" s="6" t="s">
        <v>4122</v>
      </c>
      <c r="K749" s="6" t="s">
        <v>1699</v>
      </c>
      <c r="L749" s="14" t="s">
        <v>55</v>
      </c>
    </row>
    <row r="750" ht="15.75" hidden="1" customHeight="1">
      <c r="A750" s="6" t="s">
        <v>4123</v>
      </c>
      <c r="B750" s="6" t="s">
        <v>4124</v>
      </c>
      <c r="C750" s="6" t="s">
        <v>389</v>
      </c>
      <c r="D750" s="6" t="s">
        <v>4125</v>
      </c>
      <c r="E750" s="6" t="s">
        <v>35</v>
      </c>
      <c r="F750" s="6" t="s">
        <v>271</v>
      </c>
      <c r="G750" s="6" t="s">
        <v>272</v>
      </c>
      <c r="H750" s="6" t="s">
        <v>273</v>
      </c>
      <c r="I750" s="6" t="s">
        <v>4126</v>
      </c>
      <c r="J750" s="6" t="s">
        <v>4127</v>
      </c>
      <c r="K750" s="6" t="s">
        <v>1699</v>
      </c>
      <c r="L750" s="10" t="s">
        <v>609</v>
      </c>
    </row>
    <row r="751" ht="15.75" hidden="1" customHeight="1">
      <c r="A751" s="6" t="s">
        <v>4128</v>
      </c>
      <c r="B751" s="6" t="s">
        <v>4129</v>
      </c>
      <c r="C751" s="6" t="s">
        <v>389</v>
      </c>
      <c r="D751" s="6" t="s">
        <v>4130</v>
      </c>
      <c r="E751" s="6" t="s">
        <v>35</v>
      </c>
      <c r="F751" s="6" t="s">
        <v>271</v>
      </c>
      <c r="G751" s="6" t="s">
        <v>272</v>
      </c>
      <c r="H751" s="6" t="s">
        <v>273</v>
      </c>
      <c r="I751" s="6" t="s">
        <v>4131</v>
      </c>
      <c r="J751" s="6" t="s">
        <v>4132</v>
      </c>
      <c r="K751" s="6" t="s">
        <v>497</v>
      </c>
      <c r="L751" s="10" t="s">
        <v>609</v>
      </c>
    </row>
    <row r="752" ht="15.75" hidden="1" customHeight="1">
      <c r="A752" s="6" t="s">
        <v>4133</v>
      </c>
      <c r="B752" s="6" t="s">
        <v>4134</v>
      </c>
      <c r="C752" s="6" t="s">
        <v>389</v>
      </c>
      <c r="D752" s="6" t="s">
        <v>4135</v>
      </c>
      <c r="E752" s="6" t="s">
        <v>35</v>
      </c>
      <c r="F752" s="6" t="s">
        <v>271</v>
      </c>
      <c r="G752" s="6" t="s">
        <v>272</v>
      </c>
      <c r="H752" s="6" t="s">
        <v>273</v>
      </c>
      <c r="I752" s="6" t="s">
        <v>4136</v>
      </c>
      <c r="J752" s="6" t="s">
        <v>4137</v>
      </c>
      <c r="K752" s="6" t="s">
        <v>497</v>
      </c>
      <c r="L752" s="10" t="s">
        <v>609</v>
      </c>
    </row>
    <row r="753" ht="15.75" hidden="1" customHeight="1">
      <c r="A753" s="6" t="s">
        <v>4138</v>
      </c>
      <c r="B753" s="6" t="s">
        <v>4139</v>
      </c>
      <c r="C753" s="6" t="s">
        <v>389</v>
      </c>
      <c r="D753" s="6" t="s">
        <v>4140</v>
      </c>
      <c r="E753" s="6" t="s">
        <v>35</v>
      </c>
      <c r="F753" s="6" t="s">
        <v>271</v>
      </c>
      <c r="G753" s="6" t="s">
        <v>272</v>
      </c>
      <c r="H753" s="6" t="s">
        <v>273</v>
      </c>
      <c r="I753" s="6" t="s">
        <v>4141</v>
      </c>
      <c r="J753" s="6" t="s">
        <v>4142</v>
      </c>
      <c r="K753" s="6" t="s">
        <v>497</v>
      </c>
      <c r="L753" s="10" t="s">
        <v>609</v>
      </c>
    </row>
    <row r="754" ht="15.75" hidden="1" customHeight="1">
      <c r="A754" s="6" t="s">
        <v>4143</v>
      </c>
      <c r="B754" s="6" t="s">
        <v>4144</v>
      </c>
      <c r="C754" s="6" t="s">
        <v>389</v>
      </c>
      <c r="D754" s="6" t="s">
        <v>4145</v>
      </c>
      <c r="E754" s="6" t="s">
        <v>35</v>
      </c>
      <c r="F754" s="6" t="s">
        <v>271</v>
      </c>
      <c r="G754" s="6" t="s">
        <v>272</v>
      </c>
      <c r="H754" s="6" t="s">
        <v>273</v>
      </c>
      <c r="I754" s="6" t="s">
        <v>4146</v>
      </c>
      <c r="J754" s="6" t="s">
        <v>4147</v>
      </c>
      <c r="K754" s="6" t="s">
        <v>497</v>
      </c>
      <c r="L754" s="10" t="s">
        <v>609</v>
      </c>
    </row>
    <row r="755" ht="15.75" hidden="1" customHeight="1">
      <c r="A755" s="6" t="s">
        <v>4148</v>
      </c>
      <c r="B755" s="6" t="s">
        <v>4149</v>
      </c>
      <c r="C755" s="6" t="s">
        <v>389</v>
      </c>
      <c r="D755" s="6" t="s">
        <v>4150</v>
      </c>
      <c r="E755" s="6" t="s">
        <v>35</v>
      </c>
      <c r="F755" s="6" t="s">
        <v>271</v>
      </c>
      <c r="G755" s="6" t="s">
        <v>272</v>
      </c>
      <c r="H755" s="6" t="s">
        <v>273</v>
      </c>
      <c r="I755" s="6" t="s">
        <v>4151</v>
      </c>
      <c r="J755" s="6" t="s">
        <v>4152</v>
      </c>
      <c r="K755" s="6" t="s">
        <v>497</v>
      </c>
      <c r="L755" s="10" t="s">
        <v>609</v>
      </c>
    </row>
    <row r="756" ht="15.75" hidden="1" customHeight="1">
      <c r="A756" s="6" t="s">
        <v>4153</v>
      </c>
      <c r="B756" s="6" t="s">
        <v>4154</v>
      </c>
      <c r="C756" s="6" t="s">
        <v>389</v>
      </c>
      <c r="D756" s="6" t="s">
        <v>4155</v>
      </c>
      <c r="E756" s="6" t="s">
        <v>35</v>
      </c>
      <c r="F756" s="6" t="s">
        <v>271</v>
      </c>
      <c r="G756" s="6" t="s">
        <v>272</v>
      </c>
      <c r="H756" s="6" t="s">
        <v>273</v>
      </c>
      <c r="I756" s="6" t="s">
        <v>4156</v>
      </c>
      <c r="J756" s="6" t="s">
        <v>4157</v>
      </c>
      <c r="K756" s="6" t="s">
        <v>497</v>
      </c>
      <c r="L756" s="10" t="s">
        <v>609</v>
      </c>
    </row>
    <row r="757" ht="15.75" customHeight="1">
      <c r="A757" s="6" t="s">
        <v>4158</v>
      </c>
      <c r="B757" s="6" t="s">
        <v>4159</v>
      </c>
      <c r="C757" s="6" t="s">
        <v>389</v>
      </c>
      <c r="D757" s="6" t="s">
        <v>4160</v>
      </c>
      <c r="E757" s="6" t="s">
        <v>35</v>
      </c>
      <c r="F757" s="6" t="s">
        <v>667</v>
      </c>
      <c r="G757" s="6" t="s">
        <v>668</v>
      </c>
      <c r="H757" s="6" t="s">
        <v>669</v>
      </c>
      <c r="I757" s="6" t="s">
        <v>4161</v>
      </c>
      <c r="J757" s="6" t="s">
        <v>4162</v>
      </c>
      <c r="K757" s="6" t="s">
        <v>4163</v>
      </c>
      <c r="L757" s="14" t="s">
        <v>55</v>
      </c>
    </row>
    <row r="758" ht="15.75" customHeight="1">
      <c r="A758" s="6" t="s">
        <v>4164</v>
      </c>
      <c r="B758" s="6" t="s">
        <v>4165</v>
      </c>
      <c r="C758" s="6" t="s">
        <v>389</v>
      </c>
      <c r="D758" s="6" t="s">
        <v>4166</v>
      </c>
      <c r="E758" s="6" t="s">
        <v>35</v>
      </c>
      <c r="F758" s="6" t="s">
        <v>667</v>
      </c>
      <c r="G758" s="6" t="s">
        <v>668</v>
      </c>
      <c r="H758" s="6" t="s">
        <v>669</v>
      </c>
      <c r="I758" s="6" t="s">
        <v>4167</v>
      </c>
      <c r="J758" s="6" t="s">
        <v>4168</v>
      </c>
      <c r="K758" s="6" t="s">
        <v>4163</v>
      </c>
      <c r="L758" s="10" t="s">
        <v>609</v>
      </c>
    </row>
    <row r="759" ht="15.75" customHeight="1">
      <c r="A759" s="6" t="s">
        <v>4169</v>
      </c>
      <c r="B759" s="6" t="s">
        <v>4170</v>
      </c>
      <c r="C759" s="6" t="s">
        <v>389</v>
      </c>
      <c r="D759" s="6" t="s">
        <v>4171</v>
      </c>
      <c r="E759" s="6" t="s">
        <v>35</v>
      </c>
      <c r="F759" s="6" t="s">
        <v>271</v>
      </c>
      <c r="G759" s="6" t="s">
        <v>993</v>
      </c>
      <c r="H759" s="6" t="s">
        <v>994</v>
      </c>
      <c r="I759" s="6" t="s">
        <v>4172</v>
      </c>
      <c r="J759" s="6" t="s">
        <v>4173</v>
      </c>
      <c r="K759" s="6" t="s">
        <v>276</v>
      </c>
      <c r="L759" s="12" t="s">
        <v>43</v>
      </c>
    </row>
    <row r="760" ht="15.75" customHeight="1">
      <c r="A760" s="6" t="s">
        <v>4174</v>
      </c>
      <c r="B760" s="6" t="s">
        <v>4175</v>
      </c>
      <c r="C760" s="6" t="s">
        <v>389</v>
      </c>
      <c r="D760" s="6" t="s">
        <v>4176</v>
      </c>
      <c r="E760" s="6" t="s">
        <v>35</v>
      </c>
      <c r="F760" s="6" t="s">
        <v>271</v>
      </c>
      <c r="G760" s="6" t="s">
        <v>993</v>
      </c>
      <c r="H760" s="6" t="s">
        <v>994</v>
      </c>
      <c r="I760" s="6" t="s">
        <v>4177</v>
      </c>
      <c r="J760" s="6" t="s">
        <v>4178</v>
      </c>
      <c r="K760" s="6" t="s">
        <v>276</v>
      </c>
      <c r="L760" s="14" t="s">
        <v>55</v>
      </c>
    </row>
    <row r="761" ht="15.75" customHeight="1">
      <c r="A761" s="6" t="s">
        <v>4179</v>
      </c>
      <c r="B761" s="6" t="s">
        <v>4180</v>
      </c>
      <c r="C761" s="6" t="s">
        <v>389</v>
      </c>
      <c r="D761" s="6" t="s">
        <v>4181</v>
      </c>
      <c r="E761" s="6" t="s">
        <v>35</v>
      </c>
      <c r="F761" s="6" t="s">
        <v>271</v>
      </c>
      <c r="G761" s="6" t="s">
        <v>993</v>
      </c>
      <c r="H761" s="6" t="s">
        <v>994</v>
      </c>
      <c r="I761" s="6" t="s">
        <v>4182</v>
      </c>
      <c r="J761" s="6" t="s">
        <v>4183</v>
      </c>
      <c r="K761" s="6" t="s">
        <v>276</v>
      </c>
      <c r="L761" s="14" t="s">
        <v>55</v>
      </c>
    </row>
    <row r="762" ht="15.75" customHeight="1">
      <c r="A762" s="6" t="s">
        <v>4184</v>
      </c>
      <c r="B762" s="6" t="s">
        <v>4185</v>
      </c>
      <c r="C762" s="6" t="s">
        <v>389</v>
      </c>
      <c r="D762" s="6" t="s">
        <v>4186</v>
      </c>
      <c r="E762" s="6" t="s">
        <v>35</v>
      </c>
      <c r="F762" s="6" t="s">
        <v>271</v>
      </c>
      <c r="G762" s="6" t="s">
        <v>993</v>
      </c>
      <c r="H762" s="6" t="s">
        <v>994</v>
      </c>
      <c r="I762" s="6" t="s">
        <v>4187</v>
      </c>
      <c r="J762" s="6" t="s">
        <v>4188</v>
      </c>
      <c r="K762" s="6" t="s">
        <v>276</v>
      </c>
      <c r="L762" s="14" t="s">
        <v>55</v>
      </c>
    </row>
    <row r="763" ht="15.75" customHeight="1">
      <c r="A763" s="6" t="s">
        <v>4189</v>
      </c>
      <c r="B763" s="6" t="s">
        <v>4190</v>
      </c>
      <c r="C763" s="6" t="s">
        <v>389</v>
      </c>
      <c r="D763" s="6" t="s">
        <v>4191</v>
      </c>
      <c r="E763" s="6" t="s">
        <v>35</v>
      </c>
      <c r="F763" s="6" t="s">
        <v>271</v>
      </c>
      <c r="G763" s="6" t="s">
        <v>993</v>
      </c>
      <c r="H763" s="6" t="s">
        <v>994</v>
      </c>
      <c r="I763" s="6" t="s">
        <v>4192</v>
      </c>
      <c r="J763" s="6" t="s">
        <v>4193</v>
      </c>
      <c r="K763" s="6" t="s">
        <v>4163</v>
      </c>
      <c r="L763" s="14" t="s">
        <v>55</v>
      </c>
    </row>
    <row r="764" ht="15.75" customHeight="1">
      <c r="A764" s="6" t="s">
        <v>4194</v>
      </c>
      <c r="B764" s="6" t="s">
        <v>4195</v>
      </c>
      <c r="C764" s="6" t="s">
        <v>389</v>
      </c>
      <c r="D764" s="6" t="s">
        <v>4196</v>
      </c>
      <c r="E764" s="6" t="s">
        <v>35</v>
      </c>
      <c r="F764" s="6" t="s">
        <v>271</v>
      </c>
      <c r="G764" s="6" t="s">
        <v>272</v>
      </c>
      <c r="H764" s="6" t="s">
        <v>273</v>
      </c>
      <c r="I764" s="6" t="s">
        <v>4197</v>
      </c>
      <c r="J764" s="6" t="s">
        <v>4198</v>
      </c>
      <c r="K764" s="6" t="s">
        <v>276</v>
      </c>
      <c r="L764" s="12" t="s">
        <v>43</v>
      </c>
    </row>
    <row r="765" ht="15.75" customHeight="1">
      <c r="A765" s="6" t="s">
        <v>4199</v>
      </c>
      <c r="B765" s="6" t="s">
        <v>4200</v>
      </c>
      <c r="C765" s="6" t="s">
        <v>389</v>
      </c>
      <c r="D765" s="6" t="s">
        <v>4201</v>
      </c>
      <c r="E765" s="6" t="s">
        <v>35</v>
      </c>
      <c r="F765" s="6" t="s">
        <v>271</v>
      </c>
      <c r="G765" s="6" t="s">
        <v>272</v>
      </c>
      <c r="H765" s="6" t="s">
        <v>273</v>
      </c>
      <c r="I765" s="6" t="s">
        <v>4202</v>
      </c>
      <c r="J765" s="6" t="s">
        <v>4203</v>
      </c>
      <c r="K765" s="6" t="s">
        <v>276</v>
      </c>
      <c r="L765" s="14" t="s">
        <v>55</v>
      </c>
    </row>
    <row r="766" ht="15.75" customHeight="1">
      <c r="A766" s="6" t="s">
        <v>4204</v>
      </c>
      <c r="B766" s="6" t="s">
        <v>4205</v>
      </c>
      <c r="C766" s="6" t="s">
        <v>389</v>
      </c>
      <c r="D766" s="6" t="s">
        <v>4206</v>
      </c>
      <c r="E766" s="6" t="s">
        <v>35</v>
      </c>
      <c r="F766" s="6" t="s">
        <v>271</v>
      </c>
      <c r="G766" s="6" t="s">
        <v>272</v>
      </c>
      <c r="H766" s="6" t="s">
        <v>273</v>
      </c>
      <c r="I766" s="6" t="s">
        <v>4207</v>
      </c>
      <c r="J766" s="6" t="s">
        <v>4208</v>
      </c>
      <c r="K766" s="6" t="s">
        <v>276</v>
      </c>
      <c r="L766" s="14" t="s">
        <v>55</v>
      </c>
    </row>
    <row r="767" ht="15.75" customHeight="1">
      <c r="A767" s="6" t="s">
        <v>4209</v>
      </c>
      <c r="B767" s="6" t="s">
        <v>4210</v>
      </c>
      <c r="C767" s="6" t="s">
        <v>389</v>
      </c>
      <c r="D767" s="6" t="s">
        <v>4211</v>
      </c>
      <c r="E767" s="6" t="s">
        <v>35</v>
      </c>
      <c r="F767" s="6" t="s">
        <v>271</v>
      </c>
      <c r="G767" s="6" t="s">
        <v>272</v>
      </c>
      <c r="H767" s="6" t="s">
        <v>273</v>
      </c>
      <c r="I767" s="6" t="s">
        <v>4212</v>
      </c>
      <c r="J767" s="6" t="s">
        <v>4213</v>
      </c>
      <c r="K767" s="6" t="s">
        <v>276</v>
      </c>
      <c r="L767" s="12" t="s">
        <v>43</v>
      </c>
    </row>
    <row r="768" ht="15.75" customHeight="1">
      <c r="A768" s="6" t="s">
        <v>4214</v>
      </c>
      <c r="B768" s="6" t="s">
        <v>4215</v>
      </c>
      <c r="C768" s="6" t="s">
        <v>389</v>
      </c>
      <c r="D768" s="6" t="s">
        <v>4216</v>
      </c>
      <c r="E768" s="6" t="s">
        <v>35</v>
      </c>
      <c r="F768" s="6" t="s">
        <v>271</v>
      </c>
      <c r="G768" s="6" t="s">
        <v>272</v>
      </c>
      <c r="H768" s="6" t="s">
        <v>273</v>
      </c>
      <c r="I768" s="6" t="s">
        <v>4217</v>
      </c>
      <c r="J768" s="6" t="s">
        <v>4218</v>
      </c>
      <c r="K768" s="6" t="s">
        <v>276</v>
      </c>
      <c r="L768" s="14" t="s">
        <v>55</v>
      </c>
    </row>
    <row r="769" ht="15.75" customHeight="1">
      <c r="A769" s="6" t="s">
        <v>4219</v>
      </c>
      <c r="B769" s="6" t="s">
        <v>4220</v>
      </c>
      <c r="C769" s="6" t="s">
        <v>389</v>
      </c>
      <c r="D769" s="6" t="s">
        <v>4221</v>
      </c>
      <c r="E769" s="6" t="s">
        <v>35</v>
      </c>
      <c r="F769" s="6" t="s">
        <v>271</v>
      </c>
      <c r="G769" s="6" t="s">
        <v>272</v>
      </c>
      <c r="H769" s="6" t="s">
        <v>273</v>
      </c>
      <c r="I769" s="6" t="s">
        <v>4222</v>
      </c>
      <c r="J769" s="6" t="s">
        <v>4223</v>
      </c>
      <c r="K769" s="6" t="s">
        <v>276</v>
      </c>
      <c r="L769" s="14" t="s">
        <v>55</v>
      </c>
    </row>
    <row r="770" ht="15.75" customHeight="1">
      <c r="A770" s="6" t="s">
        <v>4224</v>
      </c>
      <c r="B770" s="6" t="s">
        <v>4225</v>
      </c>
      <c r="C770" s="6" t="s">
        <v>389</v>
      </c>
      <c r="D770" s="6" t="s">
        <v>4226</v>
      </c>
      <c r="E770" s="6" t="s">
        <v>35</v>
      </c>
      <c r="F770" s="6" t="s">
        <v>271</v>
      </c>
      <c r="G770" s="6" t="s">
        <v>272</v>
      </c>
      <c r="H770" s="6" t="s">
        <v>273</v>
      </c>
      <c r="I770" s="6" t="s">
        <v>4227</v>
      </c>
      <c r="J770" s="6" t="s">
        <v>4228</v>
      </c>
      <c r="K770" s="6" t="s">
        <v>276</v>
      </c>
      <c r="L770" s="14" t="s">
        <v>55</v>
      </c>
    </row>
    <row r="771" ht="15.75" customHeight="1">
      <c r="A771" s="6" t="s">
        <v>4229</v>
      </c>
      <c r="B771" s="6" t="s">
        <v>4230</v>
      </c>
      <c r="C771" s="6" t="s">
        <v>389</v>
      </c>
      <c r="D771" s="6" t="s">
        <v>4231</v>
      </c>
      <c r="E771" s="6" t="s">
        <v>35</v>
      </c>
      <c r="F771" s="6" t="s">
        <v>271</v>
      </c>
      <c r="G771" s="6" t="s">
        <v>272</v>
      </c>
      <c r="H771" s="6" t="s">
        <v>273</v>
      </c>
      <c r="I771" s="6" t="s">
        <v>4232</v>
      </c>
      <c r="J771" s="6" t="s">
        <v>4233</v>
      </c>
      <c r="K771" s="6" t="s">
        <v>276</v>
      </c>
      <c r="L771" s="14" t="s">
        <v>55</v>
      </c>
    </row>
    <row r="772" ht="15.75" customHeight="1">
      <c r="A772" s="6" t="s">
        <v>4234</v>
      </c>
      <c r="B772" s="6" t="s">
        <v>4235</v>
      </c>
      <c r="C772" s="6" t="s">
        <v>389</v>
      </c>
      <c r="D772" s="6" t="s">
        <v>4236</v>
      </c>
      <c r="E772" s="6" t="s">
        <v>35</v>
      </c>
      <c r="F772" s="6" t="s">
        <v>271</v>
      </c>
      <c r="G772" s="6" t="s">
        <v>272</v>
      </c>
      <c r="H772" s="6" t="s">
        <v>273</v>
      </c>
      <c r="I772" s="6" t="s">
        <v>4237</v>
      </c>
      <c r="J772" s="6" t="s">
        <v>4238</v>
      </c>
      <c r="K772" s="6" t="s">
        <v>276</v>
      </c>
      <c r="L772" s="14" t="s">
        <v>55</v>
      </c>
    </row>
    <row r="773" ht="15.75" customHeight="1">
      <c r="A773" s="6" t="s">
        <v>4239</v>
      </c>
      <c r="B773" s="6" t="s">
        <v>4240</v>
      </c>
      <c r="C773" s="6" t="s">
        <v>389</v>
      </c>
      <c r="D773" s="6" t="s">
        <v>4241</v>
      </c>
      <c r="E773" s="6" t="s">
        <v>35</v>
      </c>
      <c r="F773" s="6" t="s">
        <v>271</v>
      </c>
      <c r="G773" s="6" t="s">
        <v>272</v>
      </c>
      <c r="H773" s="6" t="s">
        <v>273</v>
      </c>
      <c r="I773" s="6" t="s">
        <v>4242</v>
      </c>
      <c r="J773" s="6" t="s">
        <v>4243</v>
      </c>
      <c r="K773" s="6" t="s">
        <v>276</v>
      </c>
      <c r="L773" s="14" t="s">
        <v>55</v>
      </c>
    </row>
    <row r="774" ht="15.75" customHeight="1">
      <c r="A774" s="6" t="s">
        <v>4244</v>
      </c>
      <c r="B774" s="6" t="s">
        <v>4245</v>
      </c>
      <c r="C774" s="6" t="s">
        <v>389</v>
      </c>
      <c r="D774" s="6" t="s">
        <v>4246</v>
      </c>
      <c r="E774" s="6" t="s">
        <v>35</v>
      </c>
      <c r="F774" s="6" t="s">
        <v>271</v>
      </c>
      <c r="G774" s="6" t="s">
        <v>272</v>
      </c>
      <c r="H774" s="6" t="s">
        <v>273</v>
      </c>
      <c r="I774" s="6" t="s">
        <v>4247</v>
      </c>
      <c r="J774" s="6" t="s">
        <v>4248</v>
      </c>
      <c r="K774" s="6" t="s">
        <v>276</v>
      </c>
      <c r="L774" s="14" t="s">
        <v>55</v>
      </c>
    </row>
    <row r="775" ht="15.75" customHeight="1">
      <c r="A775" s="6" t="s">
        <v>4249</v>
      </c>
      <c r="B775" s="6" t="s">
        <v>4250</v>
      </c>
      <c r="C775" s="6" t="s">
        <v>389</v>
      </c>
      <c r="D775" s="6" t="s">
        <v>4251</v>
      </c>
      <c r="E775" s="6" t="s">
        <v>35</v>
      </c>
      <c r="F775" s="6" t="s">
        <v>271</v>
      </c>
      <c r="G775" s="6" t="s">
        <v>272</v>
      </c>
      <c r="H775" s="6" t="s">
        <v>273</v>
      </c>
      <c r="I775" s="6" t="s">
        <v>4252</v>
      </c>
      <c r="J775" s="6" t="s">
        <v>4253</v>
      </c>
      <c r="K775" s="6" t="s">
        <v>276</v>
      </c>
      <c r="L775" s="14" t="s">
        <v>55</v>
      </c>
    </row>
    <row r="776" ht="15.75" customHeight="1">
      <c r="A776" s="6" t="s">
        <v>4254</v>
      </c>
      <c r="B776" s="6" t="s">
        <v>4255</v>
      </c>
      <c r="C776" s="6" t="s">
        <v>389</v>
      </c>
      <c r="D776" s="6" t="s">
        <v>4256</v>
      </c>
      <c r="E776" s="6" t="s">
        <v>35</v>
      </c>
      <c r="F776" s="6" t="s">
        <v>271</v>
      </c>
      <c r="G776" s="6" t="s">
        <v>272</v>
      </c>
      <c r="H776" s="6" t="s">
        <v>273</v>
      </c>
      <c r="I776" s="6" t="s">
        <v>4257</v>
      </c>
      <c r="J776" s="6" t="s">
        <v>4258</v>
      </c>
      <c r="K776" s="6" t="s">
        <v>276</v>
      </c>
      <c r="L776" s="12" t="s">
        <v>43</v>
      </c>
    </row>
    <row r="777" ht="15.75" customHeight="1">
      <c r="A777" s="6" t="s">
        <v>4259</v>
      </c>
      <c r="B777" s="6" t="s">
        <v>4260</v>
      </c>
      <c r="C777" s="6" t="s">
        <v>389</v>
      </c>
      <c r="D777" s="6" t="s">
        <v>4261</v>
      </c>
      <c r="E777" s="6" t="s">
        <v>35</v>
      </c>
      <c r="F777" s="6" t="s">
        <v>271</v>
      </c>
      <c r="G777" s="6" t="s">
        <v>272</v>
      </c>
      <c r="H777" s="6" t="s">
        <v>273</v>
      </c>
      <c r="I777" s="6" t="s">
        <v>4262</v>
      </c>
      <c r="J777" s="6" t="s">
        <v>4263</v>
      </c>
      <c r="K777" s="6" t="s">
        <v>276</v>
      </c>
      <c r="L777" s="14" t="s">
        <v>55</v>
      </c>
    </row>
    <row r="778" ht="15.75" customHeight="1">
      <c r="A778" s="6" t="s">
        <v>4264</v>
      </c>
      <c r="B778" s="6" t="s">
        <v>4265</v>
      </c>
      <c r="C778" s="6" t="s">
        <v>389</v>
      </c>
      <c r="D778" s="6" t="s">
        <v>4266</v>
      </c>
      <c r="E778" s="6" t="s">
        <v>35</v>
      </c>
      <c r="F778" s="6" t="s">
        <v>271</v>
      </c>
      <c r="G778" s="6" t="s">
        <v>272</v>
      </c>
      <c r="H778" s="6" t="s">
        <v>273</v>
      </c>
      <c r="I778" s="6" t="s">
        <v>4267</v>
      </c>
      <c r="J778" s="6" t="s">
        <v>4268</v>
      </c>
      <c r="K778" s="6" t="s">
        <v>276</v>
      </c>
      <c r="L778" s="14" t="s">
        <v>55</v>
      </c>
    </row>
    <row r="779" ht="15.75" customHeight="1">
      <c r="A779" s="6" t="s">
        <v>4269</v>
      </c>
      <c r="B779" s="6" t="s">
        <v>4270</v>
      </c>
      <c r="C779" s="6" t="s">
        <v>389</v>
      </c>
      <c r="D779" s="6" t="s">
        <v>4271</v>
      </c>
      <c r="E779" s="6" t="s">
        <v>35</v>
      </c>
      <c r="F779" s="6" t="s">
        <v>271</v>
      </c>
      <c r="G779" s="6" t="s">
        <v>272</v>
      </c>
      <c r="H779" s="6" t="s">
        <v>273</v>
      </c>
      <c r="I779" s="6" t="s">
        <v>4272</v>
      </c>
      <c r="J779" s="6" t="s">
        <v>4273</v>
      </c>
      <c r="K779" s="6" t="s">
        <v>276</v>
      </c>
      <c r="L779" s="14" t="s">
        <v>55</v>
      </c>
    </row>
    <row r="780" ht="15.75" customHeight="1">
      <c r="A780" s="6" t="s">
        <v>4274</v>
      </c>
      <c r="B780" s="6" t="s">
        <v>4275</v>
      </c>
      <c r="C780" s="6" t="s">
        <v>389</v>
      </c>
      <c r="D780" s="6" t="s">
        <v>4276</v>
      </c>
      <c r="E780" s="6" t="s">
        <v>35</v>
      </c>
      <c r="F780" s="6" t="s">
        <v>271</v>
      </c>
      <c r="G780" s="6" t="s">
        <v>272</v>
      </c>
      <c r="H780" s="6" t="s">
        <v>273</v>
      </c>
      <c r="I780" s="6" t="s">
        <v>4277</v>
      </c>
      <c r="J780" s="6" t="s">
        <v>4278</v>
      </c>
      <c r="K780" s="6" t="s">
        <v>276</v>
      </c>
      <c r="L780" s="14" t="s">
        <v>55</v>
      </c>
    </row>
    <row r="781" ht="15.75" customHeight="1">
      <c r="A781" s="6" t="s">
        <v>4279</v>
      </c>
      <c r="B781" s="6" t="s">
        <v>4280</v>
      </c>
      <c r="C781" s="6" t="s">
        <v>389</v>
      </c>
      <c r="D781" s="6" t="s">
        <v>4281</v>
      </c>
      <c r="E781" s="6" t="s">
        <v>35</v>
      </c>
      <c r="F781" s="6" t="s">
        <v>271</v>
      </c>
      <c r="G781" s="6" t="s">
        <v>272</v>
      </c>
      <c r="H781" s="6" t="s">
        <v>273</v>
      </c>
      <c r="I781" s="6" t="s">
        <v>4282</v>
      </c>
      <c r="J781" s="6" t="s">
        <v>4283</v>
      </c>
      <c r="K781" s="6" t="s">
        <v>276</v>
      </c>
      <c r="L781" s="14" t="s">
        <v>55</v>
      </c>
    </row>
    <row r="782" ht="15.75" customHeight="1">
      <c r="A782" s="6" t="s">
        <v>4284</v>
      </c>
      <c r="B782" s="6" t="s">
        <v>4285</v>
      </c>
      <c r="C782" s="6" t="s">
        <v>389</v>
      </c>
      <c r="D782" s="6" t="s">
        <v>4286</v>
      </c>
      <c r="E782" s="6" t="s">
        <v>35</v>
      </c>
      <c r="F782" s="6" t="s">
        <v>271</v>
      </c>
      <c r="G782" s="6" t="s">
        <v>272</v>
      </c>
      <c r="H782" s="6" t="s">
        <v>273</v>
      </c>
      <c r="I782" s="6" t="s">
        <v>4287</v>
      </c>
      <c r="J782" s="6" t="s">
        <v>4288</v>
      </c>
      <c r="K782" s="6" t="s">
        <v>276</v>
      </c>
      <c r="L782" s="14" t="s">
        <v>55</v>
      </c>
    </row>
    <row r="783" ht="15.75" customHeight="1">
      <c r="A783" s="6" t="s">
        <v>4289</v>
      </c>
      <c r="B783" s="6" t="s">
        <v>4290</v>
      </c>
      <c r="C783" s="6" t="s">
        <v>389</v>
      </c>
      <c r="D783" s="6" t="s">
        <v>4291</v>
      </c>
      <c r="E783" s="6" t="s">
        <v>35</v>
      </c>
      <c r="F783" s="6" t="s">
        <v>271</v>
      </c>
      <c r="G783" s="6" t="s">
        <v>272</v>
      </c>
      <c r="H783" s="6" t="s">
        <v>273</v>
      </c>
      <c r="I783" s="6" t="s">
        <v>4292</v>
      </c>
      <c r="J783" s="6" t="s">
        <v>4293</v>
      </c>
      <c r="K783" s="6" t="s">
        <v>276</v>
      </c>
      <c r="L783" s="14" t="s">
        <v>55</v>
      </c>
    </row>
    <row r="784" ht="15.75" customHeight="1">
      <c r="A784" s="6" t="s">
        <v>4294</v>
      </c>
      <c r="B784" s="6" t="s">
        <v>4295</v>
      </c>
      <c r="C784" s="6" t="s">
        <v>389</v>
      </c>
      <c r="D784" s="6" t="s">
        <v>4296</v>
      </c>
      <c r="E784" s="6" t="s">
        <v>35</v>
      </c>
      <c r="F784" s="6" t="s">
        <v>271</v>
      </c>
      <c r="G784" s="6" t="s">
        <v>272</v>
      </c>
      <c r="H784" s="6" t="s">
        <v>273</v>
      </c>
      <c r="I784" s="6" t="s">
        <v>4297</v>
      </c>
      <c r="J784" s="6" t="s">
        <v>4298</v>
      </c>
      <c r="K784" s="6" t="s">
        <v>276</v>
      </c>
      <c r="L784" s="14" t="s">
        <v>55</v>
      </c>
    </row>
    <row r="785" ht="15.75" customHeight="1">
      <c r="A785" s="6" t="s">
        <v>4299</v>
      </c>
      <c r="B785" s="6" t="s">
        <v>4300</v>
      </c>
      <c r="C785" s="6" t="s">
        <v>389</v>
      </c>
      <c r="D785" s="6" t="s">
        <v>4301</v>
      </c>
      <c r="E785" s="6" t="s">
        <v>35</v>
      </c>
      <c r="F785" s="6" t="s">
        <v>271</v>
      </c>
      <c r="G785" s="6" t="s">
        <v>272</v>
      </c>
      <c r="H785" s="6" t="s">
        <v>273</v>
      </c>
      <c r="I785" s="6" t="s">
        <v>4302</v>
      </c>
      <c r="J785" s="6" t="s">
        <v>4303</v>
      </c>
      <c r="K785" s="6" t="s">
        <v>276</v>
      </c>
      <c r="L785" s="14" t="s">
        <v>55</v>
      </c>
    </row>
    <row r="786" ht="15.75" customHeight="1">
      <c r="A786" s="6" t="s">
        <v>4304</v>
      </c>
      <c r="B786" s="6" t="s">
        <v>4305</v>
      </c>
      <c r="C786" s="6" t="s">
        <v>389</v>
      </c>
      <c r="D786" s="6" t="s">
        <v>4306</v>
      </c>
      <c r="E786" s="6" t="s">
        <v>35</v>
      </c>
      <c r="F786" s="6" t="s">
        <v>271</v>
      </c>
      <c r="G786" s="6" t="s">
        <v>272</v>
      </c>
      <c r="H786" s="6" t="s">
        <v>273</v>
      </c>
      <c r="I786" s="6" t="s">
        <v>4307</v>
      </c>
      <c r="J786" s="6" t="s">
        <v>4308</v>
      </c>
      <c r="K786" s="6" t="s">
        <v>276</v>
      </c>
      <c r="L786" s="14" t="s">
        <v>55</v>
      </c>
    </row>
    <row r="787" ht="15.75" customHeight="1">
      <c r="A787" s="6" t="s">
        <v>4309</v>
      </c>
      <c r="B787" s="6" t="s">
        <v>4310</v>
      </c>
      <c r="C787" s="6" t="s">
        <v>389</v>
      </c>
      <c r="D787" s="6" t="s">
        <v>4311</v>
      </c>
      <c r="E787" s="6" t="s">
        <v>35</v>
      </c>
      <c r="F787" s="6" t="s">
        <v>271</v>
      </c>
      <c r="G787" s="6" t="s">
        <v>272</v>
      </c>
      <c r="H787" s="6" t="s">
        <v>273</v>
      </c>
      <c r="I787" s="6" t="s">
        <v>4312</v>
      </c>
      <c r="J787" s="6" t="s">
        <v>4313</v>
      </c>
      <c r="K787" s="6" t="s">
        <v>276</v>
      </c>
      <c r="L787" s="14" t="s">
        <v>55</v>
      </c>
    </row>
    <row r="788" ht="15.75" customHeight="1">
      <c r="A788" s="6" t="s">
        <v>4314</v>
      </c>
      <c r="B788" s="6" t="s">
        <v>4315</v>
      </c>
      <c r="C788" s="6" t="s">
        <v>389</v>
      </c>
      <c r="D788" s="6" t="s">
        <v>4316</v>
      </c>
      <c r="E788" s="6" t="s">
        <v>35</v>
      </c>
      <c r="F788" s="6" t="s">
        <v>271</v>
      </c>
      <c r="G788" s="6" t="s">
        <v>272</v>
      </c>
      <c r="H788" s="6" t="s">
        <v>273</v>
      </c>
      <c r="I788" s="6" t="s">
        <v>4317</v>
      </c>
      <c r="J788" s="6" t="s">
        <v>4318</v>
      </c>
      <c r="K788" s="6" t="s">
        <v>276</v>
      </c>
      <c r="L788" s="14" t="s">
        <v>55</v>
      </c>
    </row>
    <row r="789" ht="15.75" customHeight="1">
      <c r="A789" s="6" t="s">
        <v>4319</v>
      </c>
      <c r="B789" s="6" t="s">
        <v>4320</v>
      </c>
      <c r="C789" s="6" t="s">
        <v>389</v>
      </c>
      <c r="D789" s="6" t="s">
        <v>4321</v>
      </c>
      <c r="E789" s="6" t="s">
        <v>35</v>
      </c>
      <c r="F789" s="6" t="s">
        <v>271</v>
      </c>
      <c r="G789" s="6" t="s">
        <v>272</v>
      </c>
      <c r="H789" s="6" t="s">
        <v>273</v>
      </c>
      <c r="I789" s="6" t="s">
        <v>4322</v>
      </c>
      <c r="J789" s="6" t="s">
        <v>4323</v>
      </c>
      <c r="K789" s="6" t="s">
        <v>276</v>
      </c>
      <c r="L789" s="14" t="s">
        <v>55</v>
      </c>
    </row>
    <row r="790" ht="15.75" hidden="1" customHeight="1">
      <c r="A790" s="6" t="s">
        <v>4324</v>
      </c>
      <c r="B790" s="6" t="s">
        <v>4325</v>
      </c>
      <c r="C790" s="6" t="s">
        <v>389</v>
      </c>
      <c r="D790" s="6" t="s">
        <v>4326</v>
      </c>
      <c r="E790" s="6" t="s">
        <v>35</v>
      </c>
      <c r="F790" s="6" t="s">
        <v>667</v>
      </c>
      <c r="G790" s="6" t="s">
        <v>2649</v>
      </c>
      <c r="H790" s="6" t="s">
        <v>2650</v>
      </c>
      <c r="I790" s="6" t="s">
        <v>4327</v>
      </c>
      <c r="J790" s="6" t="s">
        <v>4328</v>
      </c>
      <c r="K790" s="6" t="s">
        <v>4329</v>
      </c>
      <c r="L790" s="12" t="s">
        <v>43</v>
      </c>
    </row>
    <row r="791" ht="15.75" hidden="1" customHeight="1">
      <c r="A791" s="6" t="s">
        <v>4330</v>
      </c>
      <c r="B791" s="6" t="s">
        <v>4331</v>
      </c>
      <c r="C791" s="6" t="s">
        <v>389</v>
      </c>
      <c r="D791" s="6" t="s">
        <v>4332</v>
      </c>
      <c r="E791" s="6" t="s">
        <v>35</v>
      </c>
      <c r="F791" s="6" t="s">
        <v>667</v>
      </c>
      <c r="G791" s="6" t="s">
        <v>2649</v>
      </c>
      <c r="H791" s="6" t="s">
        <v>2650</v>
      </c>
      <c r="I791" s="6" t="s">
        <v>4333</v>
      </c>
      <c r="J791" s="6" t="s">
        <v>4334</v>
      </c>
      <c r="K791" s="6" t="s">
        <v>4329</v>
      </c>
      <c r="L791" s="12" t="s">
        <v>43</v>
      </c>
    </row>
    <row r="792" ht="15.75" hidden="1" customHeight="1">
      <c r="A792" s="6" t="s">
        <v>4335</v>
      </c>
      <c r="B792" s="6" t="s">
        <v>4336</v>
      </c>
      <c r="C792" s="6" t="s">
        <v>389</v>
      </c>
      <c r="D792" s="6" t="s">
        <v>4337</v>
      </c>
      <c r="E792" s="6" t="s">
        <v>35</v>
      </c>
      <c r="F792" s="6" t="s">
        <v>667</v>
      </c>
      <c r="G792" s="6" t="s">
        <v>2649</v>
      </c>
      <c r="H792" s="6" t="s">
        <v>2650</v>
      </c>
      <c r="I792" s="6" t="s">
        <v>4338</v>
      </c>
      <c r="J792" s="6" t="s">
        <v>4339</v>
      </c>
      <c r="K792" s="6" t="s">
        <v>4329</v>
      </c>
      <c r="L792" s="14" t="s">
        <v>55</v>
      </c>
    </row>
    <row r="793" ht="15.75" hidden="1" customHeight="1">
      <c r="A793" s="6" t="s">
        <v>4340</v>
      </c>
      <c r="B793" s="6" t="s">
        <v>4341</v>
      </c>
      <c r="C793" s="6" t="s">
        <v>389</v>
      </c>
      <c r="D793" s="6" t="s">
        <v>4342</v>
      </c>
      <c r="E793" s="6" t="s">
        <v>35</v>
      </c>
      <c r="F793" s="6" t="s">
        <v>667</v>
      </c>
      <c r="G793" s="6" t="s">
        <v>2649</v>
      </c>
      <c r="H793" s="6" t="s">
        <v>2650</v>
      </c>
      <c r="I793" s="6" t="s">
        <v>4343</v>
      </c>
      <c r="J793" s="6" t="s">
        <v>4344</v>
      </c>
      <c r="K793" s="6" t="s">
        <v>4329</v>
      </c>
      <c r="L793" s="12" t="s">
        <v>43</v>
      </c>
    </row>
    <row r="794" ht="15.75" hidden="1" customHeight="1">
      <c r="A794" s="6" t="s">
        <v>4345</v>
      </c>
      <c r="B794" s="6" t="s">
        <v>4346</v>
      </c>
      <c r="C794" s="6" t="s">
        <v>389</v>
      </c>
      <c r="D794" s="6" t="s">
        <v>4347</v>
      </c>
      <c r="E794" s="6" t="s">
        <v>35</v>
      </c>
      <c r="F794" s="6" t="s">
        <v>667</v>
      </c>
      <c r="G794" s="6" t="s">
        <v>2649</v>
      </c>
      <c r="H794" s="6" t="s">
        <v>2650</v>
      </c>
      <c r="I794" s="6" t="s">
        <v>4348</v>
      </c>
      <c r="J794" s="6" t="s">
        <v>4349</v>
      </c>
      <c r="K794" s="6" t="s">
        <v>4329</v>
      </c>
      <c r="L794" s="14" t="s">
        <v>55</v>
      </c>
    </row>
    <row r="795" ht="15.75" hidden="1" customHeight="1">
      <c r="A795" s="6" t="s">
        <v>4350</v>
      </c>
      <c r="B795" s="6" t="s">
        <v>4351</v>
      </c>
      <c r="C795" s="6" t="s">
        <v>389</v>
      </c>
      <c r="D795" s="6" t="s">
        <v>4352</v>
      </c>
      <c r="E795" s="6" t="s">
        <v>35</v>
      </c>
      <c r="F795" s="6" t="s">
        <v>667</v>
      </c>
      <c r="G795" s="6" t="s">
        <v>2649</v>
      </c>
      <c r="H795" s="6" t="s">
        <v>2650</v>
      </c>
      <c r="I795" s="6" t="s">
        <v>4353</v>
      </c>
      <c r="J795" s="6" t="s">
        <v>4354</v>
      </c>
      <c r="K795" s="6" t="s">
        <v>4329</v>
      </c>
      <c r="L795" s="14" t="s">
        <v>55</v>
      </c>
    </row>
    <row r="796" ht="15.75" hidden="1" customHeight="1">
      <c r="A796" s="6" t="s">
        <v>4355</v>
      </c>
      <c r="B796" s="6" t="s">
        <v>4356</v>
      </c>
      <c r="C796" s="6" t="s">
        <v>389</v>
      </c>
      <c r="D796" s="6" t="s">
        <v>4357</v>
      </c>
      <c r="E796" s="6" t="s">
        <v>35</v>
      </c>
      <c r="F796" s="6" t="s">
        <v>36</v>
      </c>
      <c r="G796" s="6" t="s">
        <v>572</v>
      </c>
      <c r="H796" s="6" t="s">
        <v>573</v>
      </c>
      <c r="I796" s="6" t="s">
        <v>4358</v>
      </c>
      <c r="J796" s="6" t="s">
        <v>4359</v>
      </c>
      <c r="K796" s="6" t="s">
        <v>1100</v>
      </c>
      <c r="L796" s="12" t="s">
        <v>43</v>
      </c>
    </row>
    <row r="797" ht="15.75" hidden="1" customHeight="1">
      <c r="A797" s="6" t="s">
        <v>4360</v>
      </c>
      <c r="B797" s="6" t="s">
        <v>4361</v>
      </c>
      <c r="C797" s="6" t="s">
        <v>389</v>
      </c>
      <c r="D797" s="6" t="s">
        <v>4362</v>
      </c>
      <c r="E797" s="6" t="s">
        <v>35</v>
      </c>
      <c r="F797" s="6" t="s">
        <v>36</v>
      </c>
      <c r="G797" s="6" t="s">
        <v>572</v>
      </c>
      <c r="H797" s="6" t="s">
        <v>573</v>
      </c>
      <c r="I797" s="6" t="s">
        <v>4363</v>
      </c>
      <c r="J797" s="6" t="s">
        <v>4364</v>
      </c>
      <c r="K797" s="6" t="s">
        <v>1699</v>
      </c>
      <c r="L797" s="10" t="s">
        <v>609</v>
      </c>
    </row>
    <row r="798" ht="15.75" hidden="1" customHeight="1">
      <c r="A798" s="6" t="s">
        <v>4365</v>
      </c>
      <c r="B798" s="6" t="s">
        <v>4366</v>
      </c>
      <c r="C798" s="6" t="s">
        <v>389</v>
      </c>
      <c r="D798" s="6" t="s">
        <v>4367</v>
      </c>
      <c r="E798" s="6" t="s">
        <v>35</v>
      </c>
      <c r="F798" s="6" t="s">
        <v>36</v>
      </c>
      <c r="G798" s="6" t="s">
        <v>572</v>
      </c>
      <c r="H798" s="6" t="s">
        <v>573</v>
      </c>
      <c r="I798" s="6" t="s">
        <v>4368</v>
      </c>
      <c r="J798" s="6" t="s">
        <v>4369</v>
      </c>
      <c r="K798" s="6" t="s">
        <v>1699</v>
      </c>
      <c r="L798" s="10" t="s">
        <v>609</v>
      </c>
    </row>
    <row r="799" ht="15.75" customHeight="1">
      <c r="A799" s="6" t="s">
        <v>4370</v>
      </c>
      <c r="B799" s="6" t="s">
        <v>4371</v>
      </c>
      <c r="C799" s="6" t="s">
        <v>389</v>
      </c>
      <c r="D799" s="6" t="s">
        <v>4372</v>
      </c>
      <c r="E799" s="6" t="s">
        <v>35</v>
      </c>
      <c r="F799" s="6" t="s">
        <v>667</v>
      </c>
      <c r="G799" s="6" t="s">
        <v>668</v>
      </c>
      <c r="H799" s="6" t="s">
        <v>669</v>
      </c>
      <c r="I799" s="6" t="s">
        <v>4373</v>
      </c>
      <c r="J799" s="6" t="s">
        <v>4374</v>
      </c>
      <c r="K799" s="6" t="s">
        <v>4375</v>
      </c>
      <c r="L799" s="12" t="s">
        <v>43</v>
      </c>
    </row>
    <row r="800" ht="15.75" customHeight="1">
      <c r="A800" s="6" t="s">
        <v>4376</v>
      </c>
      <c r="B800" s="6" t="s">
        <v>4377</v>
      </c>
      <c r="C800" s="6" t="s">
        <v>389</v>
      </c>
      <c r="D800" s="6" t="s">
        <v>4378</v>
      </c>
      <c r="E800" s="6" t="s">
        <v>35</v>
      </c>
      <c r="F800" s="6" t="s">
        <v>667</v>
      </c>
      <c r="G800" s="6" t="s">
        <v>668</v>
      </c>
      <c r="H800" s="6" t="s">
        <v>669</v>
      </c>
      <c r="I800" s="6" t="s">
        <v>4379</v>
      </c>
      <c r="J800" s="6" t="s">
        <v>4380</v>
      </c>
      <c r="K800" s="6" t="s">
        <v>4375</v>
      </c>
      <c r="L800" s="14" t="s">
        <v>55</v>
      </c>
    </row>
    <row r="801" ht="15.75" customHeight="1">
      <c r="A801" s="6" t="s">
        <v>4381</v>
      </c>
      <c r="B801" s="6" t="s">
        <v>4382</v>
      </c>
      <c r="C801" s="6" t="s">
        <v>389</v>
      </c>
      <c r="D801" s="6" t="s">
        <v>4383</v>
      </c>
      <c r="E801" s="6" t="s">
        <v>35</v>
      </c>
      <c r="F801" s="6" t="s">
        <v>667</v>
      </c>
      <c r="G801" s="6" t="s">
        <v>668</v>
      </c>
      <c r="H801" s="6" t="s">
        <v>669</v>
      </c>
      <c r="I801" s="6" t="s">
        <v>4384</v>
      </c>
      <c r="J801" s="6" t="s">
        <v>4385</v>
      </c>
      <c r="K801" s="6" t="s">
        <v>4375</v>
      </c>
      <c r="L801" s="14" t="s">
        <v>55</v>
      </c>
    </row>
    <row r="802" ht="15.75" customHeight="1">
      <c r="A802" s="6" t="s">
        <v>4386</v>
      </c>
      <c r="B802" s="6" t="s">
        <v>4387</v>
      </c>
      <c r="C802" s="6" t="s">
        <v>389</v>
      </c>
      <c r="D802" s="6" t="s">
        <v>4388</v>
      </c>
      <c r="E802" s="6" t="s">
        <v>35</v>
      </c>
      <c r="F802" s="6" t="s">
        <v>667</v>
      </c>
      <c r="G802" s="6" t="s">
        <v>668</v>
      </c>
      <c r="H802" s="6" t="s">
        <v>669</v>
      </c>
      <c r="I802" s="6" t="s">
        <v>4389</v>
      </c>
      <c r="J802" s="6" t="s">
        <v>4390</v>
      </c>
      <c r="K802" s="6" t="s">
        <v>4375</v>
      </c>
      <c r="L802" s="14" t="s">
        <v>55</v>
      </c>
    </row>
    <row r="803" ht="15.75" customHeight="1">
      <c r="A803" s="6" t="s">
        <v>4391</v>
      </c>
      <c r="B803" s="6" t="s">
        <v>4392</v>
      </c>
      <c r="C803" s="6" t="s">
        <v>389</v>
      </c>
      <c r="D803" s="6" t="s">
        <v>4393</v>
      </c>
      <c r="E803" s="6" t="s">
        <v>35</v>
      </c>
      <c r="F803" s="6" t="s">
        <v>667</v>
      </c>
      <c r="G803" s="6" t="s">
        <v>668</v>
      </c>
      <c r="H803" s="6" t="s">
        <v>669</v>
      </c>
      <c r="I803" s="6" t="s">
        <v>4394</v>
      </c>
      <c r="J803" s="6" t="s">
        <v>4395</v>
      </c>
      <c r="K803" s="6" t="s">
        <v>4375</v>
      </c>
      <c r="L803" s="14" t="s">
        <v>55</v>
      </c>
    </row>
    <row r="804" ht="15.75" hidden="1" customHeight="1">
      <c r="A804" s="6" t="s">
        <v>4396</v>
      </c>
      <c r="B804" s="6" t="s">
        <v>4397</v>
      </c>
      <c r="C804" s="6" t="s">
        <v>389</v>
      </c>
      <c r="D804" s="6" t="s">
        <v>4398</v>
      </c>
      <c r="E804" s="6" t="s">
        <v>35</v>
      </c>
      <c r="F804" s="6" t="s">
        <v>667</v>
      </c>
      <c r="G804" s="6" t="s">
        <v>668</v>
      </c>
      <c r="H804" s="6" t="s">
        <v>669</v>
      </c>
      <c r="I804" s="6" t="s">
        <v>4399</v>
      </c>
      <c r="J804" s="6" t="s">
        <v>4400</v>
      </c>
      <c r="K804" s="6" t="s">
        <v>4401</v>
      </c>
      <c r="L804" s="12" t="s">
        <v>43</v>
      </c>
    </row>
    <row r="805" ht="15.75" hidden="1" customHeight="1">
      <c r="A805" s="6" t="s">
        <v>4402</v>
      </c>
      <c r="B805" s="6" t="s">
        <v>4403</v>
      </c>
      <c r="C805" s="6" t="s">
        <v>389</v>
      </c>
      <c r="D805" s="6" t="s">
        <v>4404</v>
      </c>
      <c r="E805" s="6" t="s">
        <v>35</v>
      </c>
      <c r="F805" s="6" t="s">
        <v>787</v>
      </c>
      <c r="G805" s="6" t="s">
        <v>1657</v>
      </c>
      <c r="H805" s="6" t="s">
        <v>1658</v>
      </c>
      <c r="I805" s="6" t="s">
        <v>4405</v>
      </c>
      <c r="J805" s="6" t="s">
        <v>4406</v>
      </c>
      <c r="K805" s="6" t="s">
        <v>4407</v>
      </c>
      <c r="L805" s="14" t="s">
        <v>55</v>
      </c>
    </row>
    <row r="806" ht="15.75" hidden="1" customHeight="1">
      <c r="A806" s="6" t="s">
        <v>4408</v>
      </c>
      <c r="B806" s="6" t="s">
        <v>4409</v>
      </c>
      <c r="C806" s="6" t="s">
        <v>389</v>
      </c>
      <c r="D806" s="6" t="s">
        <v>4410</v>
      </c>
      <c r="E806" s="6" t="s">
        <v>35</v>
      </c>
      <c r="F806" s="6" t="s">
        <v>787</v>
      </c>
      <c r="G806" s="6" t="s">
        <v>1657</v>
      </c>
      <c r="H806" s="6" t="s">
        <v>1658</v>
      </c>
      <c r="I806" s="6" t="s">
        <v>4411</v>
      </c>
      <c r="J806" s="6" t="s">
        <v>4412</v>
      </c>
      <c r="K806" s="6" t="s">
        <v>4407</v>
      </c>
      <c r="L806" s="10" t="s">
        <v>609</v>
      </c>
    </row>
    <row r="807" ht="15.75" hidden="1" customHeight="1">
      <c r="A807" s="6" t="s">
        <v>4413</v>
      </c>
      <c r="B807" s="6" t="s">
        <v>4414</v>
      </c>
      <c r="C807" s="6" t="s">
        <v>389</v>
      </c>
      <c r="D807" s="6" t="s">
        <v>4415</v>
      </c>
      <c r="E807" s="6" t="s">
        <v>35</v>
      </c>
      <c r="F807" s="6" t="s">
        <v>787</v>
      </c>
      <c r="G807" s="6" t="s">
        <v>1657</v>
      </c>
      <c r="H807" s="6" t="s">
        <v>1658</v>
      </c>
      <c r="I807" s="6" t="s">
        <v>4416</v>
      </c>
      <c r="J807" s="6" t="s">
        <v>4417</v>
      </c>
      <c r="K807" s="6" t="s">
        <v>4407</v>
      </c>
      <c r="L807" s="10" t="s">
        <v>609</v>
      </c>
    </row>
    <row r="808" ht="15.75" hidden="1" customHeight="1">
      <c r="A808" s="6" t="s">
        <v>4418</v>
      </c>
      <c r="B808" s="6" t="s">
        <v>4419</v>
      </c>
      <c r="C808" s="6" t="s">
        <v>389</v>
      </c>
      <c r="D808" s="6" t="s">
        <v>4420</v>
      </c>
      <c r="E808" s="6" t="s">
        <v>35</v>
      </c>
      <c r="F808" s="6" t="s">
        <v>667</v>
      </c>
      <c r="G808" s="6" t="s">
        <v>2649</v>
      </c>
      <c r="H808" s="6" t="s">
        <v>2650</v>
      </c>
      <c r="I808" s="6" t="s">
        <v>4421</v>
      </c>
      <c r="J808" s="6" t="s">
        <v>4422</v>
      </c>
      <c r="K808" s="6" t="s">
        <v>4423</v>
      </c>
      <c r="L808" s="10" t="s">
        <v>609</v>
      </c>
    </row>
    <row r="809" ht="15.75" hidden="1" customHeight="1">
      <c r="A809" s="6" t="s">
        <v>4424</v>
      </c>
      <c r="B809" s="6" t="s">
        <v>4425</v>
      </c>
      <c r="C809" s="6" t="s">
        <v>389</v>
      </c>
      <c r="D809" s="6" t="s">
        <v>4426</v>
      </c>
      <c r="E809" s="6" t="s">
        <v>35</v>
      </c>
      <c r="F809" s="6" t="s">
        <v>667</v>
      </c>
      <c r="G809" s="6" t="s">
        <v>2649</v>
      </c>
      <c r="H809" s="6" t="s">
        <v>2650</v>
      </c>
      <c r="I809" s="6" t="s">
        <v>4427</v>
      </c>
      <c r="J809" s="6" t="s">
        <v>4428</v>
      </c>
      <c r="K809" s="6" t="s">
        <v>4423</v>
      </c>
      <c r="L809" s="10" t="s">
        <v>609</v>
      </c>
    </row>
    <row r="810" ht="15.75" hidden="1" customHeight="1">
      <c r="A810" s="6" t="s">
        <v>4429</v>
      </c>
      <c r="B810" s="6" t="s">
        <v>4430</v>
      </c>
      <c r="C810" s="6" t="s">
        <v>389</v>
      </c>
      <c r="D810" s="6" t="s">
        <v>4431</v>
      </c>
      <c r="E810" s="6" t="s">
        <v>35</v>
      </c>
      <c r="F810" s="6" t="s">
        <v>667</v>
      </c>
      <c r="G810" s="6" t="s">
        <v>2649</v>
      </c>
      <c r="H810" s="6" t="s">
        <v>2650</v>
      </c>
      <c r="I810" s="6" t="s">
        <v>4432</v>
      </c>
      <c r="J810" s="6" t="s">
        <v>4433</v>
      </c>
      <c r="K810" s="6" t="s">
        <v>4423</v>
      </c>
      <c r="L810" s="10" t="s">
        <v>609</v>
      </c>
    </row>
    <row r="811" ht="15.75" hidden="1" customHeight="1">
      <c r="A811" s="6" t="s">
        <v>4434</v>
      </c>
      <c r="B811" s="6" t="s">
        <v>4435</v>
      </c>
      <c r="C811" s="6" t="s">
        <v>389</v>
      </c>
      <c r="D811" s="6" t="s">
        <v>4436</v>
      </c>
      <c r="E811" s="6" t="s">
        <v>35</v>
      </c>
      <c r="F811" s="6" t="s">
        <v>667</v>
      </c>
      <c r="G811" s="6" t="s">
        <v>2649</v>
      </c>
      <c r="H811" s="6" t="s">
        <v>2650</v>
      </c>
      <c r="I811" s="6" t="s">
        <v>4437</v>
      </c>
      <c r="J811" s="6" t="s">
        <v>4438</v>
      </c>
      <c r="K811" s="6" t="s">
        <v>4423</v>
      </c>
      <c r="L811" s="10" t="s">
        <v>609</v>
      </c>
    </row>
    <row r="812" ht="15.75" hidden="1" customHeight="1">
      <c r="A812" s="6" t="s">
        <v>4439</v>
      </c>
      <c r="B812" s="6" t="s">
        <v>4440</v>
      </c>
      <c r="C812" s="6" t="s">
        <v>389</v>
      </c>
      <c r="D812" s="6" t="s">
        <v>4441</v>
      </c>
      <c r="E812" s="6" t="s">
        <v>35</v>
      </c>
      <c r="F812" s="6" t="s">
        <v>36</v>
      </c>
      <c r="G812" s="6" t="s">
        <v>2250</v>
      </c>
      <c r="H812" s="6" t="s">
        <v>2251</v>
      </c>
      <c r="I812" s="6" t="s">
        <v>4442</v>
      </c>
      <c r="J812" s="6" t="s">
        <v>4443</v>
      </c>
      <c r="K812" s="6" t="s">
        <v>4444</v>
      </c>
      <c r="L812" s="12" t="s">
        <v>43</v>
      </c>
    </row>
    <row r="813" ht="15.75" hidden="1" customHeight="1">
      <c r="A813" s="6" t="s">
        <v>4445</v>
      </c>
      <c r="B813" s="6" t="s">
        <v>4446</v>
      </c>
      <c r="C813" s="6" t="s">
        <v>389</v>
      </c>
      <c r="D813" s="6" t="s">
        <v>4447</v>
      </c>
      <c r="E813" s="6" t="s">
        <v>35</v>
      </c>
      <c r="F813" s="6" t="s">
        <v>787</v>
      </c>
      <c r="G813" s="6" t="s">
        <v>1657</v>
      </c>
      <c r="H813" s="6" t="s">
        <v>1658</v>
      </c>
      <c r="I813" s="6" t="s">
        <v>4448</v>
      </c>
      <c r="J813" s="6" t="s">
        <v>4449</v>
      </c>
      <c r="K813" s="6" t="s">
        <v>4450</v>
      </c>
      <c r="L813" s="14" t="s">
        <v>55</v>
      </c>
    </row>
    <row r="814" ht="15.75" hidden="1" customHeight="1">
      <c r="A814" s="6" t="s">
        <v>4451</v>
      </c>
      <c r="B814" s="6" t="s">
        <v>4452</v>
      </c>
      <c r="C814" s="6" t="s">
        <v>389</v>
      </c>
      <c r="D814" s="6" t="s">
        <v>4453</v>
      </c>
      <c r="E814" s="6" t="s">
        <v>35</v>
      </c>
      <c r="F814" s="6" t="s">
        <v>787</v>
      </c>
      <c r="G814" s="6" t="s">
        <v>1657</v>
      </c>
      <c r="H814" s="6" t="s">
        <v>1658</v>
      </c>
      <c r="I814" s="6" t="s">
        <v>4454</v>
      </c>
      <c r="J814" s="6" t="s">
        <v>4455</v>
      </c>
      <c r="K814" s="6" t="s">
        <v>4450</v>
      </c>
      <c r="L814" s="10" t="s">
        <v>609</v>
      </c>
    </row>
    <row r="815" ht="15.75" hidden="1" customHeight="1">
      <c r="A815" s="6" t="s">
        <v>4456</v>
      </c>
      <c r="B815" s="6" t="s">
        <v>4457</v>
      </c>
      <c r="C815" s="6" t="s">
        <v>389</v>
      </c>
      <c r="D815" s="6" t="s">
        <v>4458</v>
      </c>
      <c r="E815" s="6" t="s">
        <v>35</v>
      </c>
      <c r="F815" s="6" t="s">
        <v>787</v>
      </c>
      <c r="G815" s="6" t="s">
        <v>1657</v>
      </c>
      <c r="H815" s="6" t="s">
        <v>1658</v>
      </c>
      <c r="I815" s="6" t="s">
        <v>4459</v>
      </c>
      <c r="J815" s="6" t="s">
        <v>4460</v>
      </c>
      <c r="K815" s="6" t="s">
        <v>4450</v>
      </c>
      <c r="L815" s="10" t="s">
        <v>609</v>
      </c>
    </row>
    <row r="816" ht="15.75" hidden="1" customHeight="1">
      <c r="A816" s="6" t="s">
        <v>4461</v>
      </c>
      <c r="B816" s="6" t="s">
        <v>4462</v>
      </c>
      <c r="C816" s="6" t="s">
        <v>389</v>
      </c>
      <c r="D816" s="6" t="s">
        <v>4463</v>
      </c>
      <c r="E816" s="6" t="s">
        <v>35</v>
      </c>
      <c r="F816" s="6" t="s">
        <v>787</v>
      </c>
      <c r="G816" s="6" t="s">
        <v>1657</v>
      </c>
      <c r="H816" s="6" t="s">
        <v>1658</v>
      </c>
      <c r="I816" s="6" t="s">
        <v>4464</v>
      </c>
      <c r="J816" s="6" t="s">
        <v>4465</v>
      </c>
      <c r="K816" s="6" t="s">
        <v>4450</v>
      </c>
      <c r="L816" s="10" t="s">
        <v>609</v>
      </c>
    </row>
    <row r="817" ht="15.75" hidden="1" customHeight="1">
      <c r="A817" s="6" t="s">
        <v>4466</v>
      </c>
      <c r="B817" s="6" t="s">
        <v>4467</v>
      </c>
      <c r="C817" s="6" t="s">
        <v>389</v>
      </c>
      <c r="D817" s="6" t="s">
        <v>4468</v>
      </c>
      <c r="E817" s="6" t="s">
        <v>35</v>
      </c>
      <c r="F817" s="6" t="s">
        <v>787</v>
      </c>
      <c r="G817" s="6" t="s">
        <v>1657</v>
      </c>
      <c r="H817" s="6" t="s">
        <v>1658</v>
      </c>
      <c r="I817" s="6" t="s">
        <v>4469</v>
      </c>
      <c r="J817" s="6" t="s">
        <v>4470</v>
      </c>
      <c r="K817" s="6" t="s">
        <v>4450</v>
      </c>
      <c r="L817" s="10" t="s">
        <v>609</v>
      </c>
    </row>
    <row r="818" ht="15.75" hidden="1" customHeight="1">
      <c r="A818" s="6" t="s">
        <v>4471</v>
      </c>
      <c r="B818" s="6" t="s">
        <v>4472</v>
      </c>
      <c r="C818" s="6" t="s">
        <v>389</v>
      </c>
      <c r="D818" s="6" t="s">
        <v>4473</v>
      </c>
      <c r="E818" s="6" t="s">
        <v>35</v>
      </c>
      <c r="F818" s="6" t="s">
        <v>787</v>
      </c>
      <c r="G818" s="6" t="s">
        <v>1657</v>
      </c>
      <c r="H818" s="6" t="s">
        <v>1658</v>
      </c>
      <c r="I818" s="6" t="s">
        <v>4474</v>
      </c>
      <c r="J818" s="6" t="s">
        <v>4475</v>
      </c>
      <c r="K818" s="6" t="s">
        <v>4450</v>
      </c>
      <c r="L818" s="10" t="s">
        <v>609</v>
      </c>
    </row>
    <row r="819" ht="15.75" hidden="1" customHeight="1">
      <c r="A819" s="6" t="s">
        <v>4476</v>
      </c>
      <c r="B819" s="6" t="s">
        <v>4477</v>
      </c>
      <c r="C819" s="6" t="s">
        <v>389</v>
      </c>
      <c r="D819" s="6" t="s">
        <v>4478</v>
      </c>
      <c r="E819" s="6" t="s">
        <v>35</v>
      </c>
      <c r="F819" s="6" t="s">
        <v>271</v>
      </c>
      <c r="G819" s="6" t="s">
        <v>272</v>
      </c>
      <c r="H819" s="6" t="s">
        <v>273</v>
      </c>
      <c r="I819" s="6" t="s">
        <v>4479</v>
      </c>
      <c r="J819" s="6" t="s">
        <v>4480</v>
      </c>
      <c r="K819" s="6" t="s">
        <v>459</v>
      </c>
      <c r="L819" s="14" t="s">
        <v>55</v>
      </c>
    </row>
    <row r="820" ht="15.75" hidden="1" customHeight="1">
      <c r="A820" s="6" t="s">
        <v>4481</v>
      </c>
      <c r="B820" s="6" t="s">
        <v>4482</v>
      </c>
      <c r="C820" s="6" t="s">
        <v>389</v>
      </c>
      <c r="D820" s="6" t="s">
        <v>4483</v>
      </c>
      <c r="E820" s="6" t="s">
        <v>35</v>
      </c>
      <c r="F820" s="6" t="s">
        <v>271</v>
      </c>
      <c r="G820" s="6" t="s">
        <v>272</v>
      </c>
      <c r="H820" s="6" t="s">
        <v>273</v>
      </c>
      <c r="I820" s="6" t="s">
        <v>4484</v>
      </c>
      <c r="J820" s="6" t="s">
        <v>4485</v>
      </c>
      <c r="K820" s="6" t="s">
        <v>459</v>
      </c>
      <c r="L820" s="14" t="s">
        <v>55</v>
      </c>
    </row>
    <row r="821" ht="15.75" hidden="1" customHeight="1">
      <c r="A821" s="6" t="s">
        <v>4486</v>
      </c>
      <c r="B821" s="6" t="s">
        <v>4487</v>
      </c>
      <c r="C821" s="6" t="s">
        <v>389</v>
      </c>
      <c r="D821" s="6" t="s">
        <v>4488</v>
      </c>
      <c r="E821" s="6" t="s">
        <v>35</v>
      </c>
      <c r="F821" s="6" t="s">
        <v>271</v>
      </c>
      <c r="G821" s="6" t="s">
        <v>272</v>
      </c>
      <c r="H821" s="6" t="s">
        <v>273</v>
      </c>
      <c r="I821" s="6" t="s">
        <v>4489</v>
      </c>
      <c r="J821" s="6" t="s">
        <v>4490</v>
      </c>
      <c r="K821" s="6" t="s">
        <v>459</v>
      </c>
      <c r="L821" s="14" t="s">
        <v>55</v>
      </c>
    </row>
    <row r="822" ht="15.75" hidden="1" customHeight="1">
      <c r="A822" s="6" t="s">
        <v>4491</v>
      </c>
      <c r="B822" s="6" t="s">
        <v>4492</v>
      </c>
      <c r="C822" s="6" t="s">
        <v>389</v>
      </c>
      <c r="D822" s="6" t="s">
        <v>4493</v>
      </c>
      <c r="E822" s="6" t="s">
        <v>35</v>
      </c>
      <c r="F822" s="6" t="s">
        <v>271</v>
      </c>
      <c r="G822" s="6" t="s">
        <v>1707</v>
      </c>
      <c r="H822" s="6" t="s">
        <v>1708</v>
      </c>
      <c r="I822" s="6" t="s">
        <v>4494</v>
      </c>
      <c r="J822" s="6" t="s">
        <v>4495</v>
      </c>
      <c r="K822" s="6" t="s">
        <v>459</v>
      </c>
      <c r="L822" s="14" t="s">
        <v>55</v>
      </c>
    </row>
    <row r="823" ht="15.75" hidden="1" customHeight="1">
      <c r="A823" s="6" t="s">
        <v>4496</v>
      </c>
      <c r="B823" s="6" t="s">
        <v>4497</v>
      </c>
      <c r="C823" s="6" t="s">
        <v>389</v>
      </c>
      <c r="D823" s="6" t="s">
        <v>4498</v>
      </c>
      <c r="E823" s="6" t="s">
        <v>35</v>
      </c>
      <c r="F823" s="6" t="s">
        <v>36</v>
      </c>
      <c r="G823" s="6" t="s">
        <v>2250</v>
      </c>
      <c r="H823" s="6" t="s">
        <v>2251</v>
      </c>
      <c r="I823" s="6" t="s">
        <v>4499</v>
      </c>
      <c r="J823" s="6" t="s">
        <v>4500</v>
      </c>
      <c r="K823" s="6" t="s">
        <v>663</v>
      </c>
      <c r="L823" s="12" t="s">
        <v>43</v>
      </c>
    </row>
    <row r="824" ht="15.75" hidden="1" customHeight="1">
      <c r="A824" s="6" t="s">
        <v>4501</v>
      </c>
      <c r="B824" s="6" t="s">
        <v>4502</v>
      </c>
      <c r="C824" s="6" t="s">
        <v>389</v>
      </c>
      <c r="D824" s="6" t="s">
        <v>4503</v>
      </c>
      <c r="E824" s="6" t="s">
        <v>35</v>
      </c>
      <c r="F824" s="6" t="s">
        <v>36</v>
      </c>
      <c r="G824" s="6" t="s">
        <v>2250</v>
      </c>
      <c r="H824" s="6" t="s">
        <v>2251</v>
      </c>
      <c r="I824" s="6" t="s">
        <v>4504</v>
      </c>
      <c r="J824" s="6" t="s">
        <v>4505</v>
      </c>
      <c r="K824" s="6" t="s">
        <v>663</v>
      </c>
      <c r="L824" s="14" t="s">
        <v>55</v>
      </c>
    </row>
    <row r="825" ht="15.75" hidden="1" customHeight="1">
      <c r="A825" s="6" t="s">
        <v>4506</v>
      </c>
      <c r="B825" s="6" t="s">
        <v>4507</v>
      </c>
      <c r="C825" s="6" t="s">
        <v>389</v>
      </c>
      <c r="D825" s="6" t="s">
        <v>4508</v>
      </c>
      <c r="E825" s="6" t="s">
        <v>35</v>
      </c>
      <c r="F825" s="6" t="s">
        <v>36</v>
      </c>
      <c r="G825" s="6" t="s">
        <v>2250</v>
      </c>
      <c r="H825" s="6" t="s">
        <v>2251</v>
      </c>
      <c r="I825" s="6" t="s">
        <v>4509</v>
      </c>
      <c r="J825" s="6" t="s">
        <v>4510</v>
      </c>
      <c r="K825" s="6" t="s">
        <v>663</v>
      </c>
      <c r="L825" s="14" t="s">
        <v>55</v>
      </c>
    </row>
    <row r="826" ht="15.75" hidden="1" customHeight="1">
      <c r="A826" s="6" t="s">
        <v>4511</v>
      </c>
      <c r="B826" s="6" t="s">
        <v>4512</v>
      </c>
      <c r="C826" s="6" t="s">
        <v>389</v>
      </c>
      <c r="D826" s="6" t="s">
        <v>4513</v>
      </c>
      <c r="E826" s="6" t="s">
        <v>35</v>
      </c>
      <c r="F826" s="6" t="s">
        <v>36</v>
      </c>
      <c r="G826" s="6" t="s">
        <v>2250</v>
      </c>
      <c r="H826" s="6" t="s">
        <v>2251</v>
      </c>
      <c r="I826" s="6" t="s">
        <v>4514</v>
      </c>
      <c r="J826" s="6" t="s">
        <v>4515</v>
      </c>
      <c r="K826" s="6" t="s">
        <v>663</v>
      </c>
      <c r="L826" s="14" t="s">
        <v>55</v>
      </c>
    </row>
    <row r="827" ht="15.75" hidden="1" customHeight="1">
      <c r="A827" s="6" t="s">
        <v>4516</v>
      </c>
      <c r="B827" s="6" t="s">
        <v>4517</v>
      </c>
      <c r="C827" s="6" t="s">
        <v>389</v>
      </c>
      <c r="D827" s="6" t="s">
        <v>4518</v>
      </c>
      <c r="E827" s="6" t="s">
        <v>35</v>
      </c>
      <c r="F827" s="6" t="s">
        <v>271</v>
      </c>
      <c r="G827" s="6" t="s">
        <v>1707</v>
      </c>
      <c r="H827" s="6" t="s">
        <v>1708</v>
      </c>
      <c r="I827" s="6" t="s">
        <v>4519</v>
      </c>
      <c r="J827" s="6" t="s">
        <v>4520</v>
      </c>
      <c r="K827" s="6" t="s">
        <v>599</v>
      </c>
      <c r="L827" s="14" t="s">
        <v>55</v>
      </c>
    </row>
    <row r="828" ht="15.75" hidden="1" customHeight="1">
      <c r="A828" s="6" t="s">
        <v>4521</v>
      </c>
      <c r="B828" s="6" t="s">
        <v>4522</v>
      </c>
      <c r="C828" s="6" t="s">
        <v>389</v>
      </c>
      <c r="D828" s="6" t="s">
        <v>4523</v>
      </c>
      <c r="E828" s="6" t="s">
        <v>35</v>
      </c>
      <c r="F828" s="6" t="s">
        <v>787</v>
      </c>
      <c r="G828" s="6" t="s">
        <v>788</v>
      </c>
      <c r="H828" s="6" t="s">
        <v>789</v>
      </c>
      <c r="I828" s="6" t="s">
        <v>4524</v>
      </c>
      <c r="J828" s="6" t="s">
        <v>4525</v>
      </c>
      <c r="K828" s="6" t="s">
        <v>527</v>
      </c>
      <c r="L828" s="10" t="s">
        <v>609</v>
      </c>
    </row>
    <row r="829" ht="15.75" hidden="1" customHeight="1">
      <c r="A829" s="6" t="s">
        <v>4526</v>
      </c>
      <c r="B829" s="6" t="s">
        <v>4527</v>
      </c>
      <c r="C829" s="6" t="s">
        <v>389</v>
      </c>
      <c r="D829" s="6" t="s">
        <v>4528</v>
      </c>
      <c r="E829" s="6" t="s">
        <v>339</v>
      </c>
      <c r="F829" s="6" t="s">
        <v>603</v>
      </c>
      <c r="G829" s="6" t="s">
        <v>4529</v>
      </c>
      <c r="H829" s="6" t="s">
        <v>4530</v>
      </c>
      <c r="I829" s="6" t="s">
        <v>4531</v>
      </c>
      <c r="J829" s="6" t="s">
        <v>4532</v>
      </c>
      <c r="K829" s="6" t="s">
        <v>1100</v>
      </c>
      <c r="L829" s="10" t="s">
        <v>609</v>
      </c>
    </row>
    <row r="830" ht="15.75" hidden="1" customHeight="1">
      <c r="A830" s="6" t="s">
        <v>4533</v>
      </c>
      <c r="B830" s="6" t="s">
        <v>4534</v>
      </c>
      <c r="C830" s="6" t="s">
        <v>389</v>
      </c>
      <c r="D830" s="6" t="s">
        <v>4535</v>
      </c>
      <c r="E830" s="6" t="s">
        <v>339</v>
      </c>
      <c r="F830" s="6" t="s">
        <v>603</v>
      </c>
      <c r="G830" s="6" t="s">
        <v>4529</v>
      </c>
      <c r="H830" s="6" t="s">
        <v>4530</v>
      </c>
      <c r="I830" s="6" t="s">
        <v>4536</v>
      </c>
      <c r="J830" s="6" t="s">
        <v>4537</v>
      </c>
      <c r="K830" s="6" t="s">
        <v>1100</v>
      </c>
      <c r="L830" s="10" t="s">
        <v>609</v>
      </c>
    </row>
    <row r="831" ht="15.75" hidden="1" customHeight="1">
      <c r="A831" s="6" t="s">
        <v>4538</v>
      </c>
      <c r="B831" s="6" t="s">
        <v>4539</v>
      </c>
      <c r="C831" s="6" t="s">
        <v>389</v>
      </c>
      <c r="D831" s="6" t="s">
        <v>4540</v>
      </c>
      <c r="E831" s="6" t="s">
        <v>35</v>
      </c>
      <c r="F831" s="6" t="s">
        <v>271</v>
      </c>
      <c r="G831" s="6" t="s">
        <v>1707</v>
      </c>
      <c r="H831" s="6" t="s">
        <v>1708</v>
      </c>
      <c r="I831" s="6" t="s">
        <v>4541</v>
      </c>
      <c r="J831" s="6" t="s">
        <v>4542</v>
      </c>
      <c r="K831" s="6" t="s">
        <v>521</v>
      </c>
      <c r="L831" s="10" t="s">
        <v>609</v>
      </c>
    </row>
    <row r="832" ht="15.75" hidden="1" customHeight="1">
      <c r="A832" s="6" t="s">
        <v>4543</v>
      </c>
      <c r="B832" s="6" t="s">
        <v>4544</v>
      </c>
      <c r="C832" s="6" t="s">
        <v>389</v>
      </c>
      <c r="D832" s="6" t="s">
        <v>4545</v>
      </c>
      <c r="E832" s="6" t="s">
        <v>35</v>
      </c>
      <c r="F832" s="6" t="s">
        <v>667</v>
      </c>
      <c r="G832" s="6" t="s">
        <v>668</v>
      </c>
      <c r="H832" s="6" t="s">
        <v>669</v>
      </c>
      <c r="I832" s="6" t="s">
        <v>4546</v>
      </c>
      <c r="J832" s="6" t="s">
        <v>4547</v>
      </c>
      <c r="K832" s="6" t="s">
        <v>4548</v>
      </c>
      <c r="L832" s="12" t="s">
        <v>43</v>
      </c>
    </row>
    <row r="833" ht="15.75" hidden="1" customHeight="1">
      <c r="A833" s="6" t="s">
        <v>4549</v>
      </c>
      <c r="B833" s="6" t="s">
        <v>4550</v>
      </c>
      <c r="C833" s="6" t="s">
        <v>389</v>
      </c>
      <c r="D833" s="6" t="s">
        <v>4551</v>
      </c>
      <c r="E833" s="6" t="s">
        <v>35</v>
      </c>
      <c r="F833" s="6" t="s">
        <v>667</v>
      </c>
      <c r="G833" s="6" t="s">
        <v>668</v>
      </c>
      <c r="H833" s="6" t="s">
        <v>669</v>
      </c>
      <c r="I833" s="6" t="s">
        <v>4552</v>
      </c>
      <c r="J833" s="6" t="s">
        <v>4553</v>
      </c>
      <c r="K833" s="6" t="s">
        <v>4548</v>
      </c>
      <c r="L833" s="12" t="s">
        <v>43</v>
      </c>
    </row>
    <row r="834" ht="15.75" hidden="1" customHeight="1">
      <c r="A834" s="6" t="s">
        <v>4554</v>
      </c>
      <c r="B834" s="6" t="s">
        <v>4555</v>
      </c>
      <c r="C834" s="6" t="s">
        <v>389</v>
      </c>
      <c r="D834" s="6" t="s">
        <v>4556</v>
      </c>
      <c r="E834" s="6" t="s">
        <v>35</v>
      </c>
      <c r="F834" s="6" t="s">
        <v>667</v>
      </c>
      <c r="G834" s="6" t="s">
        <v>668</v>
      </c>
      <c r="H834" s="6" t="s">
        <v>669</v>
      </c>
      <c r="I834" s="6" t="s">
        <v>4557</v>
      </c>
      <c r="J834" s="6" t="s">
        <v>4558</v>
      </c>
      <c r="K834" s="6" t="s">
        <v>4548</v>
      </c>
      <c r="L834" s="14" t="s">
        <v>55</v>
      </c>
    </row>
    <row r="835" ht="15.75" hidden="1" customHeight="1">
      <c r="A835" s="6" t="s">
        <v>4559</v>
      </c>
      <c r="B835" s="6" t="s">
        <v>4560</v>
      </c>
      <c r="C835" s="6" t="s">
        <v>389</v>
      </c>
      <c r="D835" s="6" t="s">
        <v>4561</v>
      </c>
      <c r="E835" s="6" t="s">
        <v>35</v>
      </c>
      <c r="F835" s="6" t="s">
        <v>667</v>
      </c>
      <c r="G835" s="6" t="s">
        <v>668</v>
      </c>
      <c r="H835" s="6" t="s">
        <v>669</v>
      </c>
      <c r="I835" s="6" t="s">
        <v>4562</v>
      </c>
      <c r="J835" s="6" t="s">
        <v>4563</v>
      </c>
      <c r="K835" s="6" t="s">
        <v>4548</v>
      </c>
      <c r="L835" s="12" t="s">
        <v>43</v>
      </c>
    </row>
    <row r="836" ht="15.75" hidden="1" customHeight="1">
      <c r="A836" s="6" t="s">
        <v>4564</v>
      </c>
      <c r="B836" s="6" t="s">
        <v>4565</v>
      </c>
      <c r="C836" s="6" t="s">
        <v>389</v>
      </c>
      <c r="D836" s="6" t="s">
        <v>4566</v>
      </c>
      <c r="E836" s="6" t="s">
        <v>35</v>
      </c>
      <c r="F836" s="6" t="s">
        <v>271</v>
      </c>
      <c r="G836" s="6" t="s">
        <v>1707</v>
      </c>
      <c r="H836" s="6" t="s">
        <v>1708</v>
      </c>
      <c r="I836" s="6" t="s">
        <v>4567</v>
      </c>
      <c r="J836" s="6" t="s">
        <v>4568</v>
      </c>
      <c r="K836" s="6" t="s">
        <v>497</v>
      </c>
      <c r="L836" s="10" t="s">
        <v>609</v>
      </c>
    </row>
    <row r="837" ht="15.75" hidden="1" customHeight="1">
      <c r="A837" s="6" t="s">
        <v>4569</v>
      </c>
      <c r="B837" s="6" t="s">
        <v>4570</v>
      </c>
      <c r="C837" s="6" t="s">
        <v>389</v>
      </c>
      <c r="D837" s="6" t="s">
        <v>4571</v>
      </c>
      <c r="E837" s="6" t="s">
        <v>35</v>
      </c>
      <c r="F837" s="6" t="s">
        <v>271</v>
      </c>
      <c r="G837" s="6" t="s">
        <v>1707</v>
      </c>
      <c r="H837" s="6" t="s">
        <v>1708</v>
      </c>
      <c r="I837" s="6" t="s">
        <v>4572</v>
      </c>
      <c r="J837" s="6" t="s">
        <v>4573</v>
      </c>
      <c r="K837" s="6" t="s">
        <v>497</v>
      </c>
      <c r="L837" s="10" t="s">
        <v>609</v>
      </c>
    </row>
    <row r="838" ht="15.75" hidden="1" customHeight="1">
      <c r="A838" s="6" t="s">
        <v>4574</v>
      </c>
      <c r="B838" s="6" t="s">
        <v>4575</v>
      </c>
      <c r="C838" s="6" t="s">
        <v>389</v>
      </c>
      <c r="D838" s="6" t="s">
        <v>4576</v>
      </c>
      <c r="E838" s="6" t="s">
        <v>35</v>
      </c>
      <c r="F838" s="6" t="s">
        <v>271</v>
      </c>
      <c r="G838" s="6" t="s">
        <v>272</v>
      </c>
      <c r="H838" s="6" t="s">
        <v>273</v>
      </c>
      <c r="I838" s="6" t="s">
        <v>4577</v>
      </c>
      <c r="J838" s="6" t="s">
        <v>4578</v>
      </c>
      <c r="K838" s="6" t="s">
        <v>1100</v>
      </c>
      <c r="L838" s="10" t="s">
        <v>609</v>
      </c>
    </row>
    <row r="839" ht="15.75" hidden="1" customHeight="1">
      <c r="A839" s="6" t="s">
        <v>4579</v>
      </c>
      <c r="B839" s="6" t="s">
        <v>4580</v>
      </c>
      <c r="C839" s="6" t="s">
        <v>389</v>
      </c>
      <c r="D839" s="6" t="s">
        <v>4581</v>
      </c>
      <c r="E839" s="6" t="s">
        <v>35</v>
      </c>
      <c r="F839" s="6" t="s">
        <v>271</v>
      </c>
      <c r="G839" s="6" t="s">
        <v>272</v>
      </c>
      <c r="H839" s="6" t="s">
        <v>273</v>
      </c>
      <c r="I839" s="6" t="s">
        <v>4582</v>
      </c>
      <c r="J839" s="6" t="s">
        <v>4583</v>
      </c>
      <c r="K839" s="6" t="s">
        <v>1100</v>
      </c>
      <c r="L839" s="10" t="s">
        <v>609</v>
      </c>
    </row>
    <row r="840" ht="15.75" hidden="1" customHeight="1">
      <c r="A840" s="6" t="s">
        <v>4584</v>
      </c>
      <c r="B840" s="6" t="s">
        <v>4585</v>
      </c>
      <c r="C840" s="6" t="s">
        <v>389</v>
      </c>
      <c r="D840" s="6" t="s">
        <v>4586</v>
      </c>
      <c r="E840" s="6" t="s">
        <v>35</v>
      </c>
      <c r="F840" s="6" t="s">
        <v>271</v>
      </c>
      <c r="G840" s="6" t="s">
        <v>272</v>
      </c>
      <c r="H840" s="6" t="s">
        <v>273</v>
      </c>
      <c r="I840" s="6" t="s">
        <v>4587</v>
      </c>
      <c r="J840" s="6" t="s">
        <v>4588</v>
      </c>
      <c r="K840" s="6" t="s">
        <v>1100</v>
      </c>
      <c r="L840" s="10" t="s">
        <v>609</v>
      </c>
    </row>
    <row r="841" ht="15.75" hidden="1" customHeight="1">
      <c r="A841" s="6" t="s">
        <v>4589</v>
      </c>
      <c r="B841" s="6" t="s">
        <v>4590</v>
      </c>
      <c r="C841" s="6" t="s">
        <v>389</v>
      </c>
      <c r="D841" s="6" t="s">
        <v>4591</v>
      </c>
      <c r="E841" s="6" t="s">
        <v>35</v>
      </c>
      <c r="F841" s="6" t="s">
        <v>271</v>
      </c>
      <c r="G841" s="6" t="s">
        <v>272</v>
      </c>
      <c r="H841" s="6" t="s">
        <v>273</v>
      </c>
      <c r="I841" s="6" t="s">
        <v>4592</v>
      </c>
      <c r="J841" s="6" t="s">
        <v>4593</v>
      </c>
      <c r="K841" s="6" t="s">
        <v>1100</v>
      </c>
      <c r="L841" s="10" t="s">
        <v>609</v>
      </c>
    </row>
    <row r="842" ht="15.75" hidden="1" customHeight="1">
      <c r="A842" s="6" t="s">
        <v>4594</v>
      </c>
      <c r="B842" s="6" t="s">
        <v>4595</v>
      </c>
      <c r="C842" s="6" t="s">
        <v>389</v>
      </c>
      <c r="D842" s="6" t="s">
        <v>4596</v>
      </c>
      <c r="E842" s="6" t="s">
        <v>35</v>
      </c>
      <c r="F842" s="6" t="s">
        <v>271</v>
      </c>
      <c r="G842" s="6" t="s">
        <v>272</v>
      </c>
      <c r="H842" s="6" t="s">
        <v>273</v>
      </c>
      <c r="I842" s="6" t="s">
        <v>4597</v>
      </c>
      <c r="J842" s="6" t="s">
        <v>4598</v>
      </c>
      <c r="K842" s="6" t="s">
        <v>1100</v>
      </c>
      <c r="L842" s="10" t="s">
        <v>609</v>
      </c>
    </row>
    <row r="843" ht="15.75" hidden="1" customHeight="1">
      <c r="A843" s="6" t="s">
        <v>4599</v>
      </c>
      <c r="B843" s="6" t="s">
        <v>4600</v>
      </c>
      <c r="C843" s="6" t="s">
        <v>389</v>
      </c>
      <c r="D843" s="6" t="s">
        <v>4601</v>
      </c>
      <c r="E843" s="6" t="s">
        <v>35</v>
      </c>
      <c r="F843" s="6" t="s">
        <v>271</v>
      </c>
      <c r="G843" s="6" t="s">
        <v>272</v>
      </c>
      <c r="H843" s="6" t="s">
        <v>273</v>
      </c>
      <c r="I843" s="6" t="s">
        <v>4602</v>
      </c>
      <c r="J843" s="6" t="s">
        <v>4603</v>
      </c>
      <c r="K843" s="6" t="s">
        <v>497</v>
      </c>
      <c r="L843" s="10" t="s">
        <v>609</v>
      </c>
    </row>
    <row r="844" ht="15.75" hidden="1" customHeight="1">
      <c r="A844" s="6" t="s">
        <v>4604</v>
      </c>
      <c r="B844" s="6" t="s">
        <v>4605</v>
      </c>
      <c r="C844" s="6" t="s">
        <v>389</v>
      </c>
      <c r="D844" s="6" t="s">
        <v>4606</v>
      </c>
      <c r="E844" s="6" t="s">
        <v>35</v>
      </c>
      <c r="F844" s="6" t="s">
        <v>271</v>
      </c>
      <c r="G844" s="6" t="s">
        <v>272</v>
      </c>
      <c r="H844" s="6" t="s">
        <v>273</v>
      </c>
      <c r="I844" s="6" t="s">
        <v>4607</v>
      </c>
      <c r="J844" s="6" t="s">
        <v>4608</v>
      </c>
      <c r="K844" s="6" t="s">
        <v>497</v>
      </c>
      <c r="L844" s="10" t="s">
        <v>609</v>
      </c>
    </row>
    <row r="845" ht="15.75" hidden="1" customHeight="1">
      <c r="A845" s="6" t="s">
        <v>4609</v>
      </c>
      <c r="B845" s="6" t="s">
        <v>4610</v>
      </c>
      <c r="C845" s="6" t="s">
        <v>389</v>
      </c>
      <c r="D845" s="6" t="s">
        <v>4611</v>
      </c>
      <c r="E845" s="6" t="s">
        <v>35</v>
      </c>
      <c r="F845" s="6" t="s">
        <v>271</v>
      </c>
      <c r="G845" s="6" t="s">
        <v>272</v>
      </c>
      <c r="H845" s="6" t="s">
        <v>273</v>
      </c>
      <c r="I845" s="6" t="s">
        <v>4612</v>
      </c>
      <c r="J845" s="6" t="s">
        <v>4613</v>
      </c>
      <c r="K845" s="6" t="s">
        <v>497</v>
      </c>
      <c r="L845" s="10" t="s">
        <v>609</v>
      </c>
    </row>
    <row r="846" ht="15.75" hidden="1" customHeight="1">
      <c r="A846" s="6" t="s">
        <v>4614</v>
      </c>
      <c r="B846" s="6" t="s">
        <v>4615</v>
      </c>
      <c r="C846" s="6" t="s">
        <v>389</v>
      </c>
      <c r="D846" s="6" t="s">
        <v>4616</v>
      </c>
      <c r="E846" s="6" t="s">
        <v>35</v>
      </c>
      <c r="F846" s="6" t="s">
        <v>271</v>
      </c>
      <c r="G846" s="6" t="s">
        <v>272</v>
      </c>
      <c r="H846" s="6" t="s">
        <v>273</v>
      </c>
      <c r="I846" s="6" t="s">
        <v>4617</v>
      </c>
      <c r="J846" s="6" t="s">
        <v>4618</v>
      </c>
      <c r="K846" s="6" t="s">
        <v>497</v>
      </c>
      <c r="L846" s="10" t="s">
        <v>609</v>
      </c>
    </row>
    <row r="847" ht="15.75" customHeight="1">
      <c r="A847" s="6" t="s">
        <v>4619</v>
      </c>
      <c r="B847" s="6" t="s">
        <v>4620</v>
      </c>
      <c r="C847" s="6" t="s">
        <v>389</v>
      </c>
      <c r="D847" s="6" t="s">
        <v>4621</v>
      </c>
      <c r="E847" s="6" t="s">
        <v>35</v>
      </c>
      <c r="F847" s="6" t="s">
        <v>271</v>
      </c>
      <c r="G847" s="6" t="s">
        <v>272</v>
      </c>
      <c r="H847" s="6" t="s">
        <v>273</v>
      </c>
      <c r="I847" s="6" t="s">
        <v>4622</v>
      </c>
      <c r="J847" s="6" t="s">
        <v>4623</v>
      </c>
      <c r="K847" s="6" t="s">
        <v>1436</v>
      </c>
      <c r="L847" s="14" t="s">
        <v>55</v>
      </c>
    </row>
    <row r="848" ht="15.75" customHeight="1">
      <c r="A848" s="6" t="s">
        <v>4624</v>
      </c>
      <c r="B848" s="6" t="s">
        <v>4625</v>
      </c>
      <c r="C848" s="6" t="s">
        <v>389</v>
      </c>
      <c r="D848" s="6" t="s">
        <v>4626</v>
      </c>
      <c r="E848" s="6" t="s">
        <v>35</v>
      </c>
      <c r="F848" s="6" t="s">
        <v>271</v>
      </c>
      <c r="G848" s="6" t="s">
        <v>272</v>
      </c>
      <c r="H848" s="6" t="s">
        <v>273</v>
      </c>
      <c r="I848" s="6" t="s">
        <v>4627</v>
      </c>
      <c r="J848" s="6" t="s">
        <v>4628</v>
      </c>
      <c r="K848" s="6" t="s">
        <v>1436</v>
      </c>
      <c r="L848" s="14" t="s">
        <v>55</v>
      </c>
    </row>
    <row r="849" ht="15.75" hidden="1" customHeight="1">
      <c r="A849" s="6" t="s">
        <v>4629</v>
      </c>
      <c r="B849" s="6" t="s">
        <v>4630</v>
      </c>
      <c r="C849" s="6" t="s">
        <v>389</v>
      </c>
      <c r="D849" s="6" t="s">
        <v>4631</v>
      </c>
      <c r="E849" s="6" t="s">
        <v>35</v>
      </c>
      <c r="F849" s="6" t="s">
        <v>787</v>
      </c>
      <c r="G849" s="6" t="s">
        <v>1657</v>
      </c>
      <c r="H849" s="6" t="s">
        <v>1658</v>
      </c>
      <c r="I849" s="6" t="s">
        <v>4632</v>
      </c>
      <c r="J849" s="6" t="s">
        <v>4633</v>
      </c>
      <c r="K849" s="6" t="s">
        <v>497</v>
      </c>
      <c r="L849" s="10" t="s">
        <v>609</v>
      </c>
    </row>
    <row r="850" ht="15.75" hidden="1" customHeight="1">
      <c r="A850" s="6" t="s">
        <v>4634</v>
      </c>
      <c r="B850" s="6" t="s">
        <v>4635</v>
      </c>
      <c r="C850" s="6" t="s">
        <v>389</v>
      </c>
      <c r="D850" s="6" t="s">
        <v>4636</v>
      </c>
      <c r="E850" s="6" t="s">
        <v>35</v>
      </c>
      <c r="F850" s="6" t="s">
        <v>787</v>
      </c>
      <c r="G850" s="6" t="s">
        <v>1657</v>
      </c>
      <c r="H850" s="6" t="s">
        <v>1658</v>
      </c>
      <c r="I850" s="6" t="s">
        <v>4637</v>
      </c>
      <c r="J850" s="6" t="s">
        <v>4638</v>
      </c>
      <c r="K850" s="6" t="s">
        <v>497</v>
      </c>
      <c r="L850" s="10" t="s">
        <v>609</v>
      </c>
    </row>
    <row r="851" ht="15.75" hidden="1" customHeight="1">
      <c r="A851" s="6" t="s">
        <v>4639</v>
      </c>
      <c r="B851" s="6" t="s">
        <v>4640</v>
      </c>
      <c r="C851" s="6" t="s">
        <v>389</v>
      </c>
      <c r="D851" s="6" t="s">
        <v>4641</v>
      </c>
      <c r="E851" s="6" t="s">
        <v>35</v>
      </c>
      <c r="F851" s="6" t="s">
        <v>787</v>
      </c>
      <c r="G851" s="6" t="s">
        <v>1657</v>
      </c>
      <c r="H851" s="6" t="s">
        <v>1658</v>
      </c>
      <c r="I851" s="6" t="s">
        <v>4642</v>
      </c>
      <c r="J851" s="6" t="s">
        <v>4643</v>
      </c>
      <c r="K851" s="6" t="s">
        <v>497</v>
      </c>
      <c r="L851" s="10" t="s">
        <v>609</v>
      </c>
    </row>
    <row r="852" ht="15.75" hidden="1" customHeight="1">
      <c r="A852" s="6" t="s">
        <v>4644</v>
      </c>
      <c r="B852" s="6" t="s">
        <v>4645</v>
      </c>
      <c r="C852" s="6" t="s">
        <v>389</v>
      </c>
      <c r="D852" s="6" t="s">
        <v>4646</v>
      </c>
      <c r="E852" s="6" t="s">
        <v>35</v>
      </c>
      <c r="F852" s="6" t="s">
        <v>787</v>
      </c>
      <c r="G852" s="6" t="s">
        <v>1657</v>
      </c>
      <c r="H852" s="6" t="s">
        <v>1658</v>
      </c>
      <c r="I852" s="6" t="s">
        <v>4647</v>
      </c>
      <c r="J852" s="6" t="s">
        <v>4648</v>
      </c>
      <c r="K852" s="6" t="s">
        <v>497</v>
      </c>
      <c r="L852" s="10" t="s">
        <v>609</v>
      </c>
    </row>
    <row r="853" ht="15.75" hidden="1" customHeight="1">
      <c r="A853" s="6" t="s">
        <v>4649</v>
      </c>
      <c r="B853" s="6" t="s">
        <v>4650</v>
      </c>
      <c r="C853" s="6" t="s">
        <v>389</v>
      </c>
      <c r="D853" s="6" t="s">
        <v>4651</v>
      </c>
      <c r="E853" s="6" t="s">
        <v>339</v>
      </c>
      <c r="F853" s="6" t="s">
        <v>603</v>
      </c>
      <c r="G853" s="6" t="s">
        <v>4529</v>
      </c>
      <c r="H853" s="6" t="s">
        <v>4530</v>
      </c>
      <c r="I853" s="6" t="s">
        <v>4652</v>
      </c>
      <c r="J853" s="6" t="s">
        <v>4653</v>
      </c>
      <c r="K853" s="6" t="s">
        <v>459</v>
      </c>
      <c r="L853" s="10" t="s">
        <v>609</v>
      </c>
    </row>
    <row r="854" ht="15.75" customHeight="1">
      <c r="A854" s="6" t="s">
        <v>4654</v>
      </c>
      <c r="B854" s="6" t="s">
        <v>4655</v>
      </c>
      <c r="C854" s="6" t="s">
        <v>389</v>
      </c>
      <c r="D854" s="6" t="s">
        <v>4656</v>
      </c>
      <c r="E854" s="6" t="s">
        <v>35</v>
      </c>
      <c r="F854" s="6" t="s">
        <v>271</v>
      </c>
      <c r="G854" s="6" t="s">
        <v>1707</v>
      </c>
      <c r="H854" s="6" t="s">
        <v>1708</v>
      </c>
      <c r="I854" s="6" t="s">
        <v>4657</v>
      </c>
      <c r="J854" s="6" t="s">
        <v>4658</v>
      </c>
      <c r="K854" s="6" t="s">
        <v>4163</v>
      </c>
      <c r="L854" s="10" t="s">
        <v>609</v>
      </c>
    </row>
    <row r="855" ht="15.75" customHeight="1">
      <c r="A855" s="6" t="s">
        <v>4659</v>
      </c>
      <c r="B855" s="6" t="s">
        <v>4660</v>
      </c>
      <c r="C855" s="6" t="s">
        <v>389</v>
      </c>
      <c r="D855" s="6" t="s">
        <v>4661</v>
      </c>
      <c r="E855" s="6" t="s">
        <v>35</v>
      </c>
      <c r="F855" s="6" t="s">
        <v>271</v>
      </c>
      <c r="G855" s="6" t="s">
        <v>1707</v>
      </c>
      <c r="H855" s="6" t="s">
        <v>1708</v>
      </c>
      <c r="I855" s="6" t="s">
        <v>4662</v>
      </c>
      <c r="J855" s="6" t="s">
        <v>4663</v>
      </c>
      <c r="K855" s="6" t="s">
        <v>4163</v>
      </c>
      <c r="L855" s="10" t="s">
        <v>609</v>
      </c>
    </row>
    <row r="856" ht="15.75" customHeight="1">
      <c r="A856" s="6" t="s">
        <v>4664</v>
      </c>
      <c r="B856" s="6" t="s">
        <v>4665</v>
      </c>
      <c r="C856" s="6" t="s">
        <v>389</v>
      </c>
      <c r="D856" s="6" t="s">
        <v>4666</v>
      </c>
      <c r="E856" s="6" t="s">
        <v>35</v>
      </c>
      <c r="F856" s="6" t="s">
        <v>271</v>
      </c>
      <c r="G856" s="6" t="s">
        <v>1707</v>
      </c>
      <c r="H856" s="6" t="s">
        <v>1708</v>
      </c>
      <c r="I856" s="6" t="s">
        <v>4667</v>
      </c>
      <c r="J856" s="6" t="s">
        <v>4668</v>
      </c>
      <c r="K856" s="6" t="s">
        <v>4163</v>
      </c>
      <c r="L856" s="10" t="s">
        <v>609</v>
      </c>
    </row>
    <row r="857" ht="15.75" hidden="1" customHeight="1">
      <c r="A857" s="6" t="s">
        <v>4669</v>
      </c>
      <c r="B857" s="6" t="s">
        <v>4670</v>
      </c>
      <c r="C857" s="6" t="s">
        <v>389</v>
      </c>
      <c r="D857" s="6" t="s">
        <v>4671</v>
      </c>
      <c r="E857" s="6" t="s">
        <v>35</v>
      </c>
      <c r="F857" s="6" t="s">
        <v>36</v>
      </c>
      <c r="G857" s="6" t="s">
        <v>572</v>
      </c>
      <c r="H857" s="6" t="s">
        <v>573</v>
      </c>
      <c r="I857" s="6" t="s">
        <v>4672</v>
      </c>
      <c r="J857" s="6" t="s">
        <v>4673</v>
      </c>
      <c r="K857" s="6" t="s">
        <v>459</v>
      </c>
      <c r="L857" s="10" t="s">
        <v>609</v>
      </c>
    </row>
    <row r="858" ht="15.75" hidden="1" customHeight="1">
      <c r="A858" s="6" t="s">
        <v>4674</v>
      </c>
      <c r="B858" s="6" t="s">
        <v>4675</v>
      </c>
      <c r="C858" s="6" t="s">
        <v>389</v>
      </c>
      <c r="D858" s="6" t="s">
        <v>4676</v>
      </c>
      <c r="E858" s="6" t="s">
        <v>35</v>
      </c>
      <c r="F858" s="6" t="s">
        <v>36</v>
      </c>
      <c r="G858" s="6" t="s">
        <v>572</v>
      </c>
      <c r="H858" s="6" t="s">
        <v>573</v>
      </c>
      <c r="I858" s="6" t="s">
        <v>4677</v>
      </c>
      <c r="J858" s="6" t="s">
        <v>4678</v>
      </c>
      <c r="K858" s="6" t="s">
        <v>459</v>
      </c>
      <c r="L858" s="10" t="s">
        <v>609</v>
      </c>
    </row>
    <row r="859" ht="15.75" hidden="1" customHeight="1">
      <c r="A859" s="6" t="s">
        <v>4679</v>
      </c>
      <c r="B859" s="6" t="s">
        <v>4680</v>
      </c>
      <c r="C859" s="6" t="s">
        <v>389</v>
      </c>
      <c r="D859" s="6" t="s">
        <v>4681</v>
      </c>
      <c r="E859" s="6" t="s">
        <v>35</v>
      </c>
      <c r="F859" s="6" t="s">
        <v>271</v>
      </c>
      <c r="G859" s="6" t="s">
        <v>272</v>
      </c>
      <c r="H859" s="6" t="s">
        <v>273</v>
      </c>
      <c r="I859" s="6" t="s">
        <v>4682</v>
      </c>
      <c r="J859" s="6" t="s">
        <v>4683</v>
      </c>
      <c r="K859" s="6" t="s">
        <v>459</v>
      </c>
      <c r="L859" s="10" t="s">
        <v>30</v>
      </c>
    </row>
    <row r="860" ht="15.75" hidden="1" customHeight="1">
      <c r="A860" s="6" t="s">
        <v>4684</v>
      </c>
      <c r="B860" s="6" t="s">
        <v>4685</v>
      </c>
      <c r="C860" s="6" t="s">
        <v>389</v>
      </c>
      <c r="D860" s="6" t="s">
        <v>4686</v>
      </c>
      <c r="E860" s="6" t="s">
        <v>35</v>
      </c>
      <c r="F860" s="6" t="s">
        <v>787</v>
      </c>
      <c r="G860" s="6" t="s">
        <v>788</v>
      </c>
      <c r="H860" s="6" t="s">
        <v>789</v>
      </c>
      <c r="I860" s="6" t="s">
        <v>4687</v>
      </c>
      <c r="J860" s="6" t="s">
        <v>4688</v>
      </c>
      <c r="K860" s="6" t="s">
        <v>497</v>
      </c>
      <c r="L860" s="12" t="s">
        <v>43</v>
      </c>
    </row>
    <row r="861" ht="15.75" hidden="1" customHeight="1">
      <c r="A861" s="6" t="s">
        <v>4689</v>
      </c>
      <c r="B861" s="6" t="s">
        <v>4690</v>
      </c>
      <c r="C861" s="6" t="s">
        <v>389</v>
      </c>
      <c r="D861" s="6" t="s">
        <v>4691</v>
      </c>
      <c r="E861" s="6" t="s">
        <v>35</v>
      </c>
      <c r="F861" s="6" t="s">
        <v>787</v>
      </c>
      <c r="G861" s="6" t="s">
        <v>788</v>
      </c>
      <c r="H861" s="6" t="s">
        <v>789</v>
      </c>
      <c r="I861" s="6" t="s">
        <v>4692</v>
      </c>
      <c r="J861" s="6" t="s">
        <v>4693</v>
      </c>
      <c r="K861" s="6" t="s">
        <v>497</v>
      </c>
      <c r="L861" s="14" t="s">
        <v>55</v>
      </c>
    </row>
    <row r="862" ht="15.75" hidden="1" customHeight="1">
      <c r="A862" s="6" t="s">
        <v>4694</v>
      </c>
      <c r="B862" s="6" t="s">
        <v>4695</v>
      </c>
      <c r="C862" s="6" t="s">
        <v>389</v>
      </c>
      <c r="D862" s="6" t="s">
        <v>4696</v>
      </c>
      <c r="E862" s="6" t="s">
        <v>35</v>
      </c>
      <c r="F862" s="6" t="s">
        <v>787</v>
      </c>
      <c r="G862" s="6" t="s">
        <v>788</v>
      </c>
      <c r="H862" s="6" t="s">
        <v>789</v>
      </c>
      <c r="I862" s="6" t="s">
        <v>4697</v>
      </c>
      <c r="J862" s="6" t="s">
        <v>4698</v>
      </c>
      <c r="K862" s="6" t="s">
        <v>497</v>
      </c>
      <c r="L862" s="14" t="s">
        <v>55</v>
      </c>
    </row>
    <row r="863" ht="15.75" hidden="1" customHeight="1">
      <c r="A863" s="6" t="s">
        <v>4699</v>
      </c>
      <c r="B863" s="6" t="s">
        <v>4700</v>
      </c>
      <c r="C863" s="6" t="s">
        <v>389</v>
      </c>
      <c r="D863" s="6" t="s">
        <v>4701</v>
      </c>
      <c r="E863" s="6" t="s">
        <v>35</v>
      </c>
      <c r="F863" s="6" t="s">
        <v>271</v>
      </c>
      <c r="G863" s="6" t="s">
        <v>272</v>
      </c>
      <c r="H863" s="6" t="s">
        <v>273</v>
      </c>
      <c r="I863" s="6" t="s">
        <v>4702</v>
      </c>
      <c r="J863" s="6" t="s">
        <v>4703</v>
      </c>
      <c r="K863" s="6" t="s">
        <v>459</v>
      </c>
      <c r="L863" s="14" t="s">
        <v>55</v>
      </c>
    </row>
    <row r="864" ht="15.75" hidden="1" customHeight="1">
      <c r="A864" s="6" t="s">
        <v>4704</v>
      </c>
      <c r="B864" s="6" t="s">
        <v>4705</v>
      </c>
      <c r="C864" s="6" t="s">
        <v>389</v>
      </c>
      <c r="D864" s="6" t="s">
        <v>4706</v>
      </c>
      <c r="E864" s="6" t="s">
        <v>35</v>
      </c>
      <c r="F864" s="6" t="s">
        <v>271</v>
      </c>
      <c r="G864" s="6" t="s">
        <v>272</v>
      </c>
      <c r="H864" s="6" t="s">
        <v>273</v>
      </c>
      <c r="I864" s="6" t="s">
        <v>4707</v>
      </c>
      <c r="J864" s="6" t="s">
        <v>4708</v>
      </c>
      <c r="K864" s="6" t="s">
        <v>459</v>
      </c>
      <c r="L864" s="10" t="s">
        <v>609</v>
      </c>
    </row>
    <row r="865" ht="15.75" hidden="1" customHeight="1">
      <c r="A865" s="6" t="s">
        <v>4709</v>
      </c>
      <c r="B865" s="6" t="s">
        <v>4710</v>
      </c>
      <c r="C865" s="6" t="s">
        <v>389</v>
      </c>
      <c r="D865" s="6" t="s">
        <v>4711</v>
      </c>
      <c r="E865" s="6" t="s">
        <v>35</v>
      </c>
      <c r="F865" s="6" t="s">
        <v>271</v>
      </c>
      <c r="G865" s="6" t="s">
        <v>272</v>
      </c>
      <c r="H865" s="6" t="s">
        <v>273</v>
      </c>
      <c r="I865" s="6" t="s">
        <v>4712</v>
      </c>
      <c r="J865" s="6" t="s">
        <v>4713</v>
      </c>
      <c r="K865" s="6" t="s">
        <v>459</v>
      </c>
      <c r="L865" s="10" t="s">
        <v>609</v>
      </c>
    </row>
    <row r="866" ht="15.75" hidden="1" customHeight="1">
      <c r="A866" s="6" t="s">
        <v>4714</v>
      </c>
      <c r="B866" s="6" t="s">
        <v>4715</v>
      </c>
      <c r="C866" s="6" t="s">
        <v>389</v>
      </c>
      <c r="D866" s="6" t="s">
        <v>4716</v>
      </c>
      <c r="E866" s="6" t="s">
        <v>35</v>
      </c>
      <c r="F866" s="6" t="s">
        <v>271</v>
      </c>
      <c r="G866" s="6" t="s">
        <v>272</v>
      </c>
      <c r="H866" s="6" t="s">
        <v>273</v>
      </c>
      <c r="I866" s="6" t="s">
        <v>4717</v>
      </c>
      <c r="J866" s="6" t="s">
        <v>4718</v>
      </c>
      <c r="K866" s="6" t="s">
        <v>459</v>
      </c>
      <c r="L866" s="10" t="s">
        <v>609</v>
      </c>
    </row>
    <row r="867" ht="15.75" hidden="1" customHeight="1">
      <c r="A867" s="6" t="s">
        <v>4719</v>
      </c>
      <c r="B867" s="6" t="s">
        <v>4720</v>
      </c>
      <c r="C867" s="6" t="s">
        <v>389</v>
      </c>
      <c r="D867" s="6" t="s">
        <v>4721</v>
      </c>
      <c r="E867" s="6" t="s">
        <v>35</v>
      </c>
      <c r="F867" s="6" t="s">
        <v>271</v>
      </c>
      <c r="G867" s="6" t="s">
        <v>272</v>
      </c>
      <c r="H867" s="6" t="s">
        <v>273</v>
      </c>
      <c r="I867" s="6" t="s">
        <v>4722</v>
      </c>
      <c r="J867" s="6" t="s">
        <v>4723</v>
      </c>
      <c r="K867" s="6" t="s">
        <v>459</v>
      </c>
      <c r="L867" s="10" t="s">
        <v>609</v>
      </c>
    </row>
    <row r="868" ht="15.75" hidden="1" customHeight="1">
      <c r="A868" s="6" t="s">
        <v>4724</v>
      </c>
      <c r="B868" s="6" t="s">
        <v>4725</v>
      </c>
      <c r="C868" s="6" t="s">
        <v>389</v>
      </c>
      <c r="D868" s="6" t="s">
        <v>4726</v>
      </c>
      <c r="E868" s="6" t="s">
        <v>35</v>
      </c>
      <c r="F868" s="6" t="s">
        <v>787</v>
      </c>
      <c r="G868" s="6" t="s">
        <v>1657</v>
      </c>
      <c r="H868" s="6" t="s">
        <v>1658</v>
      </c>
      <c r="I868" s="6" t="s">
        <v>4727</v>
      </c>
      <c r="J868" s="6" t="s">
        <v>4728</v>
      </c>
      <c r="K868" s="6" t="s">
        <v>641</v>
      </c>
      <c r="L868" s="14" t="s">
        <v>55</v>
      </c>
    </row>
    <row r="869" ht="15.75" hidden="1" customHeight="1">
      <c r="A869" s="6" t="s">
        <v>4729</v>
      </c>
      <c r="B869" s="6" t="s">
        <v>4730</v>
      </c>
      <c r="C869" s="6" t="s">
        <v>389</v>
      </c>
      <c r="D869" s="6" t="s">
        <v>4731</v>
      </c>
      <c r="E869" s="6" t="s">
        <v>35</v>
      </c>
      <c r="F869" s="6" t="s">
        <v>787</v>
      </c>
      <c r="G869" s="6" t="s">
        <v>1657</v>
      </c>
      <c r="H869" s="6" t="s">
        <v>1658</v>
      </c>
      <c r="I869" s="6" t="s">
        <v>4732</v>
      </c>
      <c r="J869" s="6" t="s">
        <v>4733</v>
      </c>
      <c r="K869" s="6" t="s">
        <v>527</v>
      </c>
      <c r="L869" s="10" t="s">
        <v>609</v>
      </c>
    </row>
    <row r="870" ht="15.75" hidden="1" customHeight="1">
      <c r="A870" s="6" t="s">
        <v>4734</v>
      </c>
      <c r="B870" s="6" t="s">
        <v>4735</v>
      </c>
      <c r="C870" s="6" t="s">
        <v>389</v>
      </c>
      <c r="D870" s="6" t="s">
        <v>4736</v>
      </c>
      <c r="E870" s="6" t="s">
        <v>35</v>
      </c>
      <c r="F870" s="6" t="s">
        <v>787</v>
      </c>
      <c r="G870" s="6" t="s">
        <v>1657</v>
      </c>
      <c r="H870" s="6" t="s">
        <v>1658</v>
      </c>
      <c r="I870" s="6" t="s">
        <v>4737</v>
      </c>
      <c r="J870" s="6" t="s">
        <v>4738</v>
      </c>
      <c r="K870" s="6" t="s">
        <v>527</v>
      </c>
      <c r="L870" s="10" t="s">
        <v>609</v>
      </c>
    </row>
    <row r="871" ht="15.75" hidden="1" customHeight="1">
      <c r="A871" s="6" t="s">
        <v>4739</v>
      </c>
      <c r="B871" s="6" t="s">
        <v>4740</v>
      </c>
      <c r="C871" s="6" t="s">
        <v>389</v>
      </c>
      <c r="D871" s="6" t="s">
        <v>4741</v>
      </c>
      <c r="E871" s="6" t="s">
        <v>35</v>
      </c>
      <c r="F871" s="6" t="s">
        <v>787</v>
      </c>
      <c r="G871" s="6" t="s">
        <v>1657</v>
      </c>
      <c r="H871" s="6" t="s">
        <v>1658</v>
      </c>
      <c r="I871" s="6" t="s">
        <v>4742</v>
      </c>
      <c r="J871" s="6" t="s">
        <v>4743</v>
      </c>
      <c r="K871" s="6" t="s">
        <v>527</v>
      </c>
      <c r="L871" s="10" t="s">
        <v>609</v>
      </c>
    </row>
    <row r="872" ht="15.75" hidden="1" customHeight="1">
      <c r="A872" s="6" t="s">
        <v>4744</v>
      </c>
      <c r="B872" s="6" t="s">
        <v>4745</v>
      </c>
      <c r="C872" s="6" t="s">
        <v>389</v>
      </c>
      <c r="D872" s="6" t="s">
        <v>4746</v>
      </c>
      <c r="E872" s="6" t="s">
        <v>35</v>
      </c>
      <c r="F872" s="6" t="s">
        <v>787</v>
      </c>
      <c r="G872" s="6" t="s">
        <v>1657</v>
      </c>
      <c r="H872" s="6" t="s">
        <v>1658</v>
      </c>
      <c r="I872" s="6" t="s">
        <v>4747</v>
      </c>
      <c r="J872" s="6" t="s">
        <v>4748</v>
      </c>
      <c r="K872" s="6" t="s">
        <v>527</v>
      </c>
      <c r="L872" s="10" t="s">
        <v>609</v>
      </c>
    </row>
    <row r="873" ht="15.75" hidden="1" customHeight="1">
      <c r="A873" s="6" t="s">
        <v>4749</v>
      </c>
      <c r="B873" s="6" t="s">
        <v>4750</v>
      </c>
      <c r="C873" s="6" t="s">
        <v>389</v>
      </c>
      <c r="D873" s="6" t="s">
        <v>4751</v>
      </c>
      <c r="E873" s="6" t="s">
        <v>35</v>
      </c>
      <c r="F873" s="6" t="s">
        <v>787</v>
      </c>
      <c r="G873" s="6" t="s">
        <v>1657</v>
      </c>
      <c r="H873" s="6" t="s">
        <v>1658</v>
      </c>
      <c r="I873" s="6" t="s">
        <v>4752</v>
      </c>
      <c r="J873" s="6" t="s">
        <v>4753</v>
      </c>
      <c r="K873" s="6" t="s">
        <v>527</v>
      </c>
      <c r="L873" s="10" t="s">
        <v>609</v>
      </c>
    </row>
    <row r="874" ht="15.75" hidden="1" customHeight="1">
      <c r="A874" s="6" t="s">
        <v>4754</v>
      </c>
      <c r="B874" s="6" t="s">
        <v>4755</v>
      </c>
      <c r="C874" s="6" t="s">
        <v>389</v>
      </c>
      <c r="D874" s="6" t="s">
        <v>4756</v>
      </c>
      <c r="E874" s="6" t="s">
        <v>35</v>
      </c>
      <c r="F874" s="6" t="s">
        <v>787</v>
      </c>
      <c r="G874" s="6" t="s">
        <v>1657</v>
      </c>
      <c r="H874" s="6" t="s">
        <v>1658</v>
      </c>
      <c r="I874" s="6" t="s">
        <v>4757</v>
      </c>
      <c r="J874" s="6" t="s">
        <v>4758</v>
      </c>
      <c r="K874" s="6" t="s">
        <v>4450</v>
      </c>
      <c r="L874" s="14" t="s">
        <v>55</v>
      </c>
    </row>
    <row r="875" ht="15.75" hidden="1" customHeight="1">
      <c r="A875" s="6" t="s">
        <v>4759</v>
      </c>
      <c r="B875" s="6" t="s">
        <v>4760</v>
      </c>
      <c r="C875" s="6" t="s">
        <v>389</v>
      </c>
      <c r="D875" s="6" t="s">
        <v>4761</v>
      </c>
      <c r="E875" s="6" t="s">
        <v>339</v>
      </c>
      <c r="F875" s="6" t="s">
        <v>603</v>
      </c>
      <c r="G875" s="6" t="s">
        <v>4529</v>
      </c>
      <c r="H875" s="6" t="s">
        <v>4530</v>
      </c>
      <c r="I875" s="6" t="s">
        <v>4762</v>
      </c>
      <c r="J875" s="6" t="s">
        <v>4763</v>
      </c>
      <c r="K875" s="6" t="s">
        <v>459</v>
      </c>
      <c r="L875" s="10" t="s">
        <v>609</v>
      </c>
    </row>
    <row r="876" ht="15.75" hidden="1" customHeight="1">
      <c r="A876" s="6" t="s">
        <v>4764</v>
      </c>
      <c r="B876" s="6" t="s">
        <v>4765</v>
      </c>
      <c r="C876" s="6" t="s">
        <v>389</v>
      </c>
      <c r="D876" s="6" t="s">
        <v>4766</v>
      </c>
      <c r="E876" s="6" t="s">
        <v>35</v>
      </c>
      <c r="F876" s="6" t="s">
        <v>787</v>
      </c>
      <c r="G876" s="6" t="s">
        <v>966</v>
      </c>
      <c r="H876" s="6" t="s">
        <v>967</v>
      </c>
      <c r="I876" s="6" t="s">
        <v>4767</v>
      </c>
      <c r="J876" s="6" t="s">
        <v>4768</v>
      </c>
      <c r="K876" s="6" t="s">
        <v>1100</v>
      </c>
      <c r="L876" s="12" t="s">
        <v>43</v>
      </c>
    </row>
    <row r="877" ht="15.75" hidden="1" customHeight="1">
      <c r="A877" s="6" t="s">
        <v>4769</v>
      </c>
      <c r="B877" s="6" t="s">
        <v>4770</v>
      </c>
      <c r="C877" s="6" t="s">
        <v>389</v>
      </c>
      <c r="D877" s="6" t="s">
        <v>4771</v>
      </c>
      <c r="E877" s="6" t="s">
        <v>35</v>
      </c>
      <c r="F877" s="6" t="s">
        <v>787</v>
      </c>
      <c r="G877" s="6" t="s">
        <v>966</v>
      </c>
      <c r="H877" s="6" t="s">
        <v>967</v>
      </c>
      <c r="I877" s="6" t="s">
        <v>4772</v>
      </c>
      <c r="J877" s="6" t="s">
        <v>4773</v>
      </c>
      <c r="K877" s="6" t="s">
        <v>1100</v>
      </c>
      <c r="L877" s="14" t="s">
        <v>55</v>
      </c>
    </row>
    <row r="878" ht="15.75" hidden="1" customHeight="1">
      <c r="A878" s="6" t="s">
        <v>4774</v>
      </c>
      <c r="B878" s="6" t="s">
        <v>4775</v>
      </c>
      <c r="C878" s="6" t="s">
        <v>389</v>
      </c>
      <c r="D878" s="6" t="s">
        <v>4776</v>
      </c>
      <c r="E878" s="6" t="s">
        <v>35</v>
      </c>
      <c r="F878" s="6" t="s">
        <v>787</v>
      </c>
      <c r="G878" s="6" t="s">
        <v>966</v>
      </c>
      <c r="H878" s="6" t="s">
        <v>967</v>
      </c>
      <c r="I878" s="6" t="s">
        <v>4777</v>
      </c>
      <c r="J878" s="6" t="s">
        <v>4778</v>
      </c>
      <c r="K878" s="6" t="s">
        <v>1100</v>
      </c>
      <c r="L878" s="14" t="s">
        <v>55</v>
      </c>
    </row>
    <row r="879" ht="15.75" hidden="1" customHeight="1">
      <c r="A879" s="6" t="s">
        <v>4779</v>
      </c>
      <c r="B879" s="6" t="s">
        <v>4780</v>
      </c>
      <c r="C879" s="6" t="s">
        <v>389</v>
      </c>
      <c r="D879" s="6" t="s">
        <v>4781</v>
      </c>
      <c r="E879" s="6" t="s">
        <v>35</v>
      </c>
      <c r="F879" s="6" t="s">
        <v>271</v>
      </c>
      <c r="G879" s="6" t="s">
        <v>272</v>
      </c>
      <c r="H879" s="6" t="s">
        <v>273</v>
      </c>
      <c r="I879" s="6" t="s">
        <v>4782</v>
      </c>
      <c r="J879" s="6" t="s">
        <v>4783</v>
      </c>
      <c r="K879" s="6" t="s">
        <v>459</v>
      </c>
      <c r="L879" s="10" t="s">
        <v>609</v>
      </c>
    </row>
    <row r="880" ht="15.75" hidden="1" customHeight="1">
      <c r="A880" s="6" t="s">
        <v>4784</v>
      </c>
      <c r="B880" s="6" t="s">
        <v>4785</v>
      </c>
      <c r="C880" s="6" t="s">
        <v>389</v>
      </c>
      <c r="D880" s="6" t="s">
        <v>4786</v>
      </c>
      <c r="E880" s="6" t="s">
        <v>35</v>
      </c>
      <c r="F880" s="6" t="s">
        <v>271</v>
      </c>
      <c r="G880" s="6" t="s">
        <v>1707</v>
      </c>
      <c r="H880" s="6" t="s">
        <v>1708</v>
      </c>
      <c r="I880" s="6" t="s">
        <v>4787</v>
      </c>
      <c r="J880" s="6" t="s">
        <v>4788</v>
      </c>
      <c r="K880" s="6" t="s">
        <v>459</v>
      </c>
      <c r="L880" s="10" t="s">
        <v>609</v>
      </c>
    </row>
    <row r="881" ht="15.75" hidden="1" customHeight="1">
      <c r="A881" s="6" t="s">
        <v>4789</v>
      </c>
      <c r="B881" s="6" t="s">
        <v>4790</v>
      </c>
      <c r="C881" s="6" t="s">
        <v>389</v>
      </c>
      <c r="D881" s="6" t="s">
        <v>4791</v>
      </c>
      <c r="E881" s="6" t="s">
        <v>339</v>
      </c>
      <c r="F881" s="6" t="s">
        <v>603</v>
      </c>
      <c r="G881" s="6" t="s">
        <v>4529</v>
      </c>
      <c r="H881" s="6" t="s">
        <v>4530</v>
      </c>
      <c r="I881" s="6" t="s">
        <v>4792</v>
      </c>
      <c r="J881" s="6" t="s">
        <v>4793</v>
      </c>
      <c r="K881" s="6" t="s">
        <v>459</v>
      </c>
      <c r="L881" s="10" t="s">
        <v>609</v>
      </c>
    </row>
    <row r="882" ht="15.75" hidden="1" customHeight="1">
      <c r="A882" s="6" t="s">
        <v>4794</v>
      </c>
      <c r="B882" s="6" t="s">
        <v>4795</v>
      </c>
      <c r="C882" s="6" t="s">
        <v>389</v>
      </c>
      <c r="D882" s="6" t="s">
        <v>4796</v>
      </c>
      <c r="E882" s="6" t="s">
        <v>339</v>
      </c>
      <c r="F882" s="6" t="s">
        <v>603</v>
      </c>
      <c r="G882" s="6" t="s">
        <v>4529</v>
      </c>
      <c r="H882" s="6" t="s">
        <v>4530</v>
      </c>
      <c r="I882" s="6" t="s">
        <v>4797</v>
      </c>
      <c r="J882" s="6" t="s">
        <v>4798</v>
      </c>
      <c r="K882" s="6" t="s">
        <v>459</v>
      </c>
      <c r="L882" s="10" t="s">
        <v>609</v>
      </c>
    </row>
    <row r="883" ht="15.75" hidden="1" customHeight="1">
      <c r="A883" s="6" t="s">
        <v>4799</v>
      </c>
      <c r="B883" s="6" t="s">
        <v>4800</v>
      </c>
      <c r="C883" s="6" t="s">
        <v>389</v>
      </c>
      <c r="D883" s="6" t="s">
        <v>4801</v>
      </c>
      <c r="E883" s="6" t="s">
        <v>35</v>
      </c>
      <c r="F883" s="6" t="s">
        <v>271</v>
      </c>
      <c r="G883" s="6" t="s">
        <v>272</v>
      </c>
      <c r="H883" s="6" t="s">
        <v>273</v>
      </c>
      <c r="I883" s="6" t="s">
        <v>4802</v>
      </c>
      <c r="J883" s="6" t="s">
        <v>4803</v>
      </c>
      <c r="K883" s="6" t="s">
        <v>497</v>
      </c>
      <c r="L883" s="10" t="s">
        <v>609</v>
      </c>
    </row>
    <row r="884" ht="15.75" hidden="1" customHeight="1">
      <c r="A884" s="6" t="s">
        <v>4804</v>
      </c>
      <c r="B884" s="6" t="s">
        <v>4805</v>
      </c>
      <c r="C884" s="6" t="s">
        <v>389</v>
      </c>
      <c r="D884" s="6" t="s">
        <v>4806</v>
      </c>
      <c r="E884" s="6" t="s">
        <v>35</v>
      </c>
      <c r="F884" s="6" t="s">
        <v>271</v>
      </c>
      <c r="G884" s="6" t="s">
        <v>272</v>
      </c>
      <c r="H884" s="6" t="s">
        <v>273</v>
      </c>
      <c r="I884" s="6" t="s">
        <v>4807</v>
      </c>
      <c r="J884" s="6" t="s">
        <v>4808</v>
      </c>
      <c r="K884" s="6" t="s">
        <v>497</v>
      </c>
      <c r="L884" s="10" t="s">
        <v>609</v>
      </c>
    </row>
    <row r="885" ht="15.75" hidden="1" customHeight="1">
      <c r="A885" s="6" t="s">
        <v>4809</v>
      </c>
      <c r="B885" s="6" t="s">
        <v>4810</v>
      </c>
      <c r="C885" s="6" t="s">
        <v>389</v>
      </c>
      <c r="D885" s="6" t="s">
        <v>4811</v>
      </c>
      <c r="E885" s="6" t="s">
        <v>35</v>
      </c>
      <c r="F885" s="6" t="s">
        <v>787</v>
      </c>
      <c r="G885" s="6" t="s">
        <v>788</v>
      </c>
      <c r="H885" s="6" t="s">
        <v>789</v>
      </c>
      <c r="I885" s="6" t="s">
        <v>4812</v>
      </c>
      <c r="J885" s="6" t="s">
        <v>4813</v>
      </c>
      <c r="K885" s="6" t="s">
        <v>497</v>
      </c>
      <c r="L885" s="10" t="s">
        <v>609</v>
      </c>
    </row>
    <row r="886" ht="15.75" hidden="1" customHeight="1">
      <c r="A886" s="6" t="s">
        <v>4814</v>
      </c>
      <c r="B886" s="6" t="s">
        <v>4815</v>
      </c>
      <c r="C886" s="6" t="s">
        <v>400</v>
      </c>
      <c r="D886" s="6" t="s">
        <v>21</v>
      </c>
      <c r="E886" s="6" t="s">
        <v>22</v>
      </c>
      <c r="F886" s="6" t="s">
        <v>23</v>
      </c>
      <c r="G886" s="6" t="s">
        <v>24</v>
      </c>
      <c r="H886" s="6" t="s">
        <v>25</v>
      </c>
      <c r="I886" s="6" t="s">
        <v>4816</v>
      </c>
      <c r="J886" s="6" t="s">
        <v>4817</v>
      </c>
      <c r="K886" s="6" t="s">
        <v>29</v>
      </c>
      <c r="L886" s="10" t="s">
        <v>30</v>
      </c>
    </row>
    <row r="887" ht="15.75" hidden="1" customHeight="1">
      <c r="A887" s="6" t="s">
        <v>4818</v>
      </c>
      <c r="B887" s="6" t="s">
        <v>4819</v>
      </c>
      <c r="C887" s="6" t="s">
        <v>400</v>
      </c>
      <c r="D887" s="6" t="s">
        <v>4820</v>
      </c>
      <c r="E887" s="6" t="s">
        <v>331</v>
      </c>
      <c r="F887" s="6" t="s">
        <v>1309</v>
      </c>
      <c r="G887" s="6" t="s">
        <v>4821</v>
      </c>
      <c r="H887" s="6" t="s">
        <v>4822</v>
      </c>
      <c r="I887" s="6" t="s">
        <v>4823</v>
      </c>
      <c r="J887" s="6" t="s">
        <v>4824</v>
      </c>
      <c r="K887" s="6" t="s">
        <v>4825</v>
      </c>
      <c r="L887" s="12" t="s">
        <v>43</v>
      </c>
    </row>
    <row r="888" ht="15.75" hidden="1" customHeight="1">
      <c r="A888" s="6" t="s">
        <v>4826</v>
      </c>
      <c r="B888" s="6" t="s">
        <v>4827</v>
      </c>
      <c r="C888" s="6" t="s">
        <v>400</v>
      </c>
      <c r="D888" s="6" t="s">
        <v>4828</v>
      </c>
      <c r="E888" s="6" t="s">
        <v>331</v>
      </c>
      <c r="F888" s="6" t="s">
        <v>1309</v>
      </c>
      <c r="G888" s="6" t="s">
        <v>4821</v>
      </c>
      <c r="H888" s="6" t="s">
        <v>4822</v>
      </c>
      <c r="I888" s="6" t="s">
        <v>4829</v>
      </c>
      <c r="J888" s="6" t="s">
        <v>4830</v>
      </c>
      <c r="K888" s="6" t="s">
        <v>4825</v>
      </c>
      <c r="L888" s="14" t="s">
        <v>55</v>
      </c>
    </row>
    <row r="889" ht="15.75" hidden="1" customHeight="1">
      <c r="A889" s="6" t="s">
        <v>4831</v>
      </c>
      <c r="B889" s="6" t="s">
        <v>4832</v>
      </c>
      <c r="C889" s="6" t="s">
        <v>400</v>
      </c>
      <c r="D889" s="6" t="s">
        <v>4833</v>
      </c>
      <c r="E889" s="6" t="s">
        <v>331</v>
      </c>
      <c r="F889" s="6" t="s">
        <v>1309</v>
      </c>
      <c r="G889" s="6" t="s">
        <v>4821</v>
      </c>
      <c r="H889" s="6" t="s">
        <v>4822</v>
      </c>
      <c r="I889" s="6" t="s">
        <v>4834</v>
      </c>
      <c r="J889" s="6" t="s">
        <v>4835</v>
      </c>
      <c r="K889" s="6" t="s">
        <v>4825</v>
      </c>
      <c r="L889" s="14" t="s">
        <v>55</v>
      </c>
    </row>
    <row r="890" ht="15.75" hidden="1" customHeight="1">
      <c r="A890" s="6" t="s">
        <v>4836</v>
      </c>
      <c r="B890" s="6" t="s">
        <v>4837</v>
      </c>
      <c r="C890" s="6" t="s">
        <v>400</v>
      </c>
      <c r="D890" s="6" t="s">
        <v>4838</v>
      </c>
      <c r="E890" s="6" t="s">
        <v>331</v>
      </c>
      <c r="F890" s="6" t="s">
        <v>1309</v>
      </c>
      <c r="G890" s="6" t="s">
        <v>4821</v>
      </c>
      <c r="H890" s="6" t="s">
        <v>4822</v>
      </c>
      <c r="I890" s="6" t="s">
        <v>4839</v>
      </c>
      <c r="J890" s="6" t="s">
        <v>4840</v>
      </c>
      <c r="K890" s="6" t="s">
        <v>4825</v>
      </c>
      <c r="L890" s="14" t="s">
        <v>55</v>
      </c>
    </row>
    <row r="891" ht="15.75" hidden="1" customHeight="1">
      <c r="A891" s="6" t="s">
        <v>4841</v>
      </c>
      <c r="B891" s="6" t="s">
        <v>4842</v>
      </c>
      <c r="C891" s="6" t="s">
        <v>400</v>
      </c>
      <c r="D891" s="6" t="s">
        <v>4843</v>
      </c>
      <c r="E891" s="6" t="s">
        <v>331</v>
      </c>
      <c r="F891" s="6" t="s">
        <v>1309</v>
      </c>
      <c r="G891" s="6" t="s">
        <v>4821</v>
      </c>
      <c r="H891" s="6" t="s">
        <v>4822</v>
      </c>
      <c r="I891" s="6" t="s">
        <v>4844</v>
      </c>
      <c r="J891" s="6" t="s">
        <v>4845</v>
      </c>
      <c r="K891" s="6" t="s">
        <v>4825</v>
      </c>
      <c r="L891" s="14" t="s">
        <v>55</v>
      </c>
    </row>
    <row r="892" ht="15.75" hidden="1" customHeight="1">
      <c r="A892" s="6" t="s">
        <v>4846</v>
      </c>
      <c r="B892" s="6" t="s">
        <v>4847</v>
      </c>
      <c r="C892" s="6" t="s">
        <v>400</v>
      </c>
      <c r="D892" s="6" t="s">
        <v>4848</v>
      </c>
      <c r="E892" s="6" t="s">
        <v>331</v>
      </c>
      <c r="F892" s="6" t="s">
        <v>1309</v>
      </c>
      <c r="G892" s="6" t="s">
        <v>4821</v>
      </c>
      <c r="H892" s="6" t="s">
        <v>4822</v>
      </c>
      <c r="I892" s="6" t="s">
        <v>4849</v>
      </c>
      <c r="J892" s="6" t="s">
        <v>4850</v>
      </c>
      <c r="K892" s="6" t="s">
        <v>4825</v>
      </c>
      <c r="L892" s="14" t="s">
        <v>55</v>
      </c>
    </row>
    <row r="893" ht="15.75" hidden="1" customHeight="1">
      <c r="A893" s="6" t="s">
        <v>4851</v>
      </c>
      <c r="B893" s="6" t="s">
        <v>4852</v>
      </c>
      <c r="C893" s="6" t="s">
        <v>400</v>
      </c>
      <c r="D893" s="6" t="s">
        <v>4853</v>
      </c>
      <c r="E893" s="6" t="s">
        <v>339</v>
      </c>
      <c r="F893" s="6" t="s">
        <v>603</v>
      </c>
      <c r="G893" s="6" t="s">
        <v>4529</v>
      </c>
      <c r="H893" s="6" t="s">
        <v>4530</v>
      </c>
      <c r="I893" s="6" t="s">
        <v>4854</v>
      </c>
      <c r="J893" s="6" t="s">
        <v>4855</v>
      </c>
      <c r="K893" s="6" t="s">
        <v>4856</v>
      </c>
      <c r="L893" s="12" t="s">
        <v>43</v>
      </c>
    </row>
    <row r="894" ht="15.75" hidden="1" customHeight="1">
      <c r="A894" s="6" t="s">
        <v>4857</v>
      </c>
      <c r="B894" s="6" t="s">
        <v>4858</v>
      </c>
      <c r="C894" s="6" t="s">
        <v>400</v>
      </c>
      <c r="D894" s="6" t="s">
        <v>4859</v>
      </c>
      <c r="E894" s="6" t="s">
        <v>339</v>
      </c>
      <c r="F894" s="6" t="s">
        <v>603</v>
      </c>
      <c r="G894" s="6" t="s">
        <v>4529</v>
      </c>
      <c r="H894" s="6" t="s">
        <v>4530</v>
      </c>
      <c r="I894" s="6" t="s">
        <v>4860</v>
      </c>
      <c r="J894" s="6" t="s">
        <v>4861</v>
      </c>
      <c r="K894" s="6" t="s">
        <v>4856</v>
      </c>
      <c r="L894" s="12" t="s">
        <v>43</v>
      </c>
    </row>
    <row r="895" ht="15.75" hidden="1" customHeight="1">
      <c r="A895" s="6" t="s">
        <v>4862</v>
      </c>
      <c r="B895" s="6" t="s">
        <v>4863</v>
      </c>
      <c r="C895" s="6" t="s">
        <v>400</v>
      </c>
      <c r="D895" s="6" t="s">
        <v>4864</v>
      </c>
      <c r="E895" s="6" t="s">
        <v>339</v>
      </c>
      <c r="F895" s="6" t="s">
        <v>603</v>
      </c>
      <c r="G895" s="6" t="s">
        <v>4529</v>
      </c>
      <c r="H895" s="6" t="s">
        <v>4530</v>
      </c>
      <c r="I895" s="6" t="s">
        <v>4865</v>
      </c>
      <c r="J895" s="6" t="s">
        <v>4866</v>
      </c>
      <c r="K895" s="6" t="s">
        <v>4856</v>
      </c>
      <c r="L895" s="14" t="s">
        <v>55</v>
      </c>
    </row>
    <row r="896" ht="15.75" hidden="1" customHeight="1">
      <c r="A896" s="6" t="s">
        <v>4867</v>
      </c>
      <c r="B896" s="6" t="s">
        <v>4868</v>
      </c>
      <c r="C896" s="6" t="s">
        <v>400</v>
      </c>
      <c r="D896" s="6" t="s">
        <v>4869</v>
      </c>
      <c r="E896" s="6" t="s">
        <v>339</v>
      </c>
      <c r="F896" s="6" t="s">
        <v>603</v>
      </c>
      <c r="G896" s="6" t="s">
        <v>4529</v>
      </c>
      <c r="H896" s="6" t="s">
        <v>4530</v>
      </c>
      <c r="I896" s="6" t="s">
        <v>4870</v>
      </c>
      <c r="J896" s="6" t="s">
        <v>4871</v>
      </c>
      <c r="K896" s="6" t="s">
        <v>4856</v>
      </c>
      <c r="L896" s="14" t="s">
        <v>55</v>
      </c>
    </row>
    <row r="897" ht="15.75" hidden="1" customHeight="1">
      <c r="A897" s="6" t="s">
        <v>4872</v>
      </c>
      <c r="B897" s="6" t="s">
        <v>4873</v>
      </c>
      <c r="C897" s="6" t="s">
        <v>400</v>
      </c>
      <c r="D897" s="6" t="s">
        <v>4874</v>
      </c>
      <c r="E897" s="6" t="s">
        <v>339</v>
      </c>
      <c r="F897" s="6" t="s">
        <v>603</v>
      </c>
      <c r="G897" s="6" t="s">
        <v>4529</v>
      </c>
      <c r="H897" s="6" t="s">
        <v>4530</v>
      </c>
      <c r="I897" s="6" t="s">
        <v>4875</v>
      </c>
      <c r="J897" s="6" t="s">
        <v>4876</v>
      </c>
      <c r="K897" s="6" t="s">
        <v>4856</v>
      </c>
      <c r="L897" s="14" t="s">
        <v>55</v>
      </c>
    </row>
    <row r="898" ht="15.75" hidden="1" customHeight="1">
      <c r="A898" s="6" t="s">
        <v>4877</v>
      </c>
      <c r="B898" s="6" t="s">
        <v>4878</v>
      </c>
      <c r="C898" s="6" t="s">
        <v>400</v>
      </c>
      <c r="D898" s="6" t="s">
        <v>4879</v>
      </c>
      <c r="E898" s="6" t="s">
        <v>339</v>
      </c>
      <c r="F898" s="6" t="s">
        <v>603</v>
      </c>
      <c r="G898" s="6" t="s">
        <v>4529</v>
      </c>
      <c r="H898" s="6" t="s">
        <v>4530</v>
      </c>
      <c r="I898" s="6" t="s">
        <v>4880</v>
      </c>
      <c r="J898" s="6" t="s">
        <v>4881</v>
      </c>
      <c r="K898" s="6" t="s">
        <v>4882</v>
      </c>
      <c r="L898" s="12" t="s">
        <v>43</v>
      </c>
    </row>
    <row r="899" ht="15.75" hidden="1" customHeight="1">
      <c r="A899" s="6" t="s">
        <v>4883</v>
      </c>
      <c r="B899" s="6" t="s">
        <v>4884</v>
      </c>
      <c r="C899" s="6" t="s">
        <v>400</v>
      </c>
      <c r="D899" s="6" t="s">
        <v>4885</v>
      </c>
      <c r="E899" s="6" t="s">
        <v>339</v>
      </c>
      <c r="F899" s="6" t="s">
        <v>603</v>
      </c>
      <c r="G899" s="6" t="s">
        <v>4529</v>
      </c>
      <c r="H899" s="6" t="s">
        <v>4530</v>
      </c>
      <c r="I899" s="6" t="s">
        <v>4886</v>
      </c>
      <c r="J899" s="6" t="s">
        <v>4887</v>
      </c>
      <c r="K899" s="6" t="s">
        <v>4882</v>
      </c>
      <c r="L899" s="14" t="s">
        <v>55</v>
      </c>
    </row>
    <row r="900" ht="15.75" hidden="1" customHeight="1">
      <c r="A900" s="6" t="s">
        <v>4888</v>
      </c>
      <c r="B900" s="6" t="s">
        <v>4889</v>
      </c>
      <c r="C900" s="6" t="s">
        <v>400</v>
      </c>
      <c r="D900" s="6" t="s">
        <v>4890</v>
      </c>
      <c r="E900" s="6" t="s">
        <v>339</v>
      </c>
      <c r="F900" s="6" t="s">
        <v>603</v>
      </c>
      <c r="G900" s="6" t="s">
        <v>4529</v>
      </c>
      <c r="H900" s="6" t="s">
        <v>4530</v>
      </c>
      <c r="I900" s="6" t="s">
        <v>4891</v>
      </c>
      <c r="J900" s="6" t="s">
        <v>4892</v>
      </c>
      <c r="K900" s="6" t="s">
        <v>4882</v>
      </c>
      <c r="L900" s="14" t="s">
        <v>55</v>
      </c>
    </row>
    <row r="901" ht="15.75" hidden="1" customHeight="1">
      <c r="A901" s="6" t="s">
        <v>4893</v>
      </c>
      <c r="B901" s="6" t="s">
        <v>4894</v>
      </c>
      <c r="C901" s="6" t="s">
        <v>400</v>
      </c>
      <c r="D901" s="6" t="s">
        <v>4895</v>
      </c>
      <c r="E901" s="6" t="s">
        <v>339</v>
      </c>
      <c r="F901" s="6" t="s">
        <v>603</v>
      </c>
      <c r="G901" s="6" t="s">
        <v>4529</v>
      </c>
      <c r="H901" s="6" t="s">
        <v>4530</v>
      </c>
      <c r="I901" s="6" t="s">
        <v>4896</v>
      </c>
      <c r="J901" s="6" t="s">
        <v>4897</v>
      </c>
      <c r="K901" s="6" t="s">
        <v>4882</v>
      </c>
      <c r="L901" s="14" t="s">
        <v>55</v>
      </c>
    </row>
    <row r="902" ht="15.75" hidden="1" customHeight="1">
      <c r="A902" s="6" t="s">
        <v>4898</v>
      </c>
      <c r="B902" s="6" t="s">
        <v>4899</v>
      </c>
      <c r="C902" s="6" t="s">
        <v>400</v>
      </c>
      <c r="D902" s="6" t="s">
        <v>4900</v>
      </c>
      <c r="E902" s="6" t="s">
        <v>339</v>
      </c>
      <c r="F902" s="6" t="s">
        <v>603</v>
      </c>
      <c r="G902" s="6" t="s">
        <v>4529</v>
      </c>
      <c r="H902" s="6" t="s">
        <v>4530</v>
      </c>
      <c r="I902" s="6" t="s">
        <v>4901</v>
      </c>
      <c r="J902" s="6" t="s">
        <v>4902</v>
      </c>
      <c r="K902" s="6" t="s">
        <v>4882</v>
      </c>
      <c r="L902" s="14" t="s">
        <v>55</v>
      </c>
    </row>
    <row r="903" ht="15.75" hidden="1" customHeight="1">
      <c r="A903" s="6" t="s">
        <v>4903</v>
      </c>
      <c r="B903" s="6" t="s">
        <v>4904</v>
      </c>
      <c r="C903" s="6" t="s">
        <v>400</v>
      </c>
      <c r="D903" s="6" t="s">
        <v>4905</v>
      </c>
      <c r="E903" s="6" t="s">
        <v>339</v>
      </c>
      <c r="F903" s="6" t="s">
        <v>603</v>
      </c>
      <c r="G903" s="6" t="s">
        <v>4529</v>
      </c>
      <c r="H903" s="6" t="s">
        <v>4530</v>
      </c>
      <c r="I903" s="6" t="s">
        <v>4906</v>
      </c>
      <c r="J903" s="6" t="s">
        <v>4907</v>
      </c>
      <c r="K903" s="6" t="s">
        <v>4882</v>
      </c>
      <c r="L903" s="14" t="s">
        <v>55</v>
      </c>
    </row>
    <row r="904" ht="15.75" hidden="1" customHeight="1">
      <c r="A904" s="6" t="s">
        <v>4908</v>
      </c>
      <c r="B904" s="6" t="s">
        <v>4909</v>
      </c>
      <c r="C904" s="6" t="s">
        <v>400</v>
      </c>
      <c r="D904" s="6" t="s">
        <v>4910</v>
      </c>
      <c r="E904" s="6" t="s">
        <v>339</v>
      </c>
      <c r="F904" s="6" t="s">
        <v>603</v>
      </c>
      <c r="G904" s="6" t="s">
        <v>4529</v>
      </c>
      <c r="H904" s="6" t="s">
        <v>4530</v>
      </c>
      <c r="I904" s="6" t="s">
        <v>4911</v>
      </c>
      <c r="J904" s="6" t="s">
        <v>4912</v>
      </c>
      <c r="K904" s="6" t="s">
        <v>4882</v>
      </c>
      <c r="L904" s="14" t="s">
        <v>55</v>
      </c>
    </row>
    <row r="905" ht="15.75" hidden="1" customHeight="1">
      <c r="A905" s="6" t="s">
        <v>4913</v>
      </c>
      <c r="B905" s="6" t="s">
        <v>4914</v>
      </c>
      <c r="C905" s="6" t="s">
        <v>400</v>
      </c>
      <c r="D905" s="6" t="s">
        <v>4915</v>
      </c>
      <c r="E905" s="6" t="s">
        <v>339</v>
      </c>
      <c r="F905" s="6" t="s">
        <v>603</v>
      </c>
      <c r="G905" s="6" t="s">
        <v>4529</v>
      </c>
      <c r="H905" s="6" t="s">
        <v>4530</v>
      </c>
      <c r="I905" s="6" t="s">
        <v>4916</v>
      </c>
      <c r="J905" s="6" t="s">
        <v>4917</v>
      </c>
      <c r="K905" s="6" t="s">
        <v>4882</v>
      </c>
      <c r="L905" s="14" t="s">
        <v>55</v>
      </c>
    </row>
    <row r="906" ht="15.75" hidden="1" customHeight="1">
      <c r="A906" s="6" t="s">
        <v>4918</v>
      </c>
      <c r="B906" s="6" t="s">
        <v>4919</v>
      </c>
      <c r="C906" s="6" t="s">
        <v>400</v>
      </c>
      <c r="D906" s="6" t="s">
        <v>4920</v>
      </c>
      <c r="E906" s="6" t="s">
        <v>339</v>
      </c>
      <c r="F906" s="6" t="s">
        <v>603</v>
      </c>
      <c r="G906" s="6" t="s">
        <v>4529</v>
      </c>
      <c r="H906" s="6" t="s">
        <v>4530</v>
      </c>
      <c r="I906" s="6" t="s">
        <v>4921</v>
      </c>
      <c r="J906" s="6" t="s">
        <v>4922</v>
      </c>
      <c r="K906" s="6" t="s">
        <v>4882</v>
      </c>
      <c r="L906" s="12" t="s">
        <v>43</v>
      </c>
    </row>
    <row r="907" ht="15.75" hidden="1" customHeight="1">
      <c r="A907" s="6" t="s">
        <v>4923</v>
      </c>
      <c r="B907" s="6" t="s">
        <v>4924</v>
      </c>
      <c r="C907" s="6" t="s">
        <v>400</v>
      </c>
      <c r="D907" s="6" t="s">
        <v>4925</v>
      </c>
      <c r="E907" s="6" t="s">
        <v>339</v>
      </c>
      <c r="F907" s="6" t="s">
        <v>603</v>
      </c>
      <c r="G907" s="6" t="s">
        <v>4529</v>
      </c>
      <c r="H907" s="6" t="s">
        <v>4530</v>
      </c>
      <c r="I907" s="6" t="s">
        <v>4926</v>
      </c>
      <c r="J907" s="6" t="s">
        <v>4927</v>
      </c>
      <c r="K907" s="6" t="s">
        <v>4882</v>
      </c>
      <c r="L907" s="14" t="s">
        <v>55</v>
      </c>
    </row>
    <row r="908" ht="15.75" hidden="1" customHeight="1">
      <c r="A908" s="6" t="s">
        <v>4928</v>
      </c>
      <c r="B908" s="6" t="s">
        <v>4929</v>
      </c>
      <c r="C908" s="6" t="s">
        <v>400</v>
      </c>
      <c r="D908" s="6" t="s">
        <v>4930</v>
      </c>
      <c r="E908" s="6" t="s">
        <v>339</v>
      </c>
      <c r="F908" s="6" t="s">
        <v>603</v>
      </c>
      <c r="G908" s="6" t="s">
        <v>4529</v>
      </c>
      <c r="H908" s="6" t="s">
        <v>4530</v>
      </c>
      <c r="I908" s="6" t="s">
        <v>4931</v>
      </c>
      <c r="J908" s="6" t="s">
        <v>4932</v>
      </c>
      <c r="K908" s="6" t="s">
        <v>4882</v>
      </c>
      <c r="L908" s="14" t="s">
        <v>55</v>
      </c>
    </row>
    <row r="909" ht="15.75" hidden="1" customHeight="1">
      <c r="A909" s="6" t="s">
        <v>4933</v>
      </c>
      <c r="B909" s="6" t="s">
        <v>4934</v>
      </c>
      <c r="C909" s="6" t="s">
        <v>400</v>
      </c>
      <c r="D909" s="6" t="s">
        <v>4935</v>
      </c>
      <c r="E909" s="6" t="s">
        <v>339</v>
      </c>
      <c r="F909" s="6" t="s">
        <v>603</v>
      </c>
      <c r="G909" s="6" t="s">
        <v>4529</v>
      </c>
      <c r="H909" s="6" t="s">
        <v>4530</v>
      </c>
      <c r="I909" s="6" t="s">
        <v>4936</v>
      </c>
      <c r="J909" s="6" t="s">
        <v>4937</v>
      </c>
      <c r="K909" s="6" t="s">
        <v>4882</v>
      </c>
      <c r="L909" s="14" t="s">
        <v>55</v>
      </c>
    </row>
    <row r="910" ht="15.75" hidden="1" customHeight="1">
      <c r="A910" s="6" t="s">
        <v>4938</v>
      </c>
      <c r="B910" s="6" t="s">
        <v>4939</v>
      </c>
      <c r="C910" s="6" t="s">
        <v>400</v>
      </c>
      <c r="D910" s="6" t="s">
        <v>4940</v>
      </c>
      <c r="E910" s="6" t="s">
        <v>339</v>
      </c>
      <c r="F910" s="6" t="s">
        <v>603</v>
      </c>
      <c r="G910" s="6" t="s">
        <v>4529</v>
      </c>
      <c r="H910" s="6" t="s">
        <v>4530</v>
      </c>
      <c r="I910" s="6" t="s">
        <v>4941</v>
      </c>
      <c r="J910" s="6" t="s">
        <v>4942</v>
      </c>
      <c r="K910" s="6" t="s">
        <v>4882</v>
      </c>
      <c r="L910" s="14" t="s">
        <v>55</v>
      </c>
    </row>
    <row r="911" ht="15.75" hidden="1" customHeight="1">
      <c r="A911" s="6" t="s">
        <v>4943</v>
      </c>
      <c r="B911" s="6" t="s">
        <v>4944</v>
      </c>
      <c r="C911" s="6" t="s">
        <v>400</v>
      </c>
      <c r="D911" s="6" t="s">
        <v>4945</v>
      </c>
      <c r="E911" s="6" t="s">
        <v>339</v>
      </c>
      <c r="F911" s="6" t="s">
        <v>603</v>
      </c>
      <c r="G911" s="6" t="s">
        <v>4529</v>
      </c>
      <c r="H911" s="6" t="s">
        <v>4530</v>
      </c>
      <c r="I911" s="6" t="s">
        <v>4946</v>
      </c>
      <c r="J911" s="6" t="s">
        <v>4947</v>
      </c>
      <c r="K911" s="6" t="s">
        <v>4882</v>
      </c>
      <c r="L911" s="14" t="s">
        <v>55</v>
      </c>
    </row>
    <row r="912" ht="15.75" hidden="1" customHeight="1">
      <c r="A912" s="6" t="s">
        <v>4948</v>
      </c>
      <c r="B912" s="6" t="s">
        <v>4949</v>
      </c>
      <c r="C912" s="6" t="s">
        <v>400</v>
      </c>
      <c r="D912" s="6" t="s">
        <v>4950</v>
      </c>
      <c r="E912" s="6" t="s">
        <v>339</v>
      </c>
      <c r="F912" s="6" t="s">
        <v>603</v>
      </c>
      <c r="G912" s="6" t="s">
        <v>4529</v>
      </c>
      <c r="H912" s="6" t="s">
        <v>4530</v>
      </c>
      <c r="I912" s="6" t="s">
        <v>4951</v>
      </c>
      <c r="J912" s="6" t="s">
        <v>4952</v>
      </c>
      <c r="K912" s="6" t="s">
        <v>4882</v>
      </c>
      <c r="L912" s="14" t="s">
        <v>55</v>
      </c>
    </row>
    <row r="913" ht="15.75" hidden="1" customHeight="1">
      <c r="A913" s="6" t="s">
        <v>4953</v>
      </c>
      <c r="B913" s="6" t="s">
        <v>4954</v>
      </c>
      <c r="C913" s="6" t="s">
        <v>400</v>
      </c>
      <c r="D913" s="6" t="s">
        <v>4955</v>
      </c>
      <c r="E913" s="6" t="s">
        <v>339</v>
      </c>
      <c r="F913" s="6" t="s">
        <v>603</v>
      </c>
      <c r="G913" s="6" t="s">
        <v>4529</v>
      </c>
      <c r="H913" s="6" t="s">
        <v>4530</v>
      </c>
      <c r="I913" s="6" t="s">
        <v>4956</v>
      </c>
      <c r="J913" s="6" t="s">
        <v>4957</v>
      </c>
      <c r="K913" s="6" t="s">
        <v>4882</v>
      </c>
      <c r="L913" s="14" t="s">
        <v>55</v>
      </c>
    </row>
    <row r="914" ht="15.75" hidden="1" customHeight="1">
      <c r="A914" s="6" t="s">
        <v>4958</v>
      </c>
      <c r="B914" s="6" t="s">
        <v>4959</v>
      </c>
      <c r="C914" s="6" t="s">
        <v>400</v>
      </c>
      <c r="D914" s="6" t="s">
        <v>4960</v>
      </c>
      <c r="E914" s="6" t="s">
        <v>339</v>
      </c>
      <c r="F914" s="6" t="s">
        <v>603</v>
      </c>
      <c r="G914" s="6" t="s">
        <v>4529</v>
      </c>
      <c r="H914" s="6" t="s">
        <v>4530</v>
      </c>
      <c r="I914" s="6" t="s">
        <v>4961</v>
      </c>
      <c r="J914" s="6" t="s">
        <v>4962</v>
      </c>
      <c r="K914" s="6" t="s">
        <v>4882</v>
      </c>
      <c r="L914" s="14" t="s">
        <v>55</v>
      </c>
    </row>
    <row r="915" ht="15.75" hidden="1" customHeight="1">
      <c r="A915" s="6" t="s">
        <v>4963</v>
      </c>
      <c r="B915" s="6" t="s">
        <v>4964</v>
      </c>
      <c r="C915" s="6" t="s">
        <v>400</v>
      </c>
      <c r="D915" s="6" t="s">
        <v>4965</v>
      </c>
      <c r="E915" s="6" t="s">
        <v>339</v>
      </c>
      <c r="F915" s="6" t="s">
        <v>603</v>
      </c>
      <c r="G915" s="6" t="s">
        <v>4529</v>
      </c>
      <c r="H915" s="6" t="s">
        <v>4530</v>
      </c>
      <c r="I915" s="6" t="s">
        <v>4966</v>
      </c>
      <c r="J915" s="6" t="s">
        <v>4967</v>
      </c>
      <c r="K915" s="6" t="s">
        <v>4882</v>
      </c>
      <c r="L915" s="14" t="s">
        <v>55</v>
      </c>
    </row>
    <row r="916" ht="15.75" hidden="1" customHeight="1">
      <c r="A916" s="6" t="s">
        <v>4968</v>
      </c>
      <c r="B916" s="6" t="s">
        <v>4969</v>
      </c>
      <c r="C916" s="6" t="s">
        <v>400</v>
      </c>
      <c r="D916" s="6" t="s">
        <v>4970</v>
      </c>
      <c r="E916" s="6" t="s">
        <v>339</v>
      </c>
      <c r="F916" s="6" t="s">
        <v>603</v>
      </c>
      <c r="G916" s="6" t="s">
        <v>4529</v>
      </c>
      <c r="H916" s="6" t="s">
        <v>4530</v>
      </c>
      <c r="I916" s="6" t="s">
        <v>4971</v>
      </c>
      <c r="J916" s="6" t="s">
        <v>4972</v>
      </c>
      <c r="K916" s="6" t="s">
        <v>4882</v>
      </c>
      <c r="L916" s="12" t="s">
        <v>43</v>
      </c>
    </row>
    <row r="917" ht="15.75" hidden="1" customHeight="1">
      <c r="A917" s="6" t="s">
        <v>4973</v>
      </c>
      <c r="B917" s="6" t="s">
        <v>4974</v>
      </c>
      <c r="C917" s="6" t="s">
        <v>400</v>
      </c>
      <c r="D917" s="6" t="s">
        <v>4975</v>
      </c>
      <c r="E917" s="6" t="s">
        <v>339</v>
      </c>
      <c r="F917" s="6" t="s">
        <v>603</v>
      </c>
      <c r="G917" s="6" t="s">
        <v>4529</v>
      </c>
      <c r="H917" s="6" t="s">
        <v>4530</v>
      </c>
      <c r="I917" s="6" t="s">
        <v>4976</v>
      </c>
      <c r="J917" s="6" t="s">
        <v>4977</v>
      </c>
      <c r="K917" s="6" t="s">
        <v>4882</v>
      </c>
      <c r="L917" s="14" t="s">
        <v>55</v>
      </c>
    </row>
    <row r="918" ht="15.75" hidden="1" customHeight="1">
      <c r="A918" s="6" t="s">
        <v>4978</v>
      </c>
      <c r="B918" s="6" t="s">
        <v>4979</v>
      </c>
      <c r="C918" s="6" t="s">
        <v>400</v>
      </c>
      <c r="D918" s="6" t="s">
        <v>4980</v>
      </c>
      <c r="E918" s="6" t="s">
        <v>339</v>
      </c>
      <c r="F918" s="6" t="s">
        <v>603</v>
      </c>
      <c r="G918" s="6" t="s">
        <v>4529</v>
      </c>
      <c r="H918" s="6" t="s">
        <v>4530</v>
      </c>
      <c r="I918" s="6" t="s">
        <v>4981</v>
      </c>
      <c r="J918" s="6" t="s">
        <v>4982</v>
      </c>
      <c r="K918" s="6" t="s">
        <v>4882</v>
      </c>
      <c r="L918" s="14" t="s">
        <v>55</v>
      </c>
    </row>
    <row r="919" ht="15.75" hidden="1" customHeight="1">
      <c r="A919" s="6" t="s">
        <v>4983</v>
      </c>
      <c r="B919" s="6" t="s">
        <v>4984</v>
      </c>
      <c r="C919" s="6" t="s">
        <v>400</v>
      </c>
      <c r="D919" s="6" t="s">
        <v>4985</v>
      </c>
      <c r="E919" s="6" t="s">
        <v>339</v>
      </c>
      <c r="F919" s="6" t="s">
        <v>603</v>
      </c>
      <c r="G919" s="6" t="s">
        <v>4529</v>
      </c>
      <c r="H919" s="6" t="s">
        <v>4530</v>
      </c>
      <c r="I919" s="6" t="s">
        <v>4986</v>
      </c>
      <c r="J919" s="6" t="s">
        <v>4987</v>
      </c>
      <c r="K919" s="6" t="s">
        <v>4882</v>
      </c>
      <c r="L919" s="14" t="s">
        <v>55</v>
      </c>
    </row>
    <row r="920" ht="15.75" hidden="1" customHeight="1">
      <c r="A920" s="6" t="s">
        <v>4988</v>
      </c>
      <c r="B920" s="6" t="s">
        <v>4989</v>
      </c>
      <c r="C920" s="6" t="s">
        <v>400</v>
      </c>
      <c r="D920" s="6" t="s">
        <v>4990</v>
      </c>
      <c r="E920" s="6" t="s">
        <v>339</v>
      </c>
      <c r="F920" s="6" t="s">
        <v>603</v>
      </c>
      <c r="G920" s="6" t="s">
        <v>4529</v>
      </c>
      <c r="H920" s="6" t="s">
        <v>4530</v>
      </c>
      <c r="I920" s="6" t="s">
        <v>4991</v>
      </c>
      <c r="J920" s="6" t="s">
        <v>4992</v>
      </c>
      <c r="K920" s="6" t="s">
        <v>4882</v>
      </c>
      <c r="L920" s="14" t="s">
        <v>55</v>
      </c>
    </row>
    <row r="921" ht="15.75" hidden="1" customHeight="1">
      <c r="A921" s="6" t="s">
        <v>4993</v>
      </c>
      <c r="B921" s="6" t="s">
        <v>4994</v>
      </c>
      <c r="C921" s="6" t="s">
        <v>400</v>
      </c>
      <c r="D921" s="6" t="s">
        <v>4995</v>
      </c>
      <c r="E921" s="6" t="s">
        <v>339</v>
      </c>
      <c r="F921" s="6" t="s">
        <v>603</v>
      </c>
      <c r="G921" s="6" t="s">
        <v>4529</v>
      </c>
      <c r="H921" s="6" t="s">
        <v>4530</v>
      </c>
      <c r="I921" s="6" t="s">
        <v>4996</v>
      </c>
      <c r="J921" s="6" t="s">
        <v>4997</v>
      </c>
      <c r="K921" s="6" t="s">
        <v>4882</v>
      </c>
      <c r="L921" s="14" t="s">
        <v>55</v>
      </c>
    </row>
    <row r="922" ht="15.75" hidden="1" customHeight="1">
      <c r="A922" s="6" t="s">
        <v>4998</v>
      </c>
      <c r="B922" s="6" t="s">
        <v>4999</v>
      </c>
      <c r="C922" s="6" t="s">
        <v>400</v>
      </c>
      <c r="D922" s="6" t="s">
        <v>5000</v>
      </c>
      <c r="E922" s="6" t="s">
        <v>331</v>
      </c>
      <c r="F922" s="6" t="s">
        <v>1309</v>
      </c>
      <c r="G922" s="6" t="s">
        <v>3146</v>
      </c>
      <c r="H922" s="6" t="s">
        <v>3147</v>
      </c>
      <c r="I922" s="6" t="s">
        <v>5001</v>
      </c>
      <c r="J922" s="6" t="s">
        <v>5002</v>
      </c>
      <c r="K922" s="6" t="s">
        <v>5003</v>
      </c>
      <c r="L922" s="14" t="s">
        <v>55</v>
      </c>
    </row>
    <row r="923" ht="15.75" hidden="1" customHeight="1">
      <c r="A923" s="6" t="s">
        <v>5004</v>
      </c>
      <c r="B923" s="6" t="s">
        <v>5005</v>
      </c>
      <c r="C923" s="6" t="s">
        <v>400</v>
      </c>
      <c r="D923" s="6" t="s">
        <v>5006</v>
      </c>
      <c r="E923" s="6" t="s">
        <v>331</v>
      </c>
      <c r="F923" s="6" t="s">
        <v>1309</v>
      </c>
      <c r="G923" s="6" t="s">
        <v>3146</v>
      </c>
      <c r="H923" s="6" t="s">
        <v>3147</v>
      </c>
      <c r="I923" s="6" t="s">
        <v>5007</v>
      </c>
      <c r="J923" s="6" t="s">
        <v>5008</v>
      </c>
      <c r="K923" s="6" t="s">
        <v>5003</v>
      </c>
      <c r="L923" s="10" t="s">
        <v>609</v>
      </c>
    </row>
    <row r="924" ht="15.75" hidden="1" customHeight="1">
      <c r="A924" s="6" t="s">
        <v>5009</v>
      </c>
      <c r="B924" s="6" t="s">
        <v>5010</v>
      </c>
      <c r="C924" s="6" t="s">
        <v>400</v>
      </c>
      <c r="D924" s="6" t="s">
        <v>5011</v>
      </c>
      <c r="E924" s="6" t="s">
        <v>35</v>
      </c>
      <c r="F924" s="6" t="s">
        <v>787</v>
      </c>
      <c r="G924" s="6" t="s">
        <v>788</v>
      </c>
      <c r="H924" s="6" t="s">
        <v>789</v>
      </c>
      <c r="I924" s="6" t="s">
        <v>5012</v>
      </c>
      <c r="J924" s="6" t="s">
        <v>5013</v>
      </c>
      <c r="K924" s="6" t="s">
        <v>497</v>
      </c>
      <c r="L924" s="14" t="s">
        <v>55</v>
      </c>
    </row>
    <row r="925" ht="15.75" hidden="1" customHeight="1">
      <c r="A925" s="6" t="s">
        <v>5014</v>
      </c>
      <c r="B925" s="6" t="s">
        <v>5015</v>
      </c>
      <c r="C925" s="6" t="s">
        <v>400</v>
      </c>
      <c r="D925" s="6" t="s">
        <v>5016</v>
      </c>
      <c r="E925" s="6" t="s">
        <v>35</v>
      </c>
      <c r="F925" s="6" t="s">
        <v>787</v>
      </c>
      <c r="G925" s="6" t="s">
        <v>788</v>
      </c>
      <c r="H925" s="6" t="s">
        <v>789</v>
      </c>
      <c r="I925" s="6" t="s">
        <v>5017</v>
      </c>
      <c r="J925" s="6" t="s">
        <v>5018</v>
      </c>
      <c r="K925" s="6" t="s">
        <v>497</v>
      </c>
      <c r="L925" s="10" t="s">
        <v>609</v>
      </c>
    </row>
    <row r="926" ht="15.75" hidden="1" customHeight="1">
      <c r="A926" s="6" t="s">
        <v>5019</v>
      </c>
      <c r="B926" s="6" t="s">
        <v>5020</v>
      </c>
      <c r="C926" s="6" t="s">
        <v>400</v>
      </c>
      <c r="D926" s="6" t="s">
        <v>5021</v>
      </c>
      <c r="E926" s="6" t="s">
        <v>35</v>
      </c>
      <c r="F926" s="6" t="s">
        <v>787</v>
      </c>
      <c r="G926" s="6" t="s">
        <v>788</v>
      </c>
      <c r="H926" s="6" t="s">
        <v>789</v>
      </c>
      <c r="I926" s="6" t="s">
        <v>5022</v>
      </c>
      <c r="J926" s="6" t="s">
        <v>5023</v>
      </c>
      <c r="K926" s="6" t="s">
        <v>497</v>
      </c>
      <c r="L926" s="10" t="s">
        <v>609</v>
      </c>
    </row>
    <row r="927" ht="15.75" hidden="1" customHeight="1">
      <c r="A927" s="6" t="s">
        <v>5024</v>
      </c>
      <c r="B927" s="6" t="s">
        <v>5025</v>
      </c>
      <c r="C927" s="6" t="s">
        <v>400</v>
      </c>
      <c r="D927" s="6" t="s">
        <v>5026</v>
      </c>
      <c r="E927" s="6" t="s">
        <v>35</v>
      </c>
      <c r="F927" s="6" t="s">
        <v>667</v>
      </c>
      <c r="G927" s="6" t="s">
        <v>668</v>
      </c>
      <c r="H927" s="6" t="s">
        <v>669</v>
      </c>
      <c r="I927" s="6" t="s">
        <v>5027</v>
      </c>
      <c r="J927" s="6" t="s">
        <v>5028</v>
      </c>
      <c r="K927" s="6" t="s">
        <v>4825</v>
      </c>
      <c r="L927" s="12" t="s">
        <v>43</v>
      </c>
    </row>
    <row r="928" ht="15.75" hidden="1" customHeight="1">
      <c r="A928" s="6" t="s">
        <v>5029</v>
      </c>
      <c r="B928" s="6" t="s">
        <v>5030</v>
      </c>
      <c r="C928" s="6" t="s">
        <v>400</v>
      </c>
      <c r="D928" s="6" t="s">
        <v>5031</v>
      </c>
      <c r="E928" s="6" t="s">
        <v>35</v>
      </c>
      <c r="F928" s="6" t="s">
        <v>667</v>
      </c>
      <c r="G928" s="6" t="s">
        <v>668</v>
      </c>
      <c r="H928" s="6" t="s">
        <v>669</v>
      </c>
      <c r="I928" s="6" t="s">
        <v>5032</v>
      </c>
      <c r="J928" s="6" t="s">
        <v>5033</v>
      </c>
      <c r="K928" s="6" t="s">
        <v>4825</v>
      </c>
      <c r="L928" s="12" t="s">
        <v>43</v>
      </c>
    </row>
    <row r="929" ht="15.75" hidden="1" customHeight="1">
      <c r="A929" s="6" t="s">
        <v>5034</v>
      </c>
      <c r="B929" s="6" t="s">
        <v>5035</v>
      </c>
      <c r="C929" s="6" t="s">
        <v>400</v>
      </c>
      <c r="D929" s="6" t="s">
        <v>5036</v>
      </c>
      <c r="E929" s="6" t="s">
        <v>35</v>
      </c>
      <c r="F929" s="6" t="s">
        <v>667</v>
      </c>
      <c r="G929" s="6" t="s">
        <v>668</v>
      </c>
      <c r="H929" s="6" t="s">
        <v>669</v>
      </c>
      <c r="I929" s="6" t="s">
        <v>5037</v>
      </c>
      <c r="J929" s="6" t="s">
        <v>5038</v>
      </c>
      <c r="K929" s="6" t="s">
        <v>4825</v>
      </c>
      <c r="L929" s="12" t="s">
        <v>43</v>
      </c>
    </row>
    <row r="930" ht="15.75" hidden="1" customHeight="1">
      <c r="A930" s="6" t="s">
        <v>5039</v>
      </c>
      <c r="B930" s="6" t="s">
        <v>5040</v>
      </c>
      <c r="C930" s="6" t="s">
        <v>400</v>
      </c>
      <c r="D930" s="6" t="s">
        <v>5041</v>
      </c>
      <c r="E930" s="6" t="s">
        <v>35</v>
      </c>
      <c r="F930" s="6" t="s">
        <v>667</v>
      </c>
      <c r="G930" s="6" t="s">
        <v>668</v>
      </c>
      <c r="H930" s="6" t="s">
        <v>669</v>
      </c>
      <c r="I930" s="6" t="s">
        <v>5042</v>
      </c>
      <c r="J930" s="6" t="s">
        <v>5043</v>
      </c>
      <c r="K930" s="6" t="s">
        <v>4825</v>
      </c>
      <c r="L930" s="12" t="s">
        <v>43</v>
      </c>
    </row>
    <row r="931" ht="15.75" hidden="1" customHeight="1">
      <c r="A931" s="6" t="s">
        <v>5044</v>
      </c>
      <c r="B931" s="6" t="s">
        <v>5045</v>
      </c>
      <c r="C931" s="6" t="s">
        <v>400</v>
      </c>
      <c r="D931" s="6" t="s">
        <v>5046</v>
      </c>
      <c r="E931" s="6" t="s">
        <v>35</v>
      </c>
      <c r="F931" s="6" t="s">
        <v>667</v>
      </c>
      <c r="G931" s="6" t="s">
        <v>668</v>
      </c>
      <c r="H931" s="6" t="s">
        <v>669</v>
      </c>
      <c r="I931" s="6" t="s">
        <v>5047</v>
      </c>
      <c r="J931" s="6" t="s">
        <v>5048</v>
      </c>
      <c r="K931" s="6" t="s">
        <v>4825</v>
      </c>
      <c r="L931" s="12" t="s">
        <v>43</v>
      </c>
    </row>
    <row r="932" ht="15.75" hidden="1" customHeight="1">
      <c r="A932" s="6" t="s">
        <v>5049</v>
      </c>
      <c r="B932" s="6" t="s">
        <v>5050</v>
      </c>
      <c r="C932" s="6" t="s">
        <v>400</v>
      </c>
      <c r="D932" s="6" t="s">
        <v>5051</v>
      </c>
      <c r="E932" s="6" t="s">
        <v>35</v>
      </c>
      <c r="F932" s="6" t="s">
        <v>667</v>
      </c>
      <c r="G932" s="6" t="s">
        <v>668</v>
      </c>
      <c r="H932" s="6" t="s">
        <v>669</v>
      </c>
      <c r="I932" s="6" t="s">
        <v>5052</v>
      </c>
      <c r="J932" s="6" t="s">
        <v>5053</v>
      </c>
      <c r="K932" s="6" t="s">
        <v>4825</v>
      </c>
      <c r="L932" s="12" t="s">
        <v>43</v>
      </c>
    </row>
    <row r="933" ht="15.75" hidden="1" customHeight="1">
      <c r="A933" s="6" t="s">
        <v>5054</v>
      </c>
      <c r="B933" s="6" t="s">
        <v>5055</v>
      </c>
      <c r="C933" s="6" t="s">
        <v>400</v>
      </c>
      <c r="D933" s="6" t="s">
        <v>5056</v>
      </c>
      <c r="E933" s="6" t="s">
        <v>35</v>
      </c>
      <c r="F933" s="6" t="s">
        <v>667</v>
      </c>
      <c r="G933" s="6" t="s">
        <v>668</v>
      </c>
      <c r="H933" s="6" t="s">
        <v>669</v>
      </c>
      <c r="I933" s="6" t="s">
        <v>5057</v>
      </c>
      <c r="J933" s="6" t="s">
        <v>5058</v>
      </c>
      <c r="K933" s="6" t="s">
        <v>4825</v>
      </c>
      <c r="L933" s="14" t="s">
        <v>55</v>
      </c>
    </row>
    <row r="934" ht="15.75" hidden="1" customHeight="1">
      <c r="A934" s="6" t="s">
        <v>5059</v>
      </c>
      <c r="B934" s="6" t="s">
        <v>5060</v>
      </c>
      <c r="C934" s="6" t="s">
        <v>400</v>
      </c>
      <c r="D934" s="6" t="s">
        <v>5061</v>
      </c>
      <c r="E934" s="6" t="s">
        <v>35</v>
      </c>
      <c r="F934" s="6" t="s">
        <v>667</v>
      </c>
      <c r="G934" s="6" t="s">
        <v>668</v>
      </c>
      <c r="H934" s="6" t="s">
        <v>669</v>
      </c>
      <c r="I934" s="6" t="s">
        <v>5062</v>
      </c>
      <c r="J934" s="6" t="s">
        <v>5063</v>
      </c>
      <c r="K934" s="6" t="s">
        <v>4825</v>
      </c>
      <c r="L934" s="12" t="s">
        <v>43</v>
      </c>
    </row>
    <row r="935" ht="15.75" hidden="1" customHeight="1">
      <c r="A935" s="6" t="s">
        <v>5064</v>
      </c>
      <c r="B935" s="6" t="s">
        <v>5065</v>
      </c>
      <c r="C935" s="6" t="s">
        <v>400</v>
      </c>
      <c r="D935" s="6" t="s">
        <v>5066</v>
      </c>
      <c r="E935" s="6" t="s">
        <v>35</v>
      </c>
      <c r="F935" s="6" t="s">
        <v>667</v>
      </c>
      <c r="G935" s="6" t="s">
        <v>668</v>
      </c>
      <c r="H935" s="6" t="s">
        <v>669</v>
      </c>
      <c r="I935" s="6" t="s">
        <v>5067</v>
      </c>
      <c r="J935" s="6" t="s">
        <v>5068</v>
      </c>
      <c r="K935" s="6" t="s">
        <v>4825</v>
      </c>
      <c r="L935" s="12" t="s">
        <v>43</v>
      </c>
    </row>
    <row r="936" ht="15.75" hidden="1" customHeight="1">
      <c r="A936" s="6" t="s">
        <v>5069</v>
      </c>
      <c r="B936" s="6" t="s">
        <v>5070</v>
      </c>
      <c r="C936" s="6" t="s">
        <v>400</v>
      </c>
      <c r="D936" s="6" t="s">
        <v>5071</v>
      </c>
      <c r="E936" s="6" t="s">
        <v>35</v>
      </c>
      <c r="F936" s="6" t="s">
        <v>667</v>
      </c>
      <c r="G936" s="6" t="s">
        <v>668</v>
      </c>
      <c r="H936" s="6" t="s">
        <v>669</v>
      </c>
      <c r="I936" s="6" t="s">
        <v>5072</v>
      </c>
      <c r="J936" s="6" t="s">
        <v>5073</v>
      </c>
      <c r="K936" s="6" t="s">
        <v>4825</v>
      </c>
      <c r="L936" s="12" t="s">
        <v>43</v>
      </c>
    </row>
    <row r="937" ht="15.75" hidden="1" customHeight="1">
      <c r="A937" s="6" t="s">
        <v>5074</v>
      </c>
      <c r="B937" s="6" t="s">
        <v>5075</v>
      </c>
      <c r="C937" s="6" t="s">
        <v>400</v>
      </c>
      <c r="D937" s="6" t="s">
        <v>5076</v>
      </c>
      <c r="E937" s="6" t="s">
        <v>35</v>
      </c>
      <c r="F937" s="6" t="s">
        <v>667</v>
      </c>
      <c r="G937" s="6" t="s">
        <v>668</v>
      </c>
      <c r="H937" s="6" t="s">
        <v>669</v>
      </c>
      <c r="I937" s="6" t="s">
        <v>5077</v>
      </c>
      <c r="J937" s="6" t="s">
        <v>5078</v>
      </c>
      <c r="K937" s="6" t="s">
        <v>4825</v>
      </c>
      <c r="L937" s="14" t="s">
        <v>55</v>
      </c>
    </row>
    <row r="938" ht="15.75" hidden="1" customHeight="1">
      <c r="A938" s="6" t="s">
        <v>5079</v>
      </c>
      <c r="B938" s="6" t="s">
        <v>5080</v>
      </c>
      <c r="C938" s="6" t="s">
        <v>400</v>
      </c>
      <c r="D938" s="6" t="s">
        <v>5081</v>
      </c>
      <c r="E938" s="6" t="s">
        <v>35</v>
      </c>
      <c r="F938" s="6" t="s">
        <v>667</v>
      </c>
      <c r="G938" s="6" t="s">
        <v>668</v>
      </c>
      <c r="H938" s="6" t="s">
        <v>669</v>
      </c>
      <c r="I938" s="6" t="s">
        <v>5082</v>
      </c>
      <c r="J938" s="6" t="s">
        <v>5083</v>
      </c>
      <c r="K938" s="6" t="s">
        <v>4825</v>
      </c>
      <c r="L938" s="12" t="s">
        <v>43</v>
      </c>
    </row>
    <row r="939" ht="15.75" hidden="1" customHeight="1">
      <c r="A939" s="6" t="s">
        <v>5084</v>
      </c>
      <c r="B939" s="6" t="s">
        <v>5085</v>
      </c>
      <c r="C939" s="6" t="s">
        <v>400</v>
      </c>
      <c r="D939" s="6" t="s">
        <v>5086</v>
      </c>
      <c r="E939" s="6" t="s">
        <v>35</v>
      </c>
      <c r="F939" s="6" t="s">
        <v>667</v>
      </c>
      <c r="G939" s="6" t="s">
        <v>668</v>
      </c>
      <c r="H939" s="6" t="s">
        <v>669</v>
      </c>
      <c r="I939" s="6" t="s">
        <v>5087</v>
      </c>
      <c r="J939" s="6" t="s">
        <v>5088</v>
      </c>
      <c r="K939" s="6" t="s">
        <v>4825</v>
      </c>
      <c r="L939" s="14" t="s">
        <v>55</v>
      </c>
    </row>
    <row r="940" ht="15.75" hidden="1" customHeight="1">
      <c r="A940" s="6" t="s">
        <v>5089</v>
      </c>
      <c r="B940" s="6" t="s">
        <v>5090</v>
      </c>
      <c r="C940" s="6" t="s">
        <v>400</v>
      </c>
      <c r="D940" s="6" t="s">
        <v>5091</v>
      </c>
      <c r="E940" s="6" t="s">
        <v>35</v>
      </c>
      <c r="F940" s="6" t="s">
        <v>667</v>
      </c>
      <c r="G940" s="6" t="s">
        <v>668</v>
      </c>
      <c r="H940" s="6" t="s">
        <v>669</v>
      </c>
      <c r="I940" s="6" t="s">
        <v>5092</v>
      </c>
      <c r="J940" s="6" t="s">
        <v>5093</v>
      </c>
      <c r="K940" s="6" t="s">
        <v>4825</v>
      </c>
      <c r="L940" s="14" t="s">
        <v>55</v>
      </c>
    </row>
    <row r="941" ht="15.75" hidden="1" customHeight="1">
      <c r="A941" s="6" t="s">
        <v>5094</v>
      </c>
      <c r="B941" s="6" t="s">
        <v>5095</v>
      </c>
      <c r="C941" s="6" t="s">
        <v>400</v>
      </c>
      <c r="D941" s="6" t="s">
        <v>5096</v>
      </c>
      <c r="E941" s="6" t="s">
        <v>35</v>
      </c>
      <c r="F941" s="6" t="s">
        <v>667</v>
      </c>
      <c r="G941" s="6" t="s">
        <v>668</v>
      </c>
      <c r="H941" s="6" t="s">
        <v>669</v>
      </c>
      <c r="I941" s="6" t="s">
        <v>5097</v>
      </c>
      <c r="J941" s="6" t="s">
        <v>5098</v>
      </c>
      <c r="K941" s="6" t="s">
        <v>4825</v>
      </c>
      <c r="L941" s="14" t="s">
        <v>55</v>
      </c>
    </row>
    <row r="942" ht="15.75" hidden="1" customHeight="1">
      <c r="A942" s="6" t="s">
        <v>5099</v>
      </c>
      <c r="B942" s="6" t="s">
        <v>5100</v>
      </c>
      <c r="C942" s="6" t="s">
        <v>400</v>
      </c>
      <c r="D942" s="6" t="s">
        <v>5101</v>
      </c>
      <c r="E942" s="6" t="s">
        <v>35</v>
      </c>
      <c r="F942" s="6" t="s">
        <v>667</v>
      </c>
      <c r="G942" s="6" t="s">
        <v>668</v>
      </c>
      <c r="H942" s="6" t="s">
        <v>669</v>
      </c>
      <c r="I942" s="6" t="s">
        <v>5102</v>
      </c>
      <c r="J942" s="6" t="s">
        <v>5103</v>
      </c>
      <c r="K942" s="6" t="s">
        <v>4825</v>
      </c>
      <c r="L942" s="14" t="s">
        <v>55</v>
      </c>
    </row>
    <row r="943" ht="15.75" hidden="1" customHeight="1">
      <c r="A943" s="6" t="s">
        <v>5104</v>
      </c>
      <c r="B943" s="6" t="s">
        <v>5105</v>
      </c>
      <c r="C943" s="6" t="s">
        <v>400</v>
      </c>
      <c r="D943" s="6" t="s">
        <v>5106</v>
      </c>
      <c r="E943" s="6" t="s">
        <v>35</v>
      </c>
      <c r="F943" s="6" t="s">
        <v>667</v>
      </c>
      <c r="G943" s="6" t="s">
        <v>668</v>
      </c>
      <c r="H943" s="6" t="s">
        <v>669</v>
      </c>
      <c r="I943" s="6" t="s">
        <v>5107</v>
      </c>
      <c r="J943" s="6" t="s">
        <v>5108</v>
      </c>
      <c r="K943" s="6" t="s">
        <v>4825</v>
      </c>
      <c r="L943" s="14" t="s">
        <v>55</v>
      </c>
    </row>
    <row r="944" ht="15.75" hidden="1" customHeight="1">
      <c r="A944" s="6" t="s">
        <v>5109</v>
      </c>
      <c r="B944" s="6" t="s">
        <v>5110</v>
      </c>
      <c r="C944" s="6" t="s">
        <v>400</v>
      </c>
      <c r="D944" s="6" t="s">
        <v>5111</v>
      </c>
      <c r="E944" s="6" t="s">
        <v>339</v>
      </c>
      <c r="F944" s="6" t="s">
        <v>603</v>
      </c>
      <c r="G944" s="6" t="s">
        <v>4529</v>
      </c>
      <c r="H944" s="6" t="s">
        <v>4530</v>
      </c>
      <c r="I944" s="6" t="s">
        <v>5112</v>
      </c>
      <c r="J944" s="6" t="s">
        <v>5113</v>
      </c>
      <c r="K944" s="6" t="s">
        <v>2010</v>
      </c>
      <c r="L944" s="14" t="s">
        <v>55</v>
      </c>
    </row>
    <row r="945" ht="15.75" hidden="1" customHeight="1">
      <c r="A945" s="6" t="s">
        <v>5114</v>
      </c>
      <c r="B945" s="6" t="s">
        <v>5115</v>
      </c>
      <c r="C945" s="6" t="s">
        <v>400</v>
      </c>
      <c r="D945" s="6" t="s">
        <v>5116</v>
      </c>
      <c r="E945" s="6" t="s">
        <v>339</v>
      </c>
      <c r="F945" s="6" t="s">
        <v>603</v>
      </c>
      <c r="G945" s="6" t="s">
        <v>4529</v>
      </c>
      <c r="H945" s="6" t="s">
        <v>4530</v>
      </c>
      <c r="I945" s="6" t="s">
        <v>5117</v>
      </c>
      <c r="J945" s="6" t="s">
        <v>5118</v>
      </c>
      <c r="K945" s="6" t="s">
        <v>2010</v>
      </c>
      <c r="L945" s="10" t="s">
        <v>609</v>
      </c>
    </row>
    <row r="946" ht="15.75" hidden="1" customHeight="1">
      <c r="A946" s="6" t="s">
        <v>5119</v>
      </c>
      <c r="B946" s="6" t="s">
        <v>5120</v>
      </c>
      <c r="C946" s="6" t="s">
        <v>400</v>
      </c>
      <c r="D946" s="6" t="s">
        <v>5121</v>
      </c>
      <c r="E946" s="6" t="s">
        <v>339</v>
      </c>
      <c r="F946" s="6" t="s">
        <v>603</v>
      </c>
      <c r="G946" s="6" t="s">
        <v>4529</v>
      </c>
      <c r="H946" s="6" t="s">
        <v>4530</v>
      </c>
      <c r="I946" s="6" t="s">
        <v>5122</v>
      </c>
      <c r="J946" s="6" t="s">
        <v>5123</v>
      </c>
      <c r="K946" s="6" t="s">
        <v>2010</v>
      </c>
      <c r="L946" s="10" t="s">
        <v>609</v>
      </c>
    </row>
    <row r="947" ht="15.75" hidden="1" customHeight="1">
      <c r="A947" s="6" t="s">
        <v>5124</v>
      </c>
      <c r="B947" s="6" t="s">
        <v>5125</v>
      </c>
      <c r="C947" s="6" t="s">
        <v>400</v>
      </c>
      <c r="D947" s="6" t="s">
        <v>5126</v>
      </c>
      <c r="E947" s="6" t="s">
        <v>339</v>
      </c>
      <c r="F947" s="6" t="s">
        <v>603</v>
      </c>
      <c r="G947" s="6" t="s">
        <v>4529</v>
      </c>
      <c r="H947" s="6" t="s">
        <v>4530</v>
      </c>
      <c r="I947" s="6" t="s">
        <v>5127</v>
      </c>
      <c r="J947" s="6" t="s">
        <v>5128</v>
      </c>
      <c r="K947" s="6" t="s">
        <v>2010</v>
      </c>
      <c r="L947" s="10" t="s">
        <v>609</v>
      </c>
    </row>
    <row r="948" ht="15.75" hidden="1" customHeight="1">
      <c r="A948" s="6" t="s">
        <v>5129</v>
      </c>
      <c r="B948" s="6" t="s">
        <v>5130</v>
      </c>
      <c r="C948" s="6" t="s">
        <v>400</v>
      </c>
      <c r="D948" s="6" t="s">
        <v>5131</v>
      </c>
      <c r="E948" s="6" t="s">
        <v>35</v>
      </c>
      <c r="F948" s="6" t="s">
        <v>787</v>
      </c>
      <c r="G948" s="6" t="s">
        <v>3577</v>
      </c>
      <c r="H948" s="6" t="s">
        <v>3578</v>
      </c>
      <c r="I948" s="6" t="s">
        <v>5132</v>
      </c>
      <c r="J948" s="6" t="s">
        <v>5133</v>
      </c>
      <c r="K948" s="6" t="s">
        <v>5134</v>
      </c>
      <c r="L948" s="12" t="s">
        <v>43</v>
      </c>
    </row>
    <row r="949" ht="15.75" hidden="1" customHeight="1">
      <c r="A949" s="6" t="s">
        <v>5135</v>
      </c>
      <c r="B949" s="6" t="s">
        <v>5136</v>
      </c>
      <c r="C949" s="6" t="s">
        <v>400</v>
      </c>
      <c r="D949" s="6" t="s">
        <v>5137</v>
      </c>
      <c r="E949" s="6" t="s">
        <v>35</v>
      </c>
      <c r="F949" s="6" t="s">
        <v>787</v>
      </c>
      <c r="G949" s="6" t="s">
        <v>3577</v>
      </c>
      <c r="H949" s="6" t="s">
        <v>3578</v>
      </c>
      <c r="I949" s="6" t="s">
        <v>5138</v>
      </c>
      <c r="J949" s="6" t="s">
        <v>5139</v>
      </c>
      <c r="K949" s="6" t="s">
        <v>5134</v>
      </c>
      <c r="L949" s="14" t="s">
        <v>55</v>
      </c>
    </row>
    <row r="950" ht="15.75" hidden="1" customHeight="1">
      <c r="A950" s="6" t="s">
        <v>5140</v>
      </c>
      <c r="B950" s="6" t="s">
        <v>5141</v>
      </c>
      <c r="C950" s="6" t="s">
        <v>400</v>
      </c>
      <c r="D950" s="6" t="s">
        <v>5142</v>
      </c>
      <c r="E950" s="6" t="s">
        <v>35</v>
      </c>
      <c r="F950" s="6" t="s">
        <v>787</v>
      </c>
      <c r="G950" s="6" t="s">
        <v>3577</v>
      </c>
      <c r="H950" s="6" t="s">
        <v>3578</v>
      </c>
      <c r="I950" s="6" t="s">
        <v>5143</v>
      </c>
      <c r="J950" s="6" t="s">
        <v>5144</v>
      </c>
      <c r="K950" s="6" t="s">
        <v>5134</v>
      </c>
      <c r="L950" s="14" t="s">
        <v>55</v>
      </c>
    </row>
    <row r="951" ht="15.75" hidden="1" customHeight="1">
      <c r="A951" s="6" t="s">
        <v>5145</v>
      </c>
      <c r="B951" s="6" t="s">
        <v>5146</v>
      </c>
      <c r="C951" s="6" t="s">
        <v>400</v>
      </c>
      <c r="D951" s="6" t="s">
        <v>5147</v>
      </c>
      <c r="E951" s="6" t="s">
        <v>35</v>
      </c>
      <c r="F951" s="6" t="s">
        <v>787</v>
      </c>
      <c r="G951" s="6" t="s">
        <v>3577</v>
      </c>
      <c r="H951" s="6" t="s">
        <v>3578</v>
      </c>
      <c r="I951" s="6" t="s">
        <v>5148</v>
      </c>
      <c r="J951" s="6" t="s">
        <v>5149</v>
      </c>
      <c r="K951" s="6" t="s">
        <v>5134</v>
      </c>
      <c r="L951" s="14" t="s">
        <v>55</v>
      </c>
    </row>
    <row r="952" ht="15.75" hidden="1" customHeight="1">
      <c r="A952" s="6" t="s">
        <v>5150</v>
      </c>
      <c r="B952" s="6" t="s">
        <v>5151</v>
      </c>
      <c r="C952" s="6" t="s">
        <v>400</v>
      </c>
      <c r="D952" s="6" t="s">
        <v>5152</v>
      </c>
      <c r="E952" s="6" t="s">
        <v>35</v>
      </c>
      <c r="F952" s="6" t="s">
        <v>787</v>
      </c>
      <c r="G952" s="6" t="s">
        <v>3577</v>
      </c>
      <c r="H952" s="6" t="s">
        <v>3578</v>
      </c>
      <c r="I952" s="6" t="s">
        <v>5153</v>
      </c>
      <c r="J952" s="6" t="s">
        <v>5154</v>
      </c>
      <c r="K952" s="6" t="s">
        <v>5134</v>
      </c>
      <c r="L952" s="14" t="s">
        <v>55</v>
      </c>
    </row>
    <row r="953" ht="15.75" hidden="1" customHeight="1">
      <c r="A953" s="6" t="s">
        <v>5155</v>
      </c>
      <c r="B953" s="6" t="s">
        <v>5156</v>
      </c>
      <c r="C953" s="6" t="s">
        <v>400</v>
      </c>
      <c r="D953" s="6" t="s">
        <v>5157</v>
      </c>
      <c r="E953" s="6" t="s">
        <v>35</v>
      </c>
      <c r="F953" s="6" t="s">
        <v>787</v>
      </c>
      <c r="G953" s="6" t="s">
        <v>3577</v>
      </c>
      <c r="H953" s="6" t="s">
        <v>3578</v>
      </c>
      <c r="I953" s="6" t="s">
        <v>5158</v>
      </c>
      <c r="J953" s="6" t="s">
        <v>5159</v>
      </c>
      <c r="K953" s="6" t="s">
        <v>5134</v>
      </c>
      <c r="L953" s="14" t="s">
        <v>55</v>
      </c>
    </row>
    <row r="954" ht="15.75" hidden="1" customHeight="1">
      <c r="A954" s="6" t="s">
        <v>5160</v>
      </c>
      <c r="B954" s="6" t="s">
        <v>5161</v>
      </c>
      <c r="C954" s="6" t="s">
        <v>400</v>
      </c>
      <c r="D954" s="6" t="s">
        <v>5162</v>
      </c>
      <c r="E954" s="6" t="s">
        <v>35</v>
      </c>
      <c r="F954" s="6" t="s">
        <v>787</v>
      </c>
      <c r="G954" s="6" t="s">
        <v>3577</v>
      </c>
      <c r="H954" s="6" t="s">
        <v>3578</v>
      </c>
      <c r="I954" s="6" t="s">
        <v>5163</v>
      </c>
      <c r="J954" s="6" t="s">
        <v>5164</v>
      </c>
      <c r="K954" s="6" t="s">
        <v>5134</v>
      </c>
      <c r="L954" s="14" t="s">
        <v>55</v>
      </c>
    </row>
    <row r="955" ht="15.75" hidden="1" customHeight="1">
      <c r="A955" s="6" t="s">
        <v>5165</v>
      </c>
      <c r="B955" s="6" t="s">
        <v>5166</v>
      </c>
      <c r="C955" s="6" t="s">
        <v>400</v>
      </c>
      <c r="D955" s="6" t="s">
        <v>5167</v>
      </c>
      <c r="E955" s="6" t="s">
        <v>35</v>
      </c>
      <c r="F955" s="6" t="s">
        <v>787</v>
      </c>
      <c r="G955" s="6" t="s">
        <v>3577</v>
      </c>
      <c r="H955" s="6" t="s">
        <v>3578</v>
      </c>
      <c r="I955" s="6" t="s">
        <v>5168</v>
      </c>
      <c r="J955" s="6" t="s">
        <v>5169</v>
      </c>
      <c r="K955" s="6" t="s">
        <v>1648</v>
      </c>
      <c r="L955" s="14" t="s">
        <v>55</v>
      </c>
    </row>
    <row r="956" ht="15.75" hidden="1" customHeight="1">
      <c r="A956" s="6" t="s">
        <v>5170</v>
      </c>
      <c r="B956" s="6" t="s">
        <v>5171</v>
      </c>
      <c r="C956" s="6" t="s">
        <v>400</v>
      </c>
      <c r="D956" s="6" t="s">
        <v>5172</v>
      </c>
      <c r="E956" s="6" t="s">
        <v>35</v>
      </c>
      <c r="F956" s="6" t="s">
        <v>667</v>
      </c>
      <c r="G956" s="6" t="s">
        <v>668</v>
      </c>
      <c r="H956" s="6" t="s">
        <v>669</v>
      </c>
      <c r="I956" s="6" t="s">
        <v>5173</v>
      </c>
      <c r="J956" s="6" t="s">
        <v>5174</v>
      </c>
      <c r="K956" s="6" t="s">
        <v>1683</v>
      </c>
      <c r="L956" s="14" t="s">
        <v>55</v>
      </c>
    </row>
    <row r="957" ht="15.75" hidden="1" customHeight="1">
      <c r="A957" s="6" t="s">
        <v>5175</v>
      </c>
      <c r="B957" s="6" t="s">
        <v>5176</v>
      </c>
      <c r="C957" s="6" t="s">
        <v>400</v>
      </c>
      <c r="D957" s="6" t="s">
        <v>5177</v>
      </c>
      <c r="E957" s="6" t="s">
        <v>35</v>
      </c>
      <c r="F957" s="6" t="s">
        <v>667</v>
      </c>
      <c r="G957" s="6" t="s">
        <v>668</v>
      </c>
      <c r="H957" s="6" t="s">
        <v>669</v>
      </c>
      <c r="I957" s="6" t="s">
        <v>5178</v>
      </c>
      <c r="J957" s="6" t="s">
        <v>5179</v>
      </c>
      <c r="K957" s="6" t="s">
        <v>1683</v>
      </c>
      <c r="L957" s="10" t="s">
        <v>609</v>
      </c>
    </row>
    <row r="958" ht="15.75" hidden="1" customHeight="1">
      <c r="A958" s="6" t="s">
        <v>5180</v>
      </c>
      <c r="B958" s="6" t="s">
        <v>5181</v>
      </c>
      <c r="C958" s="6" t="s">
        <v>400</v>
      </c>
      <c r="D958" s="6" t="s">
        <v>5182</v>
      </c>
      <c r="E958" s="6" t="s">
        <v>35</v>
      </c>
      <c r="F958" s="6" t="s">
        <v>667</v>
      </c>
      <c r="G958" s="6" t="s">
        <v>668</v>
      </c>
      <c r="H958" s="6" t="s">
        <v>669</v>
      </c>
      <c r="I958" s="6" t="s">
        <v>5183</v>
      </c>
      <c r="J958" s="6" t="s">
        <v>5184</v>
      </c>
      <c r="K958" s="6" t="s">
        <v>1683</v>
      </c>
      <c r="L958" s="10" t="s">
        <v>609</v>
      </c>
    </row>
    <row r="959" ht="15.75" hidden="1" customHeight="1">
      <c r="A959" s="6" t="s">
        <v>5185</v>
      </c>
      <c r="B959" s="6" t="s">
        <v>5186</v>
      </c>
      <c r="C959" s="6" t="s">
        <v>400</v>
      </c>
      <c r="D959" s="6" t="s">
        <v>5187</v>
      </c>
      <c r="E959" s="6" t="s">
        <v>35</v>
      </c>
      <c r="F959" s="6" t="s">
        <v>667</v>
      </c>
      <c r="G959" s="6" t="s">
        <v>668</v>
      </c>
      <c r="H959" s="6" t="s">
        <v>669</v>
      </c>
      <c r="I959" s="6" t="s">
        <v>5188</v>
      </c>
      <c r="J959" s="6" t="s">
        <v>5189</v>
      </c>
      <c r="K959" s="6" t="s">
        <v>1683</v>
      </c>
      <c r="L959" s="10" t="s">
        <v>609</v>
      </c>
    </row>
    <row r="960" ht="15.75" hidden="1" customHeight="1">
      <c r="A960" s="6" t="s">
        <v>5190</v>
      </c>
      <c r="B960" s="6" t="s">
        <v>5191</v>
      </c>
      <c r="C960" s="6" t="s">
        <v>400</v>
      </c>
      <c r="D960" s="6" t="s">
        <v>5192</v>
      </c>
      <c r="E960" s="6" t="s">
        <v>35</v>
      </c>
      <c r="F960" s="6" t="s">
        <v>271</v>
      </c>
      <c r="G960" s="6" t="s">
        <v>1707</v>
      </c>
      <c r="H960" s="6" t="s">
        <v>1708</v>
      </c>
      <c r="I960" s="6" t="s">
        <v>5193</v>
      </c>
      <c r="J960" s="6" t="s">
        <v>5194</v>
      </c>
      <c r="K960" s="6" t="s">
        <v>497</v>
      </c>
      <c r="L960" s="10" t="s">
        <v>609</v>
      </c>
    </row>
    <row r="961" ht="15.75" hidden="1" customHeight="1">
      <c r="A961" s="6" t="s">
        <v>5195</v>
      </c>
      <c r="B961" s="6" t="s">
        <v>5196</v>
      </c>
      <c r="C961" s="6" t="s">
        <v>400</v>
      </c>
      <c r="D961" s="6" t="s">
        <v>5197</v>
      </c>
      <c r="E961" s="6" t="s">
        <v>35</v>
      </c>
      <c r="F961" s="6" t="s">
        <v>271</v>
      </c>
      <c r="G961" s="6" t="s">
        <v>1707</v>
      </c>
      <c r="H961" s="6" t="s">
        <v>1708</v>
      </c>
      <c r="I961" s="6" t="s">
        <v>5198</v>
      </c>
      <c r="J961" s="6" t="s">
        <v>5199</v>
      </c>
      <c r="K961" s="6" t="s">
        <v>497</v>
      </c>
      <c r="L961" s="10" t="s">
        <v>609</v>
      </c>
    </row>
    <row r="962" ht="15.75" hidden="1" customHeight="1">
      <c r="A962" s="6" t="s">
        <v>5200</v>
      </c>
      <c r="B962" s="6" t="s">
        <v>5201</v>
      </c>
      <c r="C962" s="6" t="s">
        <v>400</v>
      </c>
      <c r="D962" s="6" t="s">
        <v>5202</v>
      </c>
      <c r="E962" s="6" t="s">
        <v>35</v>
      </c>
      <c r="F962" s="6" t="s">
        <v>271</v>
      </c>
      <c r="G962" s="6" t="s">
        <v>1707</v>
      </c>
      <c r="H962" s="6" t="s">
        <v>1708</v>
      </c>
      <c r="I962" s="6" t="s">
        <v>5203</v>
      </c>
      <c r="J962" s="6" t="s">
        <v>5204</v>
      </c>
      <c r="K962" s="6" t="s">
        <v>497</v>
      </c>
      <c r="L962" s="10" t="s">
        <v>609</v>
      </c>
    </row>
    <row r="963" ht="15.75" hidden="1" customHeight="1">
      <c r="A963" s="6" t="s">
        <v>5205</v>
      </c>
      <c r="B963" s="6" t="s">
        <v>5206</v>
      </c>
      <c r="C963" s="6" t="s">
        <v>400</v>
      </c>
      <c r="D963" s="6" t="s">
        <v>5207</v>
      </c>
      <c r="E963" s="6" t="s">
        <v>35</v>
      </c>
      <c r="F963" s="6" t="s">
        <v>271</v>
      </c>
      <c r="G963" s="6" t="s">
        <v>1707</v>
      </c>
      <c r="H963" s="6" t="s">
        <v>1708</v>
      </c>
      <c r="I963" s="6" t="s">
        <v>5208</v>
      </c>
      <c r="J963" s="6" t="s">
        <v>5209</v>
      </c>
      <c r="K963" s="6" t="s">
        <v>497</v>
      </c>
      <c r="L963" s="10" t="s">
        <v>609</v>
      </c>
    </row>
    <row r="964" ht="15.75" hidden="1" customHeight="1">
      <c r="A964" s="6" t="s">
        <v>5210</v>
      </c>
      <c r="B964" s="6" t="s">
        <v>5211</v>
      </c>
      <c r="C964" s="6" t="s">
        <v>400</v>
      </c>
      <c r="D964" s="6" t="s">
        <v>5212</v>
      </c>
      <c r="E964" s="6" t="s">
        <v>35</v>
      </c>
      <c r="F964" s="6" t="s">
        <v>271</v>
      </c>
      <c r="G964" s="6" t="s">
        <v>1707</v>
      </c>
      <c r="H964" s="6" t="s">
        <v>1708</v>
      </c>
      <c r="I964" s="6" t="s">
        <v>5213</v>
      </c>
      <c r="J964" s="6" t="s">
        <v>5214</v>
      </c>
      <c r="K964" s="6" t="s">
        <v>497</v>
      </c>
      <c r="L964" s="10" t="s">
        <v>609</v>
      </c>
    </row>
    <row r="965" ht="15.75" customHeight="1">
      <c r="A965" s="6" t="s">
        <v>5215</v>
      </c>
      <c r="B965" s="6" t="s">
        <v>5216</v>
      </c>
      <c r="C965" s="6" t="s">
        <v>400</v>
      </c>
      <c r="D965" s="6" t="s">
        <v>5217</v>
      </c>
      <c r="E965" s="6" t="s">
        <v>35</v>
      </c>
      <c r="F965" s="6" t="s">
        <v>787</v>
      </c>
      <c r="G965" s="6" t="s">
        <v>788</v>
      </c>
      <c r="H965" s="6" t="s">
        <v>789</v>
      </c>
      <c r="I965" s="6" t="s">
        <v>5218</v>
      </c>
      <c r="J965" s="6" t="s">
        <v>5219</v>
      </c>
      <c r="K965" s="6" t="s">
        <v>4163</v>
      </c>
      <c r="L965" s="10" t="s">
        <v>609</v>
      </c>
    </row>
    <row r="966" ht="15.75" customHeight="1">
      <c r="A966" s="6" t="s">
        <v>5220</v>
      </c>
      <c r="B966" s="6" t="s">
        <v>5221</v>
      </c>
      <c r="C966" s="6" t="s">
        <v>400</v>
      </c>
      <c r="D966" s="6" t="s">
        <v>5222</v>
      </c>
      <c r="E966" s="6" t="s">
        <v>35</v>
      </c>
      <c r="F966" s="6" t="s">
        <v>787</v>
      </c>
      <c r="G966" s="6" t="s">
        <v>788</v>
      </c>
      <c r="H966" s="6" t="s">
        <v>789</v>
      </c>
      <c r="I966" s="6" t="s">
        <v>5223</v>
      </c>
      <c r="J966" s="6" t="s">
        <v>5224</v>
      </c>
      <c r="K966" s="6" t="s">
        <v>4163</v>
      </c>
      <c r="L966" s="10" t="s">
        <v>609</v>
      </c>
    </row>
    <row r="967" ht="15.75" customHeight="1">
      <c r="A967" s="6" t="s">
        <v>5225</v>
      </c>
      <c r="B967" s="6" t="s">
        <v>5226</v>
      </c>
      <c r="C967" s="6" t="s">
        <v>400</v>
      </c>
      <c r="D967" s="6" t="s">
        <v>5227</v>
      </c>
      <c r="E967" s="6" t="s">
        <v>35</v>
      </c>
      <c r="F967" s="6" t="s">
        <v>787</v>
      </c>
      <c r="G967" s="6" t="s">
        <v>788</v>
      </c>
      <c r="H967" s="6" t="s">
        <v>789</v>
      </c>
      <c r="I967" s="6" t="s">
        <v>5228</v>
      </c>
      <c r="J967" s="6" t="s">
        <v>5229</v>
      </c>
      <c r="K967" s="6" t="s">
        <v>4163</v>
      </c>
      <c r="L967" s="10" t="s">
        <v>609</v>
      </c>
    </row>
    <row r="968" ht="15.75" customHeight="1">
      <c r="A968" s="6" t="s">
        <v>5230</v>
      </c>
      <c r="B968" s="6" t="s">
        <v>5231</v>
      </c>
      <c r="C968" s="6" t="s">
        <v>400</v>
      </c>
      <c r="D968" s="6" t="s">
        <v>5232</v>
      </c>
      <c r="E968" s="6" t="s">
        <v>35</v>
      </c>
      <c r="F968" s="6" t="s">
        <v>787</v>
      </c>
      <c r="G968" s="6" t="s">
        <v>788</v>
      </c>
      <c r="H968" s="6" t="s">
        <v>789</v>
      </c>
      <c r="I968" s="6" t="s">
        <v>5233</v>
      </c>
      <c r="J968" s="6" t="s">
        <v>5234</v>
      </c>
      <c r="K968" s="6" t="s">
        <v>4163</v>
      </c>
      <c r="L968" s="10" t="s">
        <v>609</v>
      </c>
    </row>
    <row r="969" ht="15.75" hidden="1" customHeight="1">
      <c r="A969" s="6" t="s">
        <v>5235</v>
      </c>
      <c r="B969" s="6" t="s">
        <v>5236</v>
      </c>
      <c r="C969" s="6" t="s">
        <v>400</v>
      </c>
      <c r="D969" s="6" t="s">
        <v>5237</v>
      </c>
      <c r="E969" s="6" t="s">
        <v>35</v>
      </c>
      <c r="F969" s="6" t="s">
        <v>667</v>
      </c>
      <c r="G969" s="6" t="s">
        <v>668</v>
      </c>
      <c r="H969" s="6" t="s">
        <v>669</v>
      </c>
      <c r="I969" s="6" t="s">
        <v>5238</v>
      </c>
      <c r="J969" s="6" t="s">
        <v>5239</v>
      </c>
      <c r="K969" s="6" t="s">
        <v>521</v>
      </c>
      <c r="L969" s="10" t="s">
        <v>609</v>
      </c>
    </row>
    <row r="970" ht="15.75" hidden="1" customHeight="1">
      <c r="A970" s="6" t="s">
        <v>5240</v>
      </c>
      <c r="B970" s="6" t="s">
        <v>5241</v>
      </c>
      <c r="C970" s="6" t="s">
        <v>400</v>
      </c>
      <c r="D970" s="6" t="s">
        <v>5242</v>
      </c>
      <c r="E970" s="6" t="s">
        <v>35</v>
      </c>
      <c r="F970" s="6" t="s">
        <v>787</v>
      </c>
      <c r="G970" s="6" t="s">
        <v>1657</v>
      </c>
      <c r="H970" s="6" t="s">
        <v>1658</v>
      </c>
      <c r="I970" s="6" t="s">
        <v>5243</v>
      </c>
      <c r="J970" s="6" t="s">
        <v>5244</v>
      </c>
      <c r="K970" s="6" t="s">
        <v>497</v>
      </c>
      <c r="L970" s="12" t="s">
        <v>43</v>
      </c>
    </row>
    <row r="971" ht="15.75" hidden="1" customHeight="1">
      <c r="A971" s="6" t="s">
        <v>5245</v>
      </c>
      <c r="B971" s="6" t="s">
        <v>5246</v>
      </c>
      <c r="C971" s="6" t="s">
        <v>400</v>
      </c>
      <c r="D971" s="6" t="s">
        <v>5247</v>
      </c>
      <c r="E971" s="6" t="s">
        <v>35</v>
      </c>
      <c r="F971" s="6" t="s">
        <v>271</v>
      </c>
      <c r="G971" s="6" t="s">
        <v>1707</v>
      </c>
      <c r="H971" s="6" t="s">
        <v>1708</v>
      </c>
      <c r="I971" s="6" t="s">
        <v>5248</v>
      </c>
      <c r="J971" s="6" t="s">
        <v>5249</v>
      </c>
      <c r="K971" s="6" t="s">
        <v>497</v>
      </c>
      <c r="L971" s="10" t="s">
        <v>609</v>
      </c>
    </row>
    <row r="972" ht="15.75" hidden="1" customHeight="1">
      <c r="A972" s="6" t="s">
        <v>5250</v>
      </c>
      <c r="B972" s="6" t="s">
        <v>5251</v>
      </c>
      <c r="C972" s="6" t="s">
        <v>400</v>
      </c>
      <c r="D972" s="6" t="s">
        <v>5252</v>
      </c>
      <c r="E972" s="6" t="s">
        <v>22</v>
      </c>
      <c r="F972" s="6" t="s">
        <v>3100</v>
      </c>
      <c r="G972" s="6" t="s">
        <v>3191</v>
      </c>
      <c r="H972" s="6" t="s">
        <v>3192</v>
      </c>
      <c r="I972" s="6" t="s">
        <v>5253</v>
      </c>
      <c r="J972" s="6" t="s">
        <v>5254</v>
      </c>
      <c r="K972" s="6" t="s">
        <v>497</v>
      </c>
      <c r="L972" s="10" t="s">
        <v>30</v>
      </c>
    </row>
    <row r="973" ht="15.75" hidden="1" customHeight="1">
      <c r="A973" s="6" t="s">
        <v>5255</v>
      </c>
      <c r="B973" s="6" t="s">
        <v>5256</v>
      </c>
      <c r="C973" s="6" t="s">
        <v>400</v>
      </c>
      <c r="D973" s="6" t="s">
        <v>5257</v>
      </c>
      <c r="E973" s="6" t="s">
        <v>22</v>
      </c>
      <c r="F973" s="6" t="s">
        <v>3100</v>
      </c>
      <c r="G973" s="6" t="s">
        <v>3191</v>
      </c>
      <c r="H973" s="6" t="s">
        <v>3192</v>
      </c>
      <c r="I973" s="6" t="s">
        <v>5258</v>
      </c>
      <c r="J973" s="6" t="s">
        <v>5259</v>
      </c>
      <c r="K973" s="6" t="s">
        <v>497</v>
      </c>
      <c r="L973" s="10" t="s">
        <v>30</v>
      </c>
    </row>
    <row r="974" ht="15.75" hidden="1" customHeight="1">
      <c r="A974" s="6" t="s">
        <v>5260</v>
      </c>
      <c r="B974" s="6" t="s">
        <v>5261</v>
      </c>
      <c r="C974" s="6" t="s">
        <v>400</v>
      </c>
      <c r="D974" s="6" t="s">
        <v>5262</v>
      </c>
      <c r="E974" s="6" t="s">
        <v>22</v>
      </c>
      <c r="F974" s="6" t="s">
        <v>3100</v>
      </c>
      <c r="G974" s="6" t="s">
        <v>3191</v>
      </c>
      <c r="H974" s="6" t="s">
        <v>3192</v>
      </c>
      <c r="I974" s="6" t="s">
        <v>5263</v>
      </c>
      <c r="J974" s="6" t="s">
        <v>5264</v>
      </c>
      <c r="K974" s="6" t="s">
        <v>497</v>
      </c>
      <c r="L974" s="10" t="s">
        <v>30</v>
      </c>
    </row>
    <row r="975" ht="15.75" hidden="1" customHeight="1">
      <c r="A975" s="6" t="s">
        <v>5265</v>
      </c>
      <c r="B975" s="6" t="s">
        <v>5266</v>
      </c>
      <c r="C975" s="6" t="s">
        <v>400</v>
      </c>
      <c r="D975" s="6" t="s">
        <v>5267</v>
      </c>
      <c r="E975" s="6" t="s">
        <v>22</v>
      </c>
      <c r="F975" s="6" t="s">
        <v>3100</v>
      </c>
      <c r="G975" s="6" t="s">
        <v>3191</v>
      </c>
      <c r="H975" s="6" t="s">
        <v>3192</v>
      </c>
      <c r="I975" s="6" t="s">
        <v>5268</v>
      </c>
      <c r="J975" s="6" t="s">
        <v>5269</v>
      </c>
      <c r="K975" s="6" t="s">
        <v>497</v>
      </c>
      <c r="L975" s="10" t="s">
        <v>30</v>
      </c>
    </row>
    <row r="976" ht="15.75" hidden="1" customHeight="1">
      <c r="A976" s="6" t="s">
        <v>5270</v>
      </c>
      <c r="B976" s="6" t="s">
        <v>5271</v>
      </c>
      <c r="C976" s="6" t="s">
        <v>400</v>
      </c>
      <c r="D976" s="6" t="s">
        <v>5272</v>
      </c>
      <c r="E976" s="6" t="s">
        <v>22</v>
      </c>
      <c r="F976" s="6" t="s">
        <v>3100</v>
      </c>
      <c r="G976" s="6" t="s">
        <v>3191</v>
      </c>
      <c r="H976" s="6" t="s">
        <v>3192</v>
      </c>
      <c r="I976" s="6" t="s">
        <v>5273</v>
      </c>
      <c r="J976" s="6" t="s">
        <v>5274</v>
      </c>
      <c r="K976" s="6" t="s">
        <v>497</v>
      </c>
      <c r="L976" s="10" t="s">
        <v>30</v>
      </c>
    </row>
    <row r="977" ht="15.75" hidden="1" customHeight="1">
      <c r="A977" s="6" t="s">
        <v>5275</v>
      </c>
      <c r="B977" s="6" t="s">
        <v>5276</v>
      </c>
      <c r="C977" s="6" t="s">
        <v>400</v>
      </c>
      <c r="D977" s="6" t="s">
        <v>5277</v>
      </c>
      <c r="E977" s="6" t="s">
        <v>22</v>
      </c>
      <c r="F977" s="6" t="s">
        <v>3100</v>
      </c>
      <c r="G977" s="6" t="s">
        <v>3191</v>
      </c>
      <c r="H977" s="6" t="s">
        <v>3192</v>
      </c>
      <c r="I977" s="6" t="s">
        <v>5278</v>
      </c>
      <c r="J977" s="6" t="s">
        <v>5279</v>
      </c>
      <c r="K977" s="6" t="s">
        <v>497</v>
      </c>
      <c r="L977" s="10" t="s">
        <v>30</v>
      </c>
    </row>
    <row r="978" ht="15.75" hidden="1" customHeight="1">
      <c r="A978" s="6" t="s">
        <v>5280</v>
      </c>
      <c r="B978" s="6" t="s">
        <v>5281</v>
      </c>
      <c r="C978" s="6" t="s">
        <v>400</v>
      </c>
      <c r="D978" s="6" t="s">
        <v>5282</v>
      </c>
      <c r="E978" s="6" t="s">
        <v>35</v>
      </c>
      <c r="F978" s="6" t="s">
        <v>667</v>
      </c>
      <c r="G978" s="6" t="s">
        <v>668</v>
      </c>
      <c r="H978" s="6" t="s">
        <v>669</v>
      </c>
      <c r="I978" s="6" t="s">
        <v>5283</v>
      </c>
      <c r="J978" s="6" t="s">
        <v>5284</v>
      </c>
      <c r="K978" s="6" t="s">
        <v>854</v>
      </c>
      <c r="L978" s="10" t="s">
        <v>609</v>
      </c>
    </row>
    <row r="979" ht="15.75" hidden="1" customHeight="1">
      <c r="A979" s="6" t="s">
        <v>5285</v>
      </c>
      <c r="B979" s="6" t="s">
        <v>5286</v>
      </c>
      <c r="C979" s="6" t="s">
        <v>400</v>
      </c>
      <c r="D979" s="6" t="s">
        <v>5287</v>
      </c>
      <c r="E979" s="6" t="s">
        <v>35</v>
      </c>
      <c r="F979" s="6" t="s">
        <v>667</v>
      </c>
      <c r="G979" s="6" t="s">
        <v>668</v>
      </c>
      <c r="H979" s="6" t="s">
        <v>669</v>
      </c>
      <c r="I979" s="6" t="s">
        <v>5288</v>
      </c>
      <c r="J979" s="6" t="s">
        <v>5289</v>
      </c>
      <c r="K979" s="6" t="s">
        <v>854</v>
      </c>
      <c r="L979" s="10" t="s">
        <v>609</v>
      </c>
    </row>
    <row r="980" ht="15.75" hidden="1" customHeight="1">
      <c r="A980" s="6" t="s">
        <v>5290</v>
      </c>
      <c r="B980" s="6" t="s">
        <v>5291</v>
      </c>
      <c r="C980" s="6" t="s">
        <v>400</v>
      </c>
      <c r="D980" s="6" t="s">
        <v>5292</v>
      </c>
      <c r="E980" s="6" t="s">
        <v>35</v>
      </c>
      <c r="F980" s="6" t="s">
        <v>667</v>
      </c>
      <c r="G980" s="6" t="s">
        <v>668</v>
      </c>
      <c r="H980" s="6" t="s">
        <v>669</v>
      </c>
      <c r="I980" s="6" t="s">
        <v>5293</v>
      </c>
      <c r="J980" s="6" t="s">
        <v>5294</v>
      </c>
      <c r="K980" s="6" t="s">
        <v>854</v>
      </c>
      <c r="L980" s="10" t="s">
        <v>609</v>
      </c>
    </row>
    <row r="981" ht="15.75" hidden="1" customHeight="1">
      <c r="A981" s="6" t="s">
        <v>5295</v>
      </c>
      <c r="B981" s="6" t="s">
        <v>5296</v>
      </c>
      <c r="C981" s="6" t="s">
        <v>400</v>
      </c>
      <c r="D981" s="6" t="s">
        <v>5297</v>
      </c>
      <c r="E981" s="6" t="s">
        <v>35</v>
      </c>
      <c r="F981" s="6" t="s">
        <v>667</v>
      </c>
      <c r="G981" s="6" t="s">
        <v>668</v>
      </c>
      <c r="H981" s="6" t="s">
        <v>669</v>
      </c>
      <c r="I981" s="6" t="s">
        <v>5298</v>
      </c>
      <c r="J981" s="6" t="s">
        <v>5299</v>
      </c>
      <c r="K981" s="6" t="s">
        <v>854</v>
      </c>
      <c r="L981" s="10" t="s">
        <v>609</v>
      </c>
    </row>
    <row r="982" ht="15.75" hidden="1" customHeight="1">
      <c r="A982" s="6" t="s">
        <v>5300</v>
      </c>
      <c r="B982" s="6" t="s">
        <v>5301</v>
      </c>
      <c r="C982" s="6" t="s">
        <v>400</v>
      </c>
      <c r="D982" s="6" t="s">
        <v>5302</v>
      </c>
      <c r="E982" s="6" t="s">
        <v>35</v>
      </c>
      <c r="F982" s="6" t="s">
        <v>667</v>
      </c>
      <c r="G982" s="6" t="s">
        <v>668</v>
      </c>
      <c r="H982" s="6" t="s">
        <v>669</v>
      </c>
      <c r="I982" s="6" t="s">
        <v>5303</v>
      </c>
      <c r="J982" s="6" t="s">
        <v>5304</v>
      </c>
      <c r="K982" s="6" t="s">
        <v>854</v>
      </c>
      <c r="L982" s="10" t="s">
        <v>609</v>
      </c>
    </row>
    <row r="983" ht="15.75" hidden="1" customHeight="1">
      <c r="A983" s="6" t="s">
        <v>5305</v>
      </c>
      <c r="B983" s="6" t="s">
        <v>5306</v>
      </c>
      <c r="C983" s="6" t="s">
        <v>400</v>
      </c>
      <c r="D983" s="6" t="s">
        <v>5307</v>
      </c>
      <c r="E983" s="6" t="s">
        <v>35</v>
      </c>
      <c r="F983" s="6" t="s">
        <v>667</v>
      </c>
      <c r="G983" s="6" t="s">
        <v>668</v>
      </c>
      <c r="H983" s="6" t="s">
        <v>669</v>
      </c>
      <c r="I983" s="6" t="s">
        <v>5308</v>
      </c>
      <c r="J983" s="6" t="s">
        <v>5309</v>
      </c>
      <c r="K983" s="6" t="s">
        <v>854</v>
      </c>
      <c r="L983" s="10" t="s">
        <v>609</v>
      </c>
    </row>
    <row r="984" ht="15.75" hidden="1" customHeight="1">
      <c r="A984" s="6" t="s">
        <v>5310</v>
      </c>
      <c r="B984" s="6" t="s">
        <v>5311</v>
      </c>
      <c r="C984" s="6" t="s">
        <v>400</v>
      </c>
      <c r="D984" s="6" t="s">
        <v>5312</v>
      </c>
      <c r="E984" s="6" t="s">
        <v>35</v>
      </c>
      <c r="F984" s="6" t="s">
        <v>667</v>
      </c>
      <c r="G984" s="6" t="s">
        <v>668</v>
      </c>
      <c r="H984" s="6" t="s">
        <v>669</v>
      </c>
      <c r="I984" s="6" t="s">
        <v>5313</v>
      </c>
      <c r="J984" s="6" t="s">
        <v>5314</v>
      </c>
      <c r="K984" s="6" t="s">
        <v>854</v>
      </c>
      <c r="L984" s="10" t="s">
        <v>609</v>
      </c>
    </row>
    <row r="985" ht="15.75" hidden="1" customHeight="1">
      <c r="A985" s="6" t="s">
        <v>5315</v>
      </c>
      <c r="B985" s="6" t="s">
        <v>5316</v>
      </c>
      <c r="C985" s="6" t="s">
        <v>400</v>
      </c>
      <c r="D985" s="6" t="s">
        <v>5317</v>
      </c>
      <c r="E985" s="6" t="s">
        <v>35</v>
      </c>
      <c r="F985" s="6" t="s">
        <v>667</v>
      </c>
      <c r="G985" s="6" t="s">
        <v>668</v>
      </c>
      <c r="H985" s="6" t="s">
        <v>669</v>
      </c>
      <c r="I985" s="6" t="s">
        <v>5318</v>
      </c>
      <c r="J985" s="6" t="s">
        <v>5319</v>
      </c>
      <c r="K985" s="6" t="s">
        <v>854</v>
      </c>
      <c r="L985" s="10" t="s">
        <v>609</v>
      </c>
    </row>
    <row r="986" ht="15.75" hidden="1" customHeight="1">
      <c r="A986" s="6" t="s">
        <v>5320</v>
      </c>
      <c r="B986" s="6" t="s">
        <v>5321</v>
      </c>
      <c r="C986" s="6" t="s">
        <v>400</v>
      </c>
      <c r="D986" s="6" t="s">
        <v>5322</v>
      </c>
      <c r="E986" s="6" t="s">
        <v>35</v>
      </c>
      <c r="F986" s="6" t="s">
        <v>667</v>
      </c>
      <c r="G986" s="6" t="s">
        <v>668</v>
      </c>
      <c r="H986" s="6" t="s">
        <v>669</v>
      </c>
      <c r="I986" s="6" t="s">
        <v>5323</v>
      </c>
      <c r="J986" s="6" t="s">
        <v>5324</v>
      </c>
      <c r="K986" s="6" t="s">
        <v>854</v>
      </c>
      <c r="L986" s="10" t="s">
        <v>609</v>
      </c>
    </row>
    <row r="987" ht="15.75" hidden="1" customHeight="1">
      <c r="A987" s="6" t="s">
        <v>5325</v>
      </c>
      <c r="B987" s="6" t="s">
        <v>5326</v>
      </c>
      <c r="C987" s="6" t="s">
        <v>400</v>
      </c>
      <c r="D987" s="6" t="s">
        <v>5327</v>
      </c>
      <c r="E987" s="6" t="s">
        <v>339</v>
      </c>
      <c r="F987" s="6" t="s">
        <v>603</v>
      </c>
      <c r="G987" s="6" t="s">
        <v>604</v>
      </c>
      <c r="H987" s="6" t="s">
        <v>605</v>
      </c>
      <c r="I987" s="6" t="s">
        <v>5328</v>
      </c>
      <c r="J987" s="6" t="s">
        <v>5329</v>
      </c>
      <c r="K987" s="6" t="s">
        <v>5330</v>
      </c>
      <c r="L987" s="10" t="s">
        <v>609</v>
      </c>
    </row>
    <row r="988" ht="15.75" hidden="1" customHeight="1">
      <c r="A988" s="6" t="s">
        <v>5331</v>
      </c>
      <c r="B988" s="6" t="s">
        <v>5332</v>
      </c>
      <c r="C988" s="6" t="s">
        <v>400</v>
      </c>
      <c r="D988" s="6" t="s">
        <v>5333</v>
      </c>
      <c r="E988" s="6" t="s">
        <v>35</v>
      </c>
      <c r="F988" s="6" t="s">
        <v>667</v>
      </c>
      <c r="G988" s="6" t="s">
        <v>668</v>
      </c>
      <c r="H988" s="6" t="s">
        <v>669</v>
      </c>
      <c r="I988" s="6" t="s">
        <v>5334</v>
      </c>
      <c r="J988" s="6" t="s">
        <v>5335</v>
      </c>
      <c r="K988" s="6" t="s">
        <v>551</v>
      </c>
      <c r="L988" s="10" t="s">
        <v>609</v>
      </c>
    </row>
    <row r="989" ht="15.75" hidden="1" customHeight="1">
      <c r="A989" s="6" t="s">
        <v>5336</v>
      </c>
      <c r="B989" s="6" t="s">
        <v>5337</v>
      </c>
      <c r="C989" s="6" t="s">
        <v>400</v>
      </c>
      <c r="D989" s="6" t="s">
        <v>5338</v>
      </c>
      <c r="E989" s="6" t="s">
        <v>35</v>
      </c>
      <c r="F989" s="6" t="s">
        <v>271</v>
      </c>
      <c r="G989" s="6" t="s">
        <v>1707</v>
      </c>
      <c r="H989" s="6" t="s">
        <v>1708</v>
      </c>
      <c r="I989" s="6" t="s">
        <v>5339</v>
      </c>
      <c r="J989" s="6" t="s">
        <v>5340</v>
      </c>
      <c r="K989" s="6" t="s">
        <v>551</v>
      </c>
      <c r="L989" s="10" t="s">
        <v>609</v>
      </c>
    </row>
    <row r="990" ht="15.75" customHeight="1">
      <c r="A990" s="6" t="s">
        <v>5341</v>
      </c>
      <c r="B990" s="6" t="s">
        <v>5342</v>
      </c>
      <c r="C990" s="6" t="s">
        <v>400</v>
      </c>
      <c r="D990" s="6" t="s">
        <v>5343</v>
      </c>
      <c r="E990" s="6" t="s">
        <v>35</v>
      </c>
      <c r="F990" s="6" t="s">
        <v>667</v>
      </c>
      <c r="G990" s="6" t="s">
        <v>668</v>
      </c>
      <c r="H990" s="6" t="s">
        <v>669</v>
      </c>
      <c r="I990" s="6" t="s">
        <v>5344</v>
      </c>
      <c r="J990" s="6" t="s">
        <v>5345</v>
      </c>
      <c r="K990" s="6" t="s">
        <v>5346</v>
      </c>
      <c r="L990" s="10" t="s">
        <v>609</v>
      </c>
    </row>
    <row r="991" ht="15.75" hidden="1" customHeight="1">
      <c r="A991" s="6" t="s">
        <v>5347</v>
      </c>
      <c r="B991" s="6" t="s">
        <v>5348</v>
      </c>
      <c r="C991" s="6" t="s">
        <v>416</v>
      </c>
      <c r="D991" s="6" t="s">
        <v>21</v>
      </c>
      <c r="E991" s="6" t="s">
        <v>22</v>
      </c>
      <c r="F991" s="6" t="s">
        <v>23</v>
      </c>
      <c r="G991" s="6" t="s">
        <v>24</v>
      </c>
      <c r="H991" s="6" t="s">
        <v>25</v>
      </c>
      <c r="I991" s="6" t="s">
        <v>5349</v>
      </c>
      <c r="J991" s="6" t="s">
        <v>5350</v>
      </c>
      <c r="K991" s="6" t="s">
        <v>29</v>
      </c>
      <c r="L991" s="10" t="s">
        <v>30</v>
      </c>
    </row>
    <row r="992" ht="15.75" hidden="1" customHeight="1">
      <c r="A992" s="6" t="s">
        <v>5351</v>
      </c>
      <c r="B992" s="6" t="s">
        <v>5352</v>
      </c>
      <c r="C992" s="6" t="s">
        <v>416</v>
      </c>
      <c r="D992" s="6" t="s">
        <v>5353</v>
      </c>
      <c r="E992" s="6" t="s">
        <v>22</v>
      </c>
      <c r="F992" s="6" t="s">
        <v>3163</v>
      </c>
      <c r="G992" s="6" t="s">
        <v>5354</v>
      </c>
      <c r="H992" s="6" t="s">
        <v>5355</v>
      </c>
      <c r="I992" s="6" t="s">
        <v>5356</v>
      </c>
      <c r="J992" s="6" t="s">
        <v>5357</v>
      </c>
      <c r="K992" s="6" t="s">
        <v>581</v>
      </c>
      <c r="L992" s="10" t="s">
        <v>30</v>
      </c>
    </row>
    <row r="993" ht="15.75" hidden="1" customHeight="1">
      <c r="A993" s="6" t="s">
        <v>5358</v>
      </c>
      <c r="B993" s="6" t="s">
        <v>5359</v>
      </c>
      <c r="C993" s="6" t="s">
        <v>416</v>
      </c>
      <c r="D993" s="6" t="s">
        <v>5360</v>
      </c>
      <c r="E993" s="6" t="s">
        <v>22</v>
      </c>
      <c r="F993" s="6" t="s">
        <v>3163</v>
      </c>
      <c r="G993" s="6" t="s">
        <v>5354</v>
      </c>
      <c r="H993" s="6" t="s">
        <v>5355</v>
      </c>
      <c r="I993" s="6" t="s">
        <v>5361</v>
      </c>
      <c r="J993" s="6" t="s">
        <v>5362</v>
      </c>
      <c r="K993" s="6" t="s">
        <v>581</v>
      </c>
      <c r="L993" s="10" t="s">
        <v>30</v>
      </c>
    </row>
    <row r="994" ht="15.75" hidden="1" customHeight="1">
      <c r="A994" s="6" t="s">
        <v>5363</v>
      </c>
      <c r="B994" s="6" t="s">
        <v>5364</v>
      </c>
      <c r="C994" s="6" t="s">
        <v>416</v>
      </c>
      <c r="D994" s="6" t="s">
        <v>5365</v>
      </c>
      <c r="E994" s="6" t="s">
        <v>22</v>
      </c>
      <c r="F994" s="6" t="s">
        <v>3163</v>
      </c>
      <c r="G994" s="6" t="s">
        <v>3164</v>
      </c>
      <c r="H994" s="6" t="s">
        <v>3165</v>
      </c>
      <c r="I994" s="6" t="s">
        <v>5366</v>
      </c>
      <c r="J994" s="6" t="s">
        <v>5367</v>
      </c>
      <c r="K994" s="6" t="s">
        <v>581</v>
      </c>
      <c r="L994" s="10" t="s">
        <v>30</v>
      </c>
    </row>
    <row r="995" ht="15.75" hidden="1" customHeight="1">
      <c r="A995" s="6" t="s">
        <v>5368</v>
      </c>
      <c r="B995" s="6" t="s">
        <v>5369</v>
      </c>
      <c r="C995" s="6" t="s">
        <v>416</v>
      </c>
      <c r="D995" s="6" t="s">
        <v>5370</v>
      </c>
      <c r="E995" s="6" t="s">
        <v>22</v>
      </c>
      <c r="F995" s="6" t="s">
        <v>3163</v>
      </c>
      <c r="G995" s="6" t="s">
        <v>3164</v>
      </c>
      <c r="H995" s="6" t="s">
        <v>3165</v>
      </c>
      <c r="I995" s="6" t="s">
        <v>5371</v>
      </c>
      <c r="J995" s="6" t="s">
        <v>5372</v>
      </c>
      <c r="K995" s="6" t="s">
        <v>581</v>
      </c>
      <c r="L995" s="10" t="s">
        <v>30</v>
      </c>
    </row>
    <row r="996" ht="15.75" hidden="1" customHeight="1">
      <c r="A996" s="6" t="s">
        <v>5373</v>
      </c>
      <c r="B996" s="6" t="s">
        <v>5374</v>
      </c>
      <c r="C996" s="6" t="s">
        <v>416</v>
      </c>
      <c r="D996" s="6" t="s">
        <v>5375</v>
      </c>
      <c r="E996" s="6" t="s">
        <v>22</v>
      </c>
      <c r="F996" s="6" t="s">
        <v>3163</v>
      </c>
      <c r="G996" s="6" t="s">
        <v>3164</v>
      </c>
      <c r="H996" s="6" t="s">
        <v>3165</v>
      </c>
      <c r="I996" s="6" t="s">
        <v>5376</v>
      </c>
      <c r="J996" s="6" t="s">
        <v>5377</v>
      </c>
      <c r="K996" s="6" t="s">
        <v>581</v>
      </c>
      <c r="L996" s="10" t="s">
        <v>30</v>
      </c>
    </row>
    <row r="997" ht="15.75" hidden="1" customHeight="1">
      <c r="A997" s="6" t="s">
        <v>5378</v>
      </c>
      <c r="B997" s="6" t="s">
        <v>5379</v>
      </c>
      <c r="C997" s="6" t="s">
        <v>416</v>
      </c>
      <c r="D997" s="6" t="s">
        <v>5380</v>
      </c>
      <c r="E997" s="6" t="s">
        <v>22</v>
      </c>
      <c r="F997" s="6" t="s">
        <v>3163</v>
      </c>
      <c r="G997" s="6" t="s">
        <v>3164</v>
      </c>
      <c r="H997" s="6" t="s">
        <v>3165</v>
      </c>
      <c r="I997" s="6" t="s">
        <v>5381</v>
      </c>
      <c r="J997" s="6" t="s">
        <v>5382</v>
      </c>
      <c r="K997" s="6" t="s">
        <v>581</v>
      </c>
      <c r="L997" s="10" t="s">
        <v>30</v>
      </c>
    </row>
    <row r="998" ht="15.75" hidden="1" customHeight="1">
      <c r="A998" s="6" t="s">
        <v>5383</v>
      </c>
      <c r="B998" s="6" t="s">
        <v>5384</v>
      </c>
      <c r="C998" s="6" t="s">
        <v>416</v>
      </c>
      <c r="D998" s="6" t="s">
        <v>5385</v>
      </c>
      <c r="E998" s="6" t="s">
        <v>331</v>
      </c>
      <c r="F998" s="6" t="s">
        <v>1309</v>
      </c>
      <c r="G998" s="6" t="s">
        <v>5386</v>
      </c>
      <c r="H998" s="6" t="s">
        <v>5387</v>
      </c>
      <c r="I998" s="6" t="s">
        <v>5388</v>
      </c>
      <c r="J998" s="6" t="s">
        <v>5389</v>
      </c>
      <c r="K998" s="6" t="s">
        <v>581</v>
      </c>
      <c r="L998" s="10" t="s">
        <v>30</v>
      </c>
    </row>
    <row r="999" ht="15.75" hidden="1" customHeight="1">
      <c r="A999" s="6" t="s">
        <v>5390</v>
      </c>
      <c r="B999" s="6" t="s">
        <v>5391</v>
      </c>
      <c r="C999" s="6" t="s">
        <v>416</v>
      </c>
      <c r="D999" s="6" t="s">
        <v>5392</v>
      </c>
      <c r="E999" s="6" t="s">
        <v>331</v>
      </c>
      <c r="F999" s="6" t="s">
        <v>1309</v>
      </c>
      <c r="G999" s="6" t="s">
        <v>5386</v>
      </c>
      <c r="H999" s="6" t="s">
        <v>5387</v>
      </c>
      <c r="I999" s="6" t="s">
        <v>5393</v>
      </c>
      <c r="J999" s="6" t="s">
        <v>5394</v>
      </c>
      <c r="K999" s="6" t="s">
        <v>581</v>
      </c>
      <c r="L999" s="10" t="s">
        <v>30</v>
      </c>
    </row>
    <row r="1000" ht="15.75" hidden="1" customHeight="1">
      <c r="A1000" s="6" t="s">
        <v>5395</v>
      </c>
      <c r="B1000" s="6" t="s">
        <v>5396</v>
      </c>
      <c r="C1000" s="6" t="s">
        <v>416</v>
      </c>
      <c r="D1000" s="6" t="s">
        <v>5397</v>
      </c>
      <c r="E1000" s="6" t="s">
        <v>331</v>
      </c>
      <c r="F1000" s="6" t="s">
        <v>1309</v>
      </c>
      <c r="G1000" s="6" t="s">
        <v>5386</v>
      </c>
      <c r="H1000" s="6" t="s">
        <v>5387</v>
      </c>
      <c r="I1000" s="6" t="s">
        <v>5398</v>
      </c>
      <c r="J1000" s="6" t="s">
        <v>5399</v>
      </c>
      <c r="K1000" s="6" t="s">
        <v>581</v>
      </c>
      <c r="L1000" s="10" t="s">
        <v>30</v>
      </c>
    </row>
    <row r="1001" ht="15.75" hidden="1" customHeight="1">
      <c r="A1001" s="6" t="s">
        <v>5400</v>
      </c>
      <c r="B1001" s="6" t="s">
        <v>5401</v>
      </c>
      <c r="C1001" s="6" t="s">
        <v>416</v>
      </c>
      <c r="D1001" s="6" t="s">
        <v>5402</v>
      </c>
      <c r="E1001" s="6" t="s">
        <v>331</v>
      </c>
      <c r="F1001" s="6" t="s">
        <v>1309</v>
      </c>
      <c r="G1001" s="6" t="s">
        <v>5386</v>
      </c>
      <c r="H1001" s="6" t="s">
        <v>5387</v>
      </c>
      <c r="I1001" s="6" t="s">
        <v>5403</v>
      </c>
      <c r="J1001" s="6" t="s">
        <v>5404</v>
      </c>
      <c r="K1001" s="6" t="s">
        <v>581</v>
      </c>
      <c r="L1001" s="10" t="s">
        <v>30</v>
      </c>
    </row>
    <row r="1002" ht="15.75" hidden="1" customHeight="1">
      <c r="A1002" s="6" t="s">
        <v>5405</v>
      </c>
      <c r="B1002" s="6" t="s">
        <v>5406</v>
      </c>
      <c r="C1002" s="6" t="s">
        <v>416</v>
      </c>
      <c r="D1002" s="6" t="s">
        <v>5407</v>
      </c>
      <c r="E1002" s="6" t="s">
        <v>331</v>
      </c>
      <c r="F1002" s="6" t="s">
        <v>1309</v>
      </c>
      <c r="G1002" s="6" t="s">
        <v>5386</v>
      </c>
      <c r="H1002" s="6" t="s">
        <v>5387</v>
      </c>
      <c r="I1002" s="6" t="s">
        <v>5408</v>
      </c>
      <c r="J1002" s="6" t="s">
        <v>5409</v>
      </c>
      <c r="K1002" s="6" t="s">
        <v>581</v>
      </c>
      <c r="L1002" s="10" t="s">
        <v>30</v>
      </c>
    </row>
    <row r="1003" ht="15.75" hidden="1" customHeight="1">
      <c r="A1003" s="6" t="s">
        <v>5410</v>
      </c>
      <c r="B1003" s="6" t="s">
        <v>5411</v>
      </c>
      <c r="C1003" s="6" t="s">
        <v>416</v>
      </c>
      <c r="D1003" s="6" t="s">
        <v>5412</v>
      </c>
      <c r="E1003" s="6" t="s">
        <v>22</v>
      </c>
      <c r="F1003" s="6" t="s">
        <v>3163</v>
      </c>
      <c r="G1003" s="6" t="s">
        <v>5413</v>
      </c>
      <c r="H1003" s="6" t="s">
        <v>5414</v>
      </c>
      <c r="I1003" s="6" t="s">
        <v>5415</v>
      </c>
      <c r="J1003" s="6" t="s">
        <v>5416</v>
      </c>
      <c r="K1003" s="6" t="s">
        <v>581</v>
      </c>
      <c r="L1003" s="10" t="s">
        <v>30</v>
      </c>
    </row>
    <row r="1004" ht="15.75" hidden="1" customHeight="1">
      <c r="A1004" s="6" t="s">
        <v>5417</v>
      </c>
      <c r="B1004" s="6" t="s">
        <v>5418</v>
      </c>
      <c r="C1004" s="6" t="s">
        <v>416</v>
      </c>
      <c r="D1004" s="6" t="s">
        <v>5419</v>
      </c>
      <c r="E1004" s="6" t="s">
        <v>22</v>
      </c>
      <c r="F1004" s="6" t="s">
        <v>3163</v>
      </c>
      <c r="G1004" s="6" t="s">
        <v>5413</v>
      </c>
      <c r="H1004" s="6" t="s">
        <v>5414</v>
      </c>
      <c r="I1004" s="6" t="s">
        <v>5420</v>
      </c>
      <c r="J1004" s="6" t="s">
        <v>5421</v>
      </c>
      <c r="K1004" s="6" t="s">
        <v>581</v>
      </c>
      <c r="L1004" s="10" t="s">
        <v>30</v>
      </c>
    </row>
    <row r="1005" ht="15.75" hidden="1" customHeight="1">
      <c r="A1005" s="6" t="s">
        <v>5422</v>
      </c>
      <c r="B1005" s="6" t="s">
        <v>5423</v>
      </c>
      <c r="C1005" s="6" t="s">
        <v>416</v>
      </c>
      <c r="D1005" s="6" t="s">
        <v>5424</v>
      </c>
      <c r="E1005" s="6" t="s">
        <v>22</v>
      </c>
      <c r="F1005" s="6" t="s">
        <v>3163</v>
      </c>
      <c r="G1005" s="6" t="s">
        <v>5413</v>
      </c>
      <c r="H1005" s="6" t="s">
        <v>5414</v>
      </c>
      <c r="I1005" s="6" t="s">
        <v>5425</v>
      </c>
      <c r="J1005" s="6" t="s">
        <v>5426</v>
      </c>
      <c r="K1005" s="6" t="s">
        <v>581</v>
      </c>
      <c r="L1005" s="10" t="s">
        <v>30</v>
      </c>
    </row>
    <row r="1006" ht="15.75" hidden="1" customHeight="1">
      <c r="A1006" s="6" t="s">
        <v>5427</v>
      </c>
      <c r="B1006" s="6" t="s">
        <v>5428</v>
      </c>
      <c r="C1006" s="6" t="s">
        <v>416</v>
      </c>
      <c r="D1006" s="6" t="s">
        <v>5429</v>
      </c>
      <c r="E1006" s="6" t="s">
        <v>22</v>
      </c>
      <c r="F1006" s="6" t="s">
        <v>3163</v>
      </c>
      <c r="G1006" s="6" t="s">
        <v>3834</v>
      </c>
      <c r="H1006" s="6" t="s">
        <v>3835</v>
      </c>
      <c r="I1006" s="6" t="s">
        <v>5430</v>
      </c>
      <c r="J1006" s="6" t="s">
        <v>5431</v>
      </c>
      <c r="K1006" s="6" t="s">
        <v>581</v>
      </c>
      <c r="L1006" s="10" t="s">
        <v>30</v>
      </c>
    </row>
    <row r="1007" ht="15.75" hidden="1" customHeight="1">
      <c r="A1007" s="6" t="s">
        <v>5432</v>
      </c>
      <c r="B1007" s="6" t="s">
        <v>5433</v>
      </c>
      <c r="C1007" s="6" t="s">
        <v>416</v>
      </c>
      <c r="D1007" s="6" t="s">
        <v>5434</v>
      </c>
      <c r="E1007" s="6" t="s">
        <v>22</v>
      </c>
      <c r="F1007" s="6" t="s">
        <v>3163</v>
      </c>
      <c r="G1007" s="6" t="s">
        <v>3834</v>
      </c>
      <c r="H1007" s="6" t="s">
        <v>3835</v>
      </c>
      <c r="I1007" s="6" t="s">
        <v>5435</v>
      </c>
      <c r="J1007" s="6" t="s">
        <v>5436</v>
      </c>
      <c r="K1007" s="6" t="s">
        <v>581</v>
      </c>
      <c r="L1007" s="10" t="s">
        <v>30</v>
      </c>
    </row>
    <row r="1008" ht="15.75" hidden="1" customHeight="1">
      <c r="A1008" s="6" t="s">
        <v>5437</v>
      </c>
      <c r="B1008" s="6" t="s">
        <v>5438</v>
      </c>
      <c r="C1008" s="6" t="s">
        <v>416</v>
      </c>
      <c r="D1008" s="6" t="s">
        <v>5439</v>
      </c>
      <c r="E1008" s="6" t="s">
        <v>22</v>
      </c>
      <c r="F1008" s="6" t="s">
        <v>3163</v>
      </c>
      <c r="G1008" s="6" t="s">
        <v>3834</v>
      </c>
      <c r="H1008" s="6" t="s">
        <v>3835</v>
      </c>
      <c r="I1008" s="6" t="s">
        <v>5440</v>
      </c>
      <c r="J1008" s="6" t="s">
        <v>5441</v>
      </c>
      <c r="K1008" s="6" t="s">
        <v>581</v>
      </c>
      <c r="L1008" s="10" t="s">
        <v>30</v>
      </c>
    </row>
    <row r="1009" ht="15.75" hidden="1" customHeight="1">
      <c r="A1009" s="6" t="s">
        <v>5442</v>
      </c>
      <c r="B1009" s="6" t="s">
        <v>5443</v>
      </c>
      <c r="C1009" s="6" t="s">
        <v>416</v>
      </c>
      <c r="D1009" s="6" t="s">
        <v>5444</v>
      </c>
      <c r="E1009" s="6" t="s">
        <v>22</v>
      </c>
      <c r="F1009" s="6" t="s">
        <v>3163</v>
      </c>
      <c r="G1009" s="6" t="s">
        <v>5445</v>
      </c>
      <c r="H1009" s="6" t="s">
        <v>5446</v>
      </c>
      <c r="I1009" s="6" t="s">
        <v>5447</v>
      </c>
      <c r="J1009" s="6" t="s">
        <v>5448</v>
      </c>
      <c r="K1009" s="6" t="s">
        <v>581</v>
      </c>
      <c r="L1009" s="10" t="s">
        <v>30</v>
      </c>
    </row>
    <row r="1010" ht="15.75" hidden="1" customHeight="1">
      <c r="A1010" s="6" t="s">
        <v>5449</v>
      </c>
      <c r="B1010" s="6" t="s">
        <v>5450</v>
      </c>
      <c r="C1010" s="6" t="s">
        <v>416</v>
      </c>
      <c r="D1010" s="6" t="s">
        <v>5451</v>
      </c>
      <c r="E1010" s="6" t="s">
        <v>331</v>
      </c>
      <c r="F1010" s="6" t="s">
        <v>1309</v>
      </c>
      <c r="G1010" s="6" t="s">
        <v>5386</v>
      </c>
      <c r="H1010" s="6" t="s">
        <v>5387</v>
      </c>
      <c r="I1010" s="6" t="s">
        <v>5452</v>
      </c>
      <c r="J1010" s="6" t="s">
        <v>5453</v>
      </c>
      <c r="K1010" s="6" t="s">
        <v>5454</v>
      </c>
      <c r="L1010" s="10" t="s">
        <v>609</v>
      </c>
    </row>
    <row r="1011" ht="15.75" hidden="1" customHeight="1">
      <c r="A1011" s="6" t="s">
        <v>5455</v>
      </c>
      <c r="B1011" s="6" t="s">
        <v>5456</v>
      </c>
      <c r="C1011" s="6" t="s">
        <v>416</v>
      </c>
      <c r="D1011" s="6" t="s">
        <v>5457</v>
      </c>
      <c r="E1011" s="6" t="s">
        <v>331</v>
      </c>
      <c r="F1011" s="6" t="s">
        <v>1309</v>
      </c>
      <c r="G1011" s="6" t="s">
        <v>5386</v>
      </c>
      <c r="H1011" s="6" t="s">
        <v>5387</v>
      </c>
      <c r="I1011" s="6" t="s">
        <v>5458</v>
      </c>
      <c r="J1011" s="6" t="s">
        <v>5459</v>
      </c>
      <c r="K1011" s="6" t="s">
        <v>5454</v>
      </c>
      <c r="L1011" s="10" t="s">
        <v>609</v>
      </c>
    </row>
    <row r="1012" ht="15.75" hidden="1" customHeight="1">
      <c r="A1012" s="6" t="s">
        <v>5460</v>
      </c>
      <c r="B1012" s="6" t="s">
        <v>5461</v>
      </c>
      <c r="C1012" s="6" t="s">
        <v>416</v>
      </c>
      <c r="D1012" s="6" t="s">
        <v>5462</v>
      </c>
      <c r="E1012" s="6" t="s">
        <v>331</v>
      </c>
      <c r="F1012" s="6" t="s">
        <v>1309</v>
      </c>
      <c r="G1012" s="6" t="s">
        <v>5386</v>
      </c>
      <c r="H1012" s="6" t="s">
        <v>5387</v>
      </c>
      <c r="I1012" s="6" t="s">
        <v>5463</v>
      </c>
      <c r="J1012" s="6" t="s">
        <v>5464</v>
      </c>
      <c r="K1012" s="6" t="s">
        <v>581</v>
      </c>
      <c r="L1012" s="10" t="s">
        <v>30</v>
      </c>
    </row>
    <row r="1013" ht="15.75" hidden="1" customHeight="1">
      <c r="A1013" s="6" t="s">
        <v>5465</v>
      </c>
      <c r="B1013" s="6" t="s">
        <v>5466</v>
      </c>
      <c r="C1013" s="6" t="s">
        <v>416</v>
      </c>
      <c r="D1013" s="6" t="s">
        <v>5467</v>
      </c>
      <c r="E1013" s="6" t="s">
        <v>331</v>
      </c>
      <c r="F1013" s="6" t="s">
        <v>1309</v>
      </c>
      <c r="G1013" s="6" t="s">
        <v>5386</v>
      </c>
      <c r="H1013" s="6" t="s">
        <v>5387</v>
      </c>
      <c r="I1013" s="6" t="s">
        <v>5468</v>
      </c>
      <c r="J1013" s="6" t="s">
        <v>5469</v>
      </c>
      <c r="K1013" s="6" t="s">
        <v>5470</v>
      </c>
      <c r="L1013" s="10" t="s">
        <v>609</v>
      </c>
    </row>
    <row r="1014" ht="15.75" hidden="1" customHeight="1">
      <c r="A1014" s="6" t="s">
        <v>5471</v>
      </c>
      <c r="B1014" s="6" t="s">
        <v>5472</v>
      </c>
      <c r="C1014" s="6" t="s">
        <v>416</v>
      </c>
      <c r="D1014" s="6" t="s">
        <v>5473</v>
      </c>
      <c r="E1014" s="6" t="s">
        <v>331</v>
      </c>
      <c r="F1014" s="6" t="s">
        <v>1309</v>
      </c>
      <c r="G1014" s="6" t="s">
        <v>5386</v>
      </c>
      <c r="H1014" s="6" t="s">
        <v>5387</v>
      </c>
      <c r="I1014" s="6" t="s">
        <v>5474</v>
      </c>
      <c r="J1014" s="6" t="s">
        <v>5475</v>
      </c>
      <c r="K1014" s="6" t="s">
        <v>5470</v>
      </c>
      <c r="L1014" s="10" t="s">
        <v>609</v>
      </c>
    </row>
    <row r="1015" ht="15.75" hidden="1" customHeight="1">
      <c r="A1015" s="6" t="s">
        <v>5476</v>
      </c>
      <c r="B1015" s="6" t="s">
        <v>5477</v>
      </c>
      <c r="C1015" s="6" t="s">
        <v>416</v>
      </c>
      <c r="D1015" s="6" t="s">
        <v>5478</v>
      </c>
      <c r="E1015" s="6" t="s">
        <v>331</v>
      </c>
      <c r="F1015" s="6" t="s">
        <v>1309</v>
      </c>
      <c r="G1015" s="6" t="s">
        <v>5386</v>
      </c>
      <c r="H1015" s="6" t="s">
        <v>5387</v>
      </c>
      <c r="I1015" s="6" t="s">
        <v>5479</v>
      </c>
      <c r="J1015" s="6" t="s">
        <v>5480</v>
      </c>
      <c r="K1015" s="6" t="s">
        <v>5470</v>
      </c>
      <c r="L1015" s="10" t="s">
        <v>609</v>
      </c>
    </row>
    <row r="1016" ht="15.75" hidden="1" customHeight="1">
      <c r="A1016" s="6" t="s">
        <v>5481</v>
      </c>
      <c r="B1016" s="6" t="s">
        <v>5482</v>
      </c>
      <c r="C1016" s="6" t="s">
        <v>416</v>
      </c>
      <c r="D1016" s="6" t="s">
        <v>5483</v>
      </c>
      <c r="E1016" s="6" t="s">
        <v>331</v>
      </c>
      <c r="F1016" s="6" t="s">
        <v>1309</v>
      </c>
      <c r="G1016" s="6" t="s">
        <v>5386</v>
      </c>
      <c r="H1016" s="6" t="s">
        <v>5387</v>
      </c>
      <c r="I1016" s="6" t="s">
        <v>5484</v>
      </c>
      <c r="J1016" s="6" t="s">
        <v>5485</v>
      </c>
      <c r="K1016" s="6" t="s">
        <v>5470</v>
      </c>
      <c r="L1016" s="10" t="s">
        <v>609</v>
      </c>
    </row>
    <row r="1017" ht="15.75" hidden="1" customHeight="1">
      <c r="A1017" s="6" t="s">
        <v>5486</v>
      </c>
      <c r="B1017" s="6" t="s">
        <v>5487</v>
      </c>
      <c r="C1017" s="6" t="s">
        <v>416</v>
      </c>
      <c r="D1017" s="6" t="s">
        <v>5488</v>
      </c>
      <c r="E1017" s="6" t="s">
        <v>35</v>
      </c>
      <c r="F1017" s="6" t="s">
        <v>787</v>
      </c>
      <c r="G1017" s="6" t="s">
        <v>2486</v>
      </c>
      <c r="H1017" s="6" t="s">
        <v>2487</v>
      </c>
      <c r="I1017" s="6" t="s">
        <v>5489</v>
      </c>
      <c r="J1017" s="6" t="s">
        <v>5490</v>
      </c>
      <c r="K1017" s="6" t="s">
        <v>5491</v>
      </c>
      <c r="L1017" s="10" t="s">
        <v>609</v>
      </c>
    </row>
  </sheetData>
  <autoFilter ref="$A$1:$L$1017">
    <filterColumn colId="10">
      <filters>
        <filter val="Cloud, Supply Chain/Third Party"/>
        <filter val="Network, Infrastructure (Server/OS), Cloud"/>
        <filter val="Network, Cloud, Identity &amp; Access Management"/>
        <filter val="Infrastructure (Server/OS), Cloud"/>
        <filter val="Cryptography/PKI, Infrastructure (Server/OS), Cloud"/>
        <filter val="Identity &amp; Access Management, Application/Software, Cloud"/>
        <filter val="Identity &amp; Access Management, Infrastructure (Server/OS), Database, Cloud"/>
        <filter val="Infrastructure (Server/OS), Network, Application/Software, Cloud, Database"/>
        <filter val="Identity &amp; Access Management, Infrastructure (Server/OS), Network, Cloud"/>
        <filter val="Cloud, Network"/>
        <filter val="Infrastructure (Server/OS), Network, Cloud"/>
        <filter val="Network, Cloud"/>
        <filter val="Identity &amp; Access Management, Cloud"/>
        <filter val="Database, Infrastructure (Server/OS), Cloud, Backup/DR/Resilience"/>
        <filter val="Infrastructure (Server/OS), Cloud, Network"/>
        <filter val="Identity &amp; Access Management, Cloud, Database"/>
        <filter val="Data Protection/Storage, Cloud"/>
        <filter val="Infrastructure (Server/OS), Network, Cloud, Database"/>
      </filters>
    </filterColumn>
  </autoFilter>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44.0"/>
    <col customWidth="1" min="2" max="5" width="16.0"/>
    <col customWidth="1" min="6" max="26" width="8.5"/>
  </cols>
  <sheetData>
    <row r="1">
      <c r="A1" s="1" t="s">
        <v>1</v>
      </c>
      <c r="B1" s="1" t="s">
        <v>3</v>
      </c>
      <c r="C1" s="1" t="s">
        <v>4</v>
      </c>
      <c r="D1" s="1" t="s">
        <v>5</v>
      </c>
      <c r="E1" s="1" t="s">
        <v>6</v>
      </c>
    </row>
    <row r="2">
      <c r="A2" s="4" t="s">
        <v>7</v>
      </c>
      <c r="B2" s="4">
        <f>COUNTIFS('Config Baseline'!$C:$C,$A2,'Config Baseline'!$L:$L,"Level 1*")</f>
        <v>22</v>
      </c>
      <c r="C2" s="4">
        <f>COUNTIFS('Config Baseline'!$C:$C,$A2,'Config Baseline'!$L:$L,"Level 2*")</f>
        <v>75</v>
      </c>
      <c r="D2" s="4">
        <f>COUNTIFS('Config Baseline'!$C:$C,$A2,'Config Baseline'!$L:$L,"Level 3*")</f>
        <v>30</v>
      </c>
      <c r="E2" s="4">
        <f t="shared" ref="E2:E21" si="1">SUM(B2:D2)</f>
        <v>127</v>
      </c>
    </row>
    <row r="3">
      <c r="A3" s="4" t="s">
        <v>31</v>
      </c>
      <c r="B3" s="4">
        <f>COUNTIFS('Config Baseline'!$C:$C,$A3,'Config Baseline'!$L:$L,"Level 1*")</f>
        <v>0</v>
      </c>
      <c r="C3" s="4">
        <f>COUNTIFS('Config Baseline'!$C:$C,$A3,'Config Baseline'!$L:$L,"Level 2*")</f>
        <v>0</v>
      </c>
      <c r="D3" s="4">
        <f>COUNTIFS('Config Baseline'!$C:$C,$A3,'Config Baseline'!$L:$L,"Level 3*")</f>
        <v>16</v>
      </c>
      <c r="E3" s="4">
        <f t="shared" si="1"/>
        <v>16</v>
      </c>
    </row>
    <row r="4">
      <c r="A4" s="4" t="s">
        <v>48</v>
      </c>
      <c r="B4" s="4">
        <f>COUNTIFS('Config Baseline'!$C:$C,$A4,'Config Baseline'!$L:$L,"Level 1*")</f>
        <v>12</v>
      </c>
      <c r="C4" s="4">
        <f>COUNTIFS('Config Baseline'!$C:$C,$A4,'Config Baseline'!$L:$L,"Level 2*")</f>
        <v>19</v>
      </c>
      <c r="D4" s="4">
        <f>COUNTIFS('Config Baseline'!$C:$C,$A4,'Config Baseline'!$L:$L,"Level 3*")</f>
        <v>26</v>
      </c>
      <c r="E4" s="4">
        <f t="shared" si="1"/>
        <v>57</v>
      </c>
    </row>
    <row r="5">
      <c r="A5" s="4" t="s">
        <v>57</v>
      </c>
      <c r="B5" s="4">
        <f>COUNTIFS('Config Baseline'!$C:$C,$A5,'Config Baseline'!$L:$L,"Level 1*")</f>
        <v>0</v>
      </c>
      <c r="C5" s="4">
        <f>COUNTIFS('Config Baseline'!$C:$C,$A5,'Config Baseline'!$L:$L,"Level 2*")</f>
        <v>3</v>
      </c>
      <c r="D5" s="4">
        <f>COUNTIFS('Config Baseline'!$C:$C,$A5,'Config Baseline'!$L:$L,"Level 3*")</f>
        <v>22</v>
      </c>
      <c r="E5" s="4">
        <f t="shared" si="1"/>
        <v>25</v>
      </c>
    </row>
    <row r="6">
      <c r="A6" s="4" t="s">
        <v>75</v>
      </c>
      <c r="B6" s="4">
        <f>COUNTIFS('Config Baseline'!$C:$C,$A6,'Config Baseline'!$L:$L,"Level 1*")</f>
        <v>8</v>
      </c>
      <c r="C6" s="4">
        <f>COUNTIFS('Config Baseline'!$C:$C,$A6,'Config Baseline'!$L:$L,"Level 2*")</f>
        <v>37</v>
      </c>
      <c r="D6" s="4">
        <f>COUNTIFS('Config Baseline'!$C:$C,$A6,'Config Baseline'!$L:$L,"Level 3*")</f>
        <v>12</v>
      </c>
      <c r="E6" s="4">
        <f t="shared" si="1"/>
        <v>57</v>
      </c>
    </row>
    <row r="7">
      <c r="A7" s="4" t="s">
        <v>90</v>
      </c>
      <c r="B7" s="4">
        <f>COUNTIFS('Config Baseline'!$C:$C,$A7,'Config Baseline'!$L:$L,"Level 1*")</f>
        <v>3</v>
      </c>
      <c r="C7" s="4">
        <f>COUNTIFS('Config Baseline'!$C:$C,$A7,'Config Baseline'!$L:$L,"Level 2*")</f>
        <v>9</v>
      </c>
      <c r="D7" s="4">
        <f>COUNTIFS('Config Baseline'!$C:$C,$A7,'Config Baseline'!$L:$L,"Level 3*")</f>
        <v>37</v>
      </c>
      <c r="E7" s="4">
        <f t="shared" si="1"/>
        <v>49</v>
      </c>
    </row>
    <row r="8">
      <c r="A8" s="4" t="s">
        <v>112</v>
      </c>
      <c r="B8" s="4">
        <f>COUNTIFS('Config Baseline'!$C:$C,$A8,'Config Baseline'!$L:$L,"Level 1*")</f>
        <v>7</v>
      </c>
      <c r="C8" s="4">
        <f>COUNTIFS('Config Baseline'!$C:$C,$A8,'Config Baseline'!$L:$L,"Level 2*")</f>
        <v>36</v>
      </c>
      <c r="D8" s="4">
        <f>COUNTIFS('Config Baseline'!$C:$C,$A8,'Config Baseline'!$L:$L,"Level 3*")</f>
        <v>18</v>
      </c>
      <c r="E8" s="4">
        <f t="shared" si="1"/>
        <v>61</v>
      </c>
    </row>
    <row r="9">
      <c r="A9" s="4" t="s">
        <v>137</v>
      </c>
      <c r="B9" s="4">
        <f>COUNTIFS('Config Baseline'!$C:$C,$A9,'Config Baseline'!$L:$L,"Level 1*")</f>
        <v>0</v>
      </c>
      <c r="C9" s="4">
        <f>COUNTIFS('Config Baseline'!$C:$C,$A9,'Config Baseline'!$L:$L,"Level 2*")</f>
        <v>1</v>
      </c>
      <c r="D9" s="4">
        <f>COUNTIFS('Config Baseline'!$C:$C,$A9,'Config Baseline'!$L:$L,"Level 3*")</f>
        <v>38</v>
      </c>
      <c r="E9" s="4">
        <f t="shared" si="1"/>
        <v>39</v>
      </c>
    </row>
    <row r="10">
      <c r="A10" s="4" t="s">
        <v>156</v>
      </c>
      <c r="B10" s="4">
        <f>COUNTIFS('Config Baseline'!$C:$C,$A10,'Config Baseline'!$L:$L,"Level 1*")</f>
        <v>3</v>
      </c>
      <c r="C10" s="4">
        <f>COUNTIFS('Config Baseline'!$C:$C,$A10,'Config Baseline'!$L:$L,"Level 2*")</f>
        <v>4</v>
      </c>
      <c r="D10" s="4">
        <f>COUNTIFS('Config Baseline'!$C:$C,$A10,'Config Baseline'!$L:$L,"Level 3*")</f>
        <v>21</v>
      </c>
      <c r="E10" s="4">
        <f t="shared" si="1"/>
        <v>28</v>
      </c>
    </row>
    <row r="11">
      <c r="A11" s="4" t="s">
        <v>183</v>
      </c>
      <c r="B11" s="4">
        <f>COUNTIFS('Config Baseline'!$C:$C,$A11,'Config Baseline'!$L:$L,"Level 1*")</f>
        <v>0</v>
      </c>
      <c r="C11" s="4">
        <f>COUNTIFS('Config Baseline'!$C:$C,$A11,'Config Baseline'!$L:$L,"Level 2*")</f>
        <v>6</v>
      </c>
      <c r="D11" s="4">
        <f>COUNTIFS('Config Baseline'!$C:$C,$A11,'Config Baseline'!$L:$L,"Level 3*")</f>
        <v>14</v>
      </c>
      <c r="E11" s="4">
        <f t="shared" si="1"/>
        <v>20</v>
      </c>
    </row>
    <row r="12">
      <c r="A12" s="4" t="s">
        <v>203</v>
      </c>
      <c r="B12" s="4">
        <f>COUNTIFS('Config Baseline'!$C:$C,$A12,'Config Baseline'!$L:$L,"Level 1*")</f>
        <v>0</v>
      </c>
      <c r="C12" s="4">
        <f>COUNTIFS('Config Baseline'!$C:$C,$A12,'Config Baseline'!$L:$L,"Level 2*")</f>
        <v>0</v>
      </c>
      <c r="D12" s="4">
        <f>COUNTIFS('Config Baseline'!$C:$C,$A12,'Config Baseline'!$L:$L,"Level 3*")</f>
        <v>50</v>
      </c>
      <c r="E12" s="4">
        <f t="shared" si="1"/>
        <v>50</v>
      </c>
    </row>
    <row r="13">
      <c r="A13" s="4" t="s">
        <v>227</v>
      </c>
      <c r="B13" s="4">
        <f>COUNTIFS('Config Baseline'!$C:$C,$A13,'Config Baseline'!$L:$L,"Level 1*")</f>
        <v>0</v>
      </c>
      <c r="C13" s="4">
        <f>COUNTIFS('Config Baseline'!$C:$C,$A13,'Config Baseline'!$L:$L,"Level 2*")</f>
        <v>1</v>
      </c>
      <c r="D13" s="4">
        <f>COUNTIFS('Config Baseline'!$C:$C,$A13,'Config Baseline'!$L:$L,"Level 3*")</f>
        <v>10</v>
      </c>
      <c r="E13" s="4">
        <f t="shared" si="1"/>
        <v>11</v>
      </c>
    </row>
    <row r="14">
      <c r="A14" s="4" t="s">
        <v>242</v>
      </c>
      <c r="B14" s="4">
        <f>COUNTIFS('Config Baseline'!$C:$C,$A14,'Config Baseline'!$L:$L,"Level 1*")</f>
        <v>0</v>
      </c>
      <c r="C14" s="4">
        <f>COUNTIFS('Config Baseline'!$C:$C,$A14,'Config Baseline'!$L:$L,"Level 2*")</f>
        <v>0</v>
      </c>
      <c r="D14" s="4">
        <f>COUNTIFS('Config Baseline'!$C:$C,$A14,'Config Baseline'!$L:$L,"Level 3*")</f>
        <v>37</v>
      </c>
      <c r="E14" s="4">
        <f t="shared" si="1"/>
        <v>37</v>
      </c>
    </row>
    <row r="15">
      <c r="A15" s="4" t="s">
        <v>263</v>
      </c>
      <c r="B15" s="4">
        <f>COUNTIFS('Config Baseline'!$C:$C,$A15,'Config Baseline'!$L:$L,"Level 1*")</f>
        <v>0</v>
      </c>
      <c r="C15" s="4">
        <f>COUNTIFS('Config Baseline'!$C:$C,$A15,'Config Baseline'!$L:$L,"Level 2*")</f>
        <v>2</v>
      </c>
      <c r="D15" s="4">
        <f>COUNTIFS('Config Baseline'!$C:$C,$A15,'Config Baseline'!$L:$L,"Level 3*")</f>
        <v>15</v>
      </c>
      <c r="E15" s="4">
        <f t="shared" si="1"/>
        <v>17</v>
      </c>
    </row>
    <row r="16">
      <c r="A16" s="4" t="s">
        <v>285</v>
      </c>
      <c r="B16" s="4">
        <f>COUNTIFS('Config Baseline'!$C:$C,$A16,'Config Baseline'!$L:$L,"Level 1*")</f>
        <v>0</v>
      </c>
      <c r="C16" s="4">
        <f>COUNTIFS('Config Baseline'!$C:$C,$A16,'Config Baseline'!$L:$L,"Level 2*")</f>
        <v>0</v>
      </c>
      <c r="D16" s="4">
        <f>COUNTIFS('Config Baseline'!$C:$C,$A16,'Config Baseline'!$L:$L,"Level 3*")</f>
        <v>21</v>
      </c>
      <c r="E16" s="4">
        <f t="shared" si="1"/>
        <v>21</v>
      </c>
    </row>
    <row r="17">
      <c r="A17" s="4" t="s">
        <v>314</v>
      </c>
      <c r="B17" s="4">
        <f>COUNTIFS('Config Baseline'!$C:$C,$A17,'Config Baseline'!$L:$L,"Level 1*")</f>
        <v>3</v>
      </c>
      <c r="C17" s="4">
        <f>COUNTIFS('Config Baseline'!$C:$C,$A17,'Config Baseline'!$L:$L,"Level 2*")</f>
        <v>7</v>
      </c>
      <c r="D17" s="4">
        <f>COUNTIFS('Config Baseline'!$C:$C,$A17,'Config Baseline'!$L:$L,"Level 3*")</f>
        <v>12</v>
      </c>
      <c r="E17" s="4">
        <f t="shared" si="1"/>
        <v>22</v>
      </c>
    </row>
    <row r="18">
      <c r="A18" s="4" t="s">
        <v>352</v>
      </c>
      <c r="B18" s="4">
        <f>COUNTIFS('Config Baseline'!$C:$C,$A18,'Config Baseline'!$L:$L,"Level 1*")</f>
        <v>0</v>
      </c>
      <c r="C18" s="4">
        <f>COUNTIFS('Config Baseline'!$C:$C,$A18,'Config Baseline'!$L:$L,"Level 2*")</f>
        <v>8</v>
      </c>
      <c r="D18" s="4">
        <f>COUNTIFS('Config Baseline'!$C:$C,$A18,'Config Baseline'!$L:$L,"Level 3*")</f>
        <v>101</v>
      </c>
      <c r="E18" s="4">
        <f t="shared" si="1"/>
        <v>109</v>
      </c>
    </row>
    <row r="19">
      <c r="A19" s="4" t="s">
        <v>389</v>
      </c>
      <c r="B19" s="4">
        <f>COUNTIFS('Config Baseline'!$C:$C,$A19,'Config Baseline'!$L:$L,"Level 1*")</f>
        <v>17</v>
      </c>
      <c r="C19" s="4">
        <f>COUNTIFS('Config Baseline'!$C:$C,$A19,'Config Baseline'!$L:$L,"Level 2*")</f>
        <v>56</v>
      </c>
      <c r="D19" s="4">
        <f>COUNTIFS('Config Baseline'!$C:$C,$A19,'Config Baseline'!$L:$L,"Level 3*")</f>
        <v>65</v>
      </c>
      <c r="E19" s="4">
        <f t="shared" si="1"/>
        <v>138</v>
      </c>
    </row>
    <row r="20">
      <c r="A20" s="4" t="s">
        <v>400</v>
      </c>
      <c r="B20" s="4">
        <f>COUNTIFS('Config Baseline'!$C:$C,$A20,'Config Baseline'!$L:$L,"Level 1*")</f>
        <v>18</v>
      </c>
      <c r="C20" s="4">
        <f>COUNTIFS('Config Baseline'!$C:$C,$A20,'Config Baseline'!$L:$L,"Level 2*")</f>
        <v>47</v>
      </c>
      <c r="D20" s="4">
        <f>COUNTIFS('Config Baseline'!$C:$C,$A20,'Config Baseline'!$L:$L,"Level 3*")</f>
        <v>40</v>
      </c>
      <c r="E20" s="4">
        <f t="shared" si="1"/>
        <v>105</v>
      </c>
    </row>
    <row r="21" ht="15.75" customHeight="1">
      <c r="A21" s="4" t="s">
        <v>416</v>
      </c>
      <c r="B21" s="4">
        <f>COUNTIFS('Config Baseline'!$C:$C,$A21,'Config Baseline'!$L:$L,"Level 1*")</f>
        <v>0</v>
      </c>
      <c r="C21" s="4">
        <f>COUNTIFS('Config Baseline'!$C:$C,$A21,'Config Baseline'!$L:$L,"Level 2*")</f>
        <v>0</v>
      </c>
      <c r="D21" s="4">
        <f>COUNTIFS('Config Baseline'!$C:$C,$A21,'Config Baseline'!$L:$L,"Level 3*")</f>
        <v>27</v>
      </c>
      <c r="E21" s="4">
        <f t="shared" si="1"/>
        <v>27</v>
      </c>
    </row>
    <row r="22" ht="15.75" customHeight="1">
      <c r="A22" s="15" t="s">
        <v>6</v>
      </c>
      <c r="B22" s="15">
        <f t="shared" ref="B22:E22" si="2">SUM(B2:B21)</f>
        <v>93</v>
      </c>
      <c r="C22" s="15">
        <f t="shared" si="2"/>
        <v>311</v>
      </c>
      <c r="D22" s="15">
        <f t="shared" si="2"/>
        <v>612</v>
      </c>
      <c r="E22" s="15">
        <f t="shared" si="2"/>
        <v>1016</v>
      </c>
    </row>
    <row r="23" ht="15.75" customHeight="1">
      <c r="A23" s="16"/>
      <c r="B23" s="16"/>
      <c r="C23" s="16"/>
      <c r="D23" s="16"/>
      <c r="E23" s="16"/>
    </row>
    <row r="24" ht="15.75" customHeight="1">
      <c r="A24" s="1" t="s">
        <v>457</v>
      </c>
      <c r="B24" s="1" t="s">
        <v>458</v>
      </c>
      <c r="C24" s="1" t="s">
        <v>3</v>
      </c>
      <c r="D24" s="16"/>
      <c r="E24" s="16"/>
    </row>
    <row r="25" ht="15.75" customHeight="1">
      <c r="A25" s="4" t="s">
        <v>459</v>
      </c>
      <c r="B25" s="4">
        <f>COUNTIF('Config Baseline'!$K:$K,"*"&amp;$A25&amp;"*")</f>
        <v>301</v>
      </c>
      <c r="C25" s="4">
        <f>COUNTIFS('Config Baseline'!$K:$K,"*"&amp;$A25&amp;"*",'Config Baseline'!$L:$L,"Level 1*")</f>
        <v>58</v>
      </c>
      <c r="D25" s="16"/>
      <c r="E25" s="16"/>
    </row>
    <row r="26" ht="15.75" customHeight="1">
      <c r="A26" s="4" t="s">
        <v>470</v>
      </c>
      <c r="B26" s="4">
        <f>COUNTIF('Config Baseline'!$K:$K,"*"&amp;$A26&amp;"*")</f>
        <v>216</v>
      </c>
      <c r="C26" s="4">
        <f>COUNTIFS('Config Baseline'!$K:$K,"*"&amp;$A26&amp;"*",'Config Baseline'!$L:$L,"Level 1*")</f>
        <v>39</v>
      </c>
      <c r="D26" s="16"/>
      <c r="E26" s="16"/>
    </row>
    <row r="27" ht="15.75" customHeight="1">
      <c r="A27" s="4" t="s">
        <v>482</v>
      </c>
      <c r="B27" s="4">
        <f>COUNTIF('Config Baseline'!$K:$K,"*"&amp;$A27&amp;"*")</f>
        <v>113</v>
      </c>
      <c r="C27" s="4">
        <f>COUNTIFS('Config Baseline'!$K:$K,"*"&amp;$A27&amp;"*",'Config Baseline'!$L:$L,"Level 1*")</f>
        <v>25</v>
      </c>
      <c r="D27" s="16"/>
      <c r="E27" s="16"/>
    </row>
    <row r="28" ht="15.75" customHeight="1">
      <c r="A28" s="4" t="s">
        <v>497</v>
      </c>
      <c r="B28" s="4">
        <f>COUNTIF('Config Baseline'!$K:$K,"*"&amp;$A28&amp;"*")</f>
        <v>337</v>
      </c>
      <c r="C28" s="4">
        <f>COUNTIFS('Config Baseline'!$K:$K,"*"&amp;$A28&amp;"*",'Config Baseline'!$L:$L,"Level 1*")</f>
        <v>57</v>
      </c>
      <c r="D28" s="16"/>
      <c r="E28" s="16"/>
    </row>
    <row r="29" ht="15.75" customHeight="1">
      <c r="A29" s="4" t="s">
        <v>509</v>
      </c>
      <c r="B29" s="4">
        <f>COUNTIF('Config Baseline'!$K:$K,"*"&amp;$A29&amp;"*")</f>
        <v>119</v>
      </c>
      <c r="C29" s="4">
        <f>COUNTIFS('Config Baseline'!$K:$K,"*"&amp;$A29&amp;"*",'Config Baseline'!$L:$L,"Level 1*")</f>
        <v>21</v>
      </c>
      <c r="D29" s="16"/>
      <c r="E29" s="16"/>
    </row>
    <row r="30" ht="15.75" customHeight="1">
      <c r="A30" s="4" t="s">
        <v>521</v>
      </c>
      <c r="B30" s="4">
        <f>COUNTIF('Config Baseline'!$K:$K,"*"&amp;$A30&amp;"*")</f>
        <v>235</v>
      </c>
      <c r="C30" s="4">
        <f>COUNTIFS('Config Baseline'!$K:$K,"*"&amp;$A30&amp;"*",'Config Baseline'!$L:$L,"Level 1*")</f>
        <v>23</v>
      </c>
      <c r="D30" s="16"/>
      <c r="E30" s="16"/>
    </row>
    <row r="31" ht="15.75" customHeight="1">
      <c r="A31" s="4" t="s">
        <v>527</v>
      </c>
      <c r="B31" s="4">
        <f>COUNTIF('Config Baseline'!$K:$K,"*"&amp;$A31&amp;"*")</f>
        <v>45</v>
      </c>
      <c r="C31" s="4">
        <f>COUNTIFS('Config Baseline'!$K:$K,"*"&amp;$A31&amp;"*",'Config Baseline'!$L:$L,"Level 1*")</f>
        <v>8</v>
      </c>
      <c r="D31" s="16"/>
      <c r="E31" s="16"/>
    </row>
    <row r="32" ht="15.75" customHeight="1">
      <c r="A32" s="4" t="s">
        <v>528</v>
      </c>
      <c r="B32" s="4">
        <f>COUNTIF('Config Baseline'!$K:$K,"*"&amp;$A32&amp;"*")</f>
        <v>53</v>
      </c>
      <c r="C32" s="4">
        <f>COUNTIFS('Config Baseline'!$K:$K,"*"&amp;$A32&amp;"*",'Config Baseline'!$L:$L,"Level 1*")</f>
        <v>0</v>
      </c>
      <c r="D32" s="16"/>
      <c r="E32" s="16"/>
    </row>
    <row r="33" ht="15.75" customHeight="1">
      <c r="A33" s="4" t="s">
        <v>534</v>
      </c>
      <c r="B33" s="4">
        <f>COUNTIF('Config Baseline'!$K:$K,"*"&amp;$A33&amp;"*")</f>
        <v>100</v>
      </c>
      <c r="C33" s="4">
        <f>COUNTIFS('Config Baseline'!$K:$K,"*"&amp;$A33&amp;"*",'Config Baseline'!$L:$L,"Level 1*")</f>
        <v>14</v>
      </c>
      <c r="D33" s="16"/>
      <c r="E33" s="16"/>
    </row>
    <row r="34" ht="15.75" customHeight="1">
      <c r="A34" s="4" t="s">
        <v>540</v>
      </c>
      <c r="B34" s="4">
        <f>COUNTIF('Config Baseline'!$K:$K,"*"&amp;$A34&amp;"*")</f>
        <v>22</v>
      </c>
      <c r="C34" s="4">
        <f>COUNTIFS('Config Baseline'!$K:$K,"*"&amp;$A34&amp;"*",'Config Baseline'!$L:$L,"Level 1*")</f>
        <v>6</v>
      </c>
      <c r="D34" s="16"/>
      <c r="E34" s="16"/>
    </row>
    <row r="35" ht="15.75" customHeight="1">
      <c r="A35" s="4" t="s">
        <v>551</v>
      </c>
      <c r="B35" s="4">
        <f>COUNTIF('Config Baseline'!$K:$K,"*"&amp;$A35&amp;"*")</f>
        <v>62</v>
      </c>
      <c r="C35" s="4">
        <f>COUNTIFS('Config Baseline'!$K:$K,"*"&amp;$A35&amp;"*",'Config Baseline'!$L:$L,"Level 1*")</f>
        <v>3</v>
      </c>
      <c r="D35" s="16"/>
      <c r="E35" s="16"/>
    </row>
    <row r="36" ht="15.75" customHeight="1">
      <c r="A36" s="4" t="s">
        <v>562</v>
      </c>
      <c r="B36" s="4">
        <f>COUNTIF('Config Baseline'!$K:$K,"*"&amp;$A36&amp;"*")</f>
        <v>33</v>
      </c>
      <c r="C36" s="4">
        <f>COUNTIFS('Config Baseline'!$K:$K,"*"&amp;$A36&amp;"*",'Config Baseline'!$L:$L,"Level 1*")</f>
        <v>3</v>
      </c>
      <c r="D36" s="16"/>
      <c r="E36" s="16"/>
    </row>
    <row r="37" ht="15.75" customHeight="1">
      <c r="A37" s="4" t="s">
        <v>29</v>
      </c>
      <c r="B37" s="4">
        <f>COUNTIF('Config Baseline'!$K:$K,"*"&amp;$A37&amp;"*")</f>
        <v>160</v>
      </c>
      <c r="C37" s="4">
        <f>COUNTIFS('Config Baseline'!$K:$K,"*"&amp;$A37&amp;"*",'Config Baseline'!$L:$L,"Level 1*")</f>
        <v>0</v>
      </c>
      <c r="D37" s="16"/>
      <c r="E37" s="16"/>
    </row>
    <row r="38" ht="15.75" customHeight="1">
      <c r="A38" s="4" t="s">
        <v>581</v>
      </c>
      <c r="B38" s="4">
        <f>COUNTIF('Config Baseline'!$K:$K,"*"&amp;$A38&amp;"*")</f>
        <v>32</v>
      </c>
      <c r="C38" s="4">
        <f>COUNTIFS('Config Baseline'!$K:$K,"*"&amp;$A38&amp;"*",'Config Baseline'!$L:$L,"Level 1*")</f>
        <v>0</v>
      </c>
      <c r="D38" s="16"/>
      <c r="E38" s="16"/>
    </row>
    <row r="39" ht="15.75" customHeight="1">
      <c r="A39" s="4" t="s">
        <v>587</v>
      </c>
      <c r="B39" s="4">
        <f>COUNTIF('Config Baseline'!$K:$K,"*"&amp;$A39&amp;"*")</f>
        <v>20</v>
      </c>
      <c r="C39" s="4">
        <f>COUNTIFS('Config Baseline'!$K:$K,"*"&amp;$A39&amp;"*",'Config Baseline'!$L:$L,"Level 1*")</f>
        <v>0</v>
      </c>
      <c r="D39" s="16"/>
      <c r="E39" s="16"/>
    </row>
    <row r="40" ht="15.75" customHeight="1">
      <c r="A40" s="16"/>
      <c r="B40" s="16"/>
      <c r="C40" s="16"/>
      <c r="D40" s="16"/>
      <c r="E40" s="16"/>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