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roduction" sheetId="1" state="visible" r:id="rId3"/>
    <sheet name="Config Baseline" sheetId="2" state="visible" r:id="rId4"/>
    <sheet name="Summary" sheetId="3" state="visible" r:id="rId5"/>
    <sheet name="Domain Summary" sheetId="4" state="visible" r:id="rId6"/>
    <sheet name="Baseline Summary" sheetId="5" state="visible" r:id="rId7"/>
    <sheet name="Cloud Config Baseline" sheetId="6" state="visible" r:id="rId8"/>
    <sheet name="Network Config Baseline" sheetId="7" state="visible" r:id="rId9"/>
    <sheet name="Identity Config Baseline" sheetId="8" state="visible" r:id="rId10"/>
    <sheet name="Monitoring Config Baseline" sheetId="9" state="visible" r:id="rId11"/>
    <sheet name="Database Config Baseline" sheetId="10" state="visible" r:id="rId12"/>
    <sheet name="Application Config Baseline" sheetId="11" state="visible" r:id="rId13"/>
    <sheet name="Backup Config Baseline" sheetId="12" state="visible" r:id="rId14"/>
    <sheet name="Governance Config Baseline" sheetId="13" state="visible" r:id="rId15"/>
    <sheet name="Physical Config Baseline" sheetId="14" state="visible" r:id="rId16"/>
    <sheet name="Third Party Config Baseline" sheetId="15" state="visible" r:id="rId17"/>
    <sheet name="Cloud Coverage Check" sheetId="16" state="visible" r:id="rId18"/>
    <sheet name="Helper" sheetId="17" state="hidden" r:id="rId19"/>
  </sheets>
  <definedNames>
    <definedName function="false" hidden="true" localSheetId="10" name="_xlnm._FilterDatabase" vbProcedure="false">'Application Config Baseline'!$A$27:$J$117</definedName>
    <definedName function="false" hidden="true" localSheetId="11" name="_xlnm._FilterDatabase" vbProcedure="false">'Backup Config Baseline'!$A$18:$J$33</definedName>
    <definedName function="false" hidden="true" localSheetId="5" name="_xlnm._FilterDatabase" vbProcedure="false">'Cloud Config Baseline'!$A$29:$N$313</definedName>
    <definedName function="false" hidden="true" localSheetId="1" name="_xlnm._FilterDatabase" vbProcedure="false">'Config Baseline'!$A$1:$L$1017</definedName>
    <definedName function="false" hidden="true" localSheetId="9" name="_xlnm._FilterDatabase" vbProcedure="false">'Database Config Baseline'!$A$24:$J$66</definedName>
    <definedName function="false" hidden="true" localSheetId="12" name="_xlnm._FilterDatabase" vbProcedure="false">'Governance Config Baseline'!$A$36:$J$78</definedName>
    <definedName function="false" hidden="true" localSheetId="7" name="_xlnm._FilterDatabase" vbProcedure="false">'Identity Config Baseline'!$A$20:$J$68</definedName>
    <definedName function="false" hidden="true" localSheetId="8" name="_xlnm._FilterDatabase" vbProcedure="false">'Monitoring Config Baseline'!$A$22:$J$58</definedName>
    <definedName function="false" hidden="true" localSheetId="6" name="_xlnm._FilterDatabase" vbProcedure="false">'Network Config Baseline'!$A$25:$J$95</definedName>
    <definedName function="false" hidden="true" localSheetId="13" name="_xlnm._FilterDatabase" vbProcedure="false">'Physical Config Baseline'!$A$21:$J$47</definedName>
    <definedName function="false" hidden="true" localSheetId="14" name="_xlnm._FilterDatabase" vbProcedure="false">'Third Party Config Baseline'!$A$19:$J$33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<sst xmlns="http://schemas.openxmlformats.org/spreadsheetml/2006/main" count="21838" uniqueCount="7879">
  <si>
    <t xml:space="preserve">Configuration Baseline based on NIST SP 800-53 Rev. 5 (Release 5.2.0) with NIST CSF 2.0 Mapping</t>
  </si>
  <si>
    <t xml:space="preserve">Prefix ESBIT- is applied to every original NIST control identifier to form the new Control ID (for example AC-01 becomes ESBIT-AC-01). Sheets: Introduction, Config Baseline (main register), Summary, Domain Summary, Baseline Summary (control families and IDs per topic), and one baseline sheet per topic: Cloud, Network, Identity, Monitoring, Database, Application, Backup, Governance, Physical and Third Party, plus Cloud Coverage Check.</t>
  </si>
  <si>
    <t xml:space="preserve">1. Purpose of the Configuration Baseline</t>
  </si>
  <si>
    <t xml:space="preserve">This configuration baseline is established so that every cloud, network, database and infrastructure component is configured in accordance with a documented security baseline, giving the organization a consistent, repeatable and auditable way to harden its systems.</t>
  </si>
  <si>
    <t xml:space="preserve">It translates the NIST SP 800-53 Rev. 5 control catalog (20 families, base controls and control enhancements) into concrete configuration expectations, identifies which IT domain each control affects, and rates how strongly each control depends on technical configuration, so that administrators can prioritize what must be present in device and system configurations.</t>
  </si>
  <si>
    <t xml:space="preserve">The baseline supports: (1) a common security standard for all environments; (2) detection of configuration drift and unauthorized change; (3) evidence for internal audit and compliance reviews; and (4) alignment of technical settings with NIST CSF 2.0 outcomes.</t>
  </si>
  <si>
    <t xml:space="preserve">How to use the Config Baseline sheet: filter column K (IT domain) to select the technology in scope, filter column L to start with Level 1 items, read column I (English) or J (Thai) for the key configuration activity, then map each item to the vendor-specific setting (for example CIS Benchmark or STIG) for your platform.</t>
  </si>
  <si>
    <t xml:space="preserve">Important notes: the CSF 2.0 mapping and the Level rating are analyst-derived guidance for building the baseline and should be validated against the official NIST SP 800-53 to CSF 2.0 crosswalk and the organization's risk assessment. Withdrawn controls are excluded. Enhancement levels are derived from the base control (one level lower unless the enhancement concerns encryption, authentication, privilege, integrity, audit or deny-by-default).</t>
  </si>
  <si>
    <t xml:space="preserve">IT Domain (column K) uses ten domains: Network, Cloud, Identity, Monitoring, Database, Application, Backup, Governance, Physical and Third Party. A control can belong to more than one domain. The Cloud and Network domains are the scope of the cloud and network configuration baselines; see the Domain Summary sheet for counts and coverage by family.</t>
  </si>
  <si>
    <t xml:space="preserve">2. The 20 NIST SP 800-53 Control Families and Their Relevance to the Configuration Baseline</t>
  </si>
  <si>
    <t xml:space="preserve">Control Family</t>
  </si>
  <si>
    <t xml:space="preserve">What it covers</t>
  </si>
  <si>
    <t xml:space="preserve">Relevance to the configuration baseline</t>
  </si>
  <si>
    <t xml:space="preserve">Typical configuration focus</t>
  </si>
  <si>
    <t xml:space="preserve">Rows in register</t>
  </si>
  <si>
    <t xml:space="preserve">of which Level 1</t>
  </si>
  <si>
    <t xml:space="preserve">AC - Access Control</t>
  </si>
  <si>
    <t xml:space="preserve">Who and what may access systems, data and networks, and how sessions and information flows are controlled.</t>
  </si>
  <si>
    <t xml:space="preserve">High - directly defines account, privilege, session, remote access and network flow settings.</t>
  </si>
  <si>
    <t xml:space="preserve">Account lockout, session timeout, least-privilege roles, VPN/remote access, firewall rules, login banner, wireless security.</t>
  </si>
  <si>
    <t xml:space="preserve">AT - Awareness and Training</t>
  </si>
  <si>
    <t xml:space="preserve">Security awareness and role-based training.</t>
  </si>
  <si>
    <t xml:space="preserve">Low - people/process control that supports correct configuration by trained administrators.</t>
  </si>
  <si>
    <t xml:space="preserve">Administrator and developer training on secure configuration.</t>
  </si>
  <si>
    <t xml:space="preserve">AU - Audit and Accountability</t>
  </si>
  <si>
    <t xml:space="preserve">Event logging, log content, protection, retention, time stamps and review.</t>
  </si>
  <si>
    <t xml:space="preserve">High - logging must be enabled and configured on every component.</t>
  </si>
  <si>
    <t xml:space="preserve">Enable logging, log format, NTP, central syslog/SIEM forwarding, retention, log integrity.</t>
  </si>
  <si>
    <t xml:space="preserve">CA - Assessment, Authorization, and Monitoring</t>
  </si>
  <si>
    <t xml:space="preserve">Control assessment, system interconnection, POA&amp;M, continuous monitoring and penetration testing.</t>
  </si>
  <si>
    <t xml:space="preserve">Medium - drives compliance checking and monitoring of configuration.</t>
  </si>
  <si>
    <t xml:space="preserve">Configuration compliance scans, interconnection rules, drift monitoring.</t>
  </si>
  <si>
    <t xml:space="preserve">CM - Configuration Management</t>
  </si>
  <si>
    <t xml:space="preserve">Baseline configuration, change control, least functionality, software restrictions and inventory.</t>
  </si>
  <si>
    <t xml:space="preserve">Very high - the core of the configuration baseline.</t>
  </si>
  <si>
    <t xml:space="preserve">Hardened baselines (CIS/STIG), change control, disable unused services, allowlisting, asset inventory.</t>
  </si>
  <si>
    <t xml:space="preserve">CP - Contingency Planning</t>
  </si>
  <si>
    <t xml:space="preserve">Contingency planning, backup, alternate sites, telecommunications and recovery.</t>
  </si>
  <si>
    <t xml:space="preserve">Medium to high - backup, replication and failover settings.</t>
  </si>
  <si>
    <t xml:space="preserve">Backup jobs and encryption, replication, DR failover, redundant links.</t>
  </si>
  <si>
    <t xml:space="preserve">IA - Identification and Authentication</t>
  </si>
  <si>
    <t xml:space="preserve">Authentication of users, devices and services and management of authenticators.</t>
  </si>
  <si>
    <t xml:space="preserve">High - authentication settings on every platform.</t>
  </si>
  <si>
    <t xml:space="preserve">MFA, password policy, 802.1X/NAC, certificates, service identities, SSO.</t>
  </si>
  <si>
    <t xml:space="preserve">IR - Incident Response</t>
  </si>
  <si>
    <t xml:space="preserve">Incident handling capability, training, testing and reporting.</t>
  </si>
  <si>
    <t xml:space="preserve">Low to medium - mostly process, with tooling configuration for handling.</t>
  </si>
  <si>
    <t xml:space="preserve">SIEM/SOAR playbooks, containment actions, ticketing.</t>
  </si>
  <si>
    <t xml:space="preserve">MA - Maintenance</t>
  </si>
  <si>
    <t xml:space="preserve">Controlled and remote maintenance, maintenance tools and personnel.</t>
  </si>
  <si>
    <t xml:space="preserve">Low to medium - remote maintenance session settings.</t>
  </si>
  <si>
    <t xml:space="preserve">Vendor remote access with MFA, encryption, logging and session termination.</t>
  </si>
  <si>
    <t xml:space="preserve">MP - Media Protection</t>
  </si>
  <si>
    <t xml:space="preserve">Access, marking, storage, transport and sanitization of media.</t>
  </si>
  <si>
    <t xml:space="preserve">Low to medium - removable media and encryption settings.</t>
  </si>
  <si>
    <t xml:space="preserve">USB/removable media control, disk encryption, secure wipe.</t>
  </si>
  <si>
    <t xml:space="preserve">PE - Physical and Environmental Protection</t>
  </si>
  <si>
    <t xml:space="preserve">Physical access, monitoring, power, fire and environmental protection.</t>
  </si>
  <si>
    <t xml:space="preserve">Low - facility controls rather than IT configuration.</t>
  </si>
  <si>
    <t xml:space="preserve">Badge/CCTV systems, UPS, fire suppression, HVAC monitoring.</t>
  </si>
  <si>
    <t xml:space="preserve">PL - Planning</t>
  </si>
  <si>
    <t xml:space="preserve">Security planning, rules of behavior, security architecture and baseline selection.</t>
  </si>
  <si>
    <t xml:space="preserve">Medium - architecture and baseline tailoring drive the design.</t>
  </si>
  <si>
    <t xml:space="preserve">Zoning, defense in depth, segmentation, central management.</t>
  </si>
  <si>
    <t xml:space="preserve">PM - Program Management</t>
  </si>
  <si>
    <t xml:space="preserve">Enterprise security and privacy program management.</t>
  </si>
  <si>
    <t xml:space="preserve">Low - governance with no direct device configuration.</t>
  </si>
  <si>
    <t xml:space="preserve">Program plans, roles, metrics and risk strategy.</t>
  </si>
  <si>
    <t xml:space="preserve">PS - Personnel Security</t>
  </si>
  <si>
    <t xml:space="preserve">Personnel screening, termination, transfer and access agreements.</t>
  </si>
  <si>
    <t xml:space="preserve">Low - process, with account de-provisioning settings.</t>
  </si>
  <si>
    <t xml:space="preserve">Account disablement and access review on termination or transfer.</t>
  </si>
  <si>
    <t xml:space="preserve">PT - PII Processing and Transparency</t>
  </si>
  <si>
    <t xml:space="preserve">Authority, purposes, consent and notice for processing personally identifiable information.</t>
  </si>
  <si>
    <t xml:space="preserve">Low - privacy governance with limited technical settings.</t>
  </si>
  <si>
    <t xml:space="preserve">Data tagging and consent mechanisms.</t>
  </si>
  <si>
    <t xml:space="preserve">RA - Risk Assessment</t>
  </si>
  <si>
    <t xml:space="preserve">Risk assessment, vulnerability scanning and threat hunting.</t>
  </si>
  <si>
    <t xml:space="preserve">Medium - scanner and telemetry configuration.</t>
  </si>
  <si>
    <t xml:space="preserve">Authenticated vulnerability scanning, scan frequency, hunting telemetry.</t>
  </si>
  <si>
    <t xml:space="preserve">SA - System and Services Acquisition</t>
  </si>
  <si>
    <t xml:space="preserve">Acquisition, system development life cycle, external services and unsupported components.</t>
  </si>
  <si>
    <t xml:space="preserve">Medium - secure pipeline, cloud service settings and end-of-life replacement.</t>
  </si>
  <si>
    <t xml:space="preserve">CI/CD security testing, cloud service configuration, replacing unsupported OS/firmware.</t>
  </si>
  <si>
    <t xml:space="preserve">SC - System and Communications Protection</t>
  </si>
  <si>
    <t xml:space="preserve">Boundary protection, cryptography, denial-of-service protection, session authenticity and time synchronization.</t>
  </si>
  <si>
    <t xml:space="preserve">Very high - network and cryptographic settings are central.</t>
  </si>
  <si>
    <t xml:space="preserve">Firewall/DMZ, segmentation, TLS, DNSSEC, encryption at rest, DDoS, NTP.</t>
  </si>
  <si>
    <t xml:space="preserve">SI - System and Information Integrity</t>
  </si>
  <si>
    <t xml:space="preserve">Flaw remediation, malware protection, monitoring, integrity verification and input validation.</t>
  </si>
  <si>
    <t xml:space="preserve">Very high - patching, endpoint protection and monitoring settings.</t>
  </si>
  <si>
    <t xml:space="preserve">Patching, EDR/anti-malware, IDS/IPS, file integrity monitoring, secure boot, ASLR/DEP.</t>
  </si>
  <si>
    <t xml:space="preserve">SR - Supply Chain Risk Management</t>
  </si>
  <si>
    <t xml:space="preserve">Supply chain risk management, provenance and component authenticity.</t>
  </si>
  <si>
    <t xml:space="preserve">Low - procurement process with limited technical settings.</t>
  </si>
  <si>
    <t xml:space="preserve">Component authenticity checks, secure disposal.</t>
  </si>
  <si>
    <t xml:space="preserve">3. NIST CSF 2.0 - The Six Functions (Pillars) and Their Relevance to the Configuration Baseline</t>
  </si>
  <si>
    <t xml:space="preserve">CSF 2.0 Function</t>
  </si>
  <si>
    <t xml:space="preserve">Purpose</t>
  </si>
  <si>
    <t xml:space="preserve">Example configuration items</t>
  </si>
  <si>
    <t xml:space="preserve">Govern (GV)</t>
  </si>
  <si>
    <t xml:space="preserve">Establishes and monitors the organization's cybersecurity risk management strategy, expectations, policy, roles and supply chain oversight.</t>
  </si>
  <si>
    <t xml:space="preserve">Sets the policies and standards from which baseline settings are derived; ensures ownership, exceptions handling and supplier requirements.</t>
  </si>
  <si>
    <t xml:space="preserve">Configuration standards and policy, roles for change approval, supplier security requirements.</t>
  </si>
  <si>
    <t xml:space="preserve">Identify (ID)</t>
  </si>
  <si>
    <t xml:space="preserve">Understands current cybersecurity risks to assets, data and capabilities.</t>
  </si>
  <si>
    <t xml:space="preserve">Asset inventory, vulnerability identification and change/exception risk assessment determine what must be baselined.</t>
  </si>
  <si>
    <t xml:space="preserve">CMDB/asset inventory, vulnerability scanning, change risk review.</t>
  </si>
  <si>
    <t xml:space="preserve">Protect (PR)</t>
  </si>
  <si>
    <t xml:space="preserve">Uses safeguards to prevent or reduce cybersecurity risk.</t>
  </si>
  <si>
    <t xml:space="preserve">Largest share of baseline settings: identity and access, data protection, platform hardening and infrastructure resilience.</t>
  </si>
  <si>
    <t xml:space="preserve">MFA, least privilege, encryption, hardened OS/network/DB settings, segmentation, backup.</t>
  </si>
  <si>
    <t xml:space="preserve">Detect (DE)</t>
  </si>
  <si>
    <t xml:space="preserve">Finds and analyzes possible cybersecurity attacks and compromises.</t>
  </si>
  <si>
    <t xml:space="preserve">Ensures logging, monitoring and alerting are configured so deviations and attacks are visible.</t>
  </si>
  <si>
    <t xml:space="preserve">Logging, SIEM rules, IDS/IPS, EDR, integrity monitoring.</t>
  </si>
  <si>
    <t xml:space="preserve">Respond (RS)</t>
  </si>
  <si>
    <t xml:space="preserve">Takes action regarding a detected cybersecurity incident.</t>
  </si>
  <si>
    <t xml:space="preserve">Configuration must allow rapid containment, evidence preservation and reporting.</t>
  </si>
  <si>
    <t xml:space="preserve">Isolation actions, forensic logging, incident ticketing and notification settings.</t>
  </si>
  <si>
    <t xml:space="preserve">Recover (RC)</t>
  </si>
  <si>
    <t xml:space="preserve">Restores assets and operations affected by a cybersecurity incident.</t>
  </si>
  <si>
    <t xml:space="preserve">Backups, restore procedures and known-good configurations support fast, trusted recovery.</t>
  </si>
  <si>
    <t xml:space="preserve">Backup and restore settings, golden images, DR failover configuration.</t>
  </si>
  <si>
    <t xml:space="preserve">4. Configuration Baseline Levels (3 Levels)</t>
  </si>
  <si>
    <t xml:space="preserve">Every control row in the Config Baseline sheet is assigned one of three levels in column L. Level 1 is the strongest and must be present in the configuration; Level 3 has the least impact on the configuration baseline.</t>
  </si>
  <si>
    <t xml:space="preserve">Level</t>
  </si>
  <si>
    <t xml:space="preserve">Priority</t>
  </si>
  <si>
    <t xml:space="preserve">Definition</t>
  </si>
  <si>
    <t xml:space="preserve">Impact if not implemented</t>
  </si>
  <si>
    <t xml:space="preserve">Expectation</t>
  </si>
  <si>
    <t xml:space="preserve">Examples</t>
  </si>
  <si>
    <t xml:space="preserve">Level 1</t>
  </si>
  <si>
    <t xml:space="preserve">Highest - Mandatory</t>
  </si>
  <si>
    <t xml:space="preserve">Controls that are enforced directly through technical settings and are essential to security.</t>
  </si>
  <si>
    <t xml:space="preserve">High risk of compromise, data exposure or loss of accountability if missing or misconfigured.</t>
  </si>
  <si>
    <t xml:space="preserve">Must be defined in the baseline and present in every applicable configuration; deviations require formal approved exceptions.</t>
  </si>
  <si>
    <t xml:space="preserve">Account lockout, MFA, TLS, deny-by-default firewall rules, logging, NTP, patching, disk encryption.</t>
  </si>
  <si>
    <t xml:space="preserve">Level 2</t>
  </si>
  <si>
    <t xml:space="preserve">Medium - Recommended</t>
  </si>
  <si>
    <t xml:space="preserve">Controls that materially improve security and are configurable, but depend on technology or context.</t>
  </si>
  <si>
    <t xml:space="preserve">Moderate exposure or reduced ability to detect and respond.</t>
  </si>
  <si>
    <t xml:space="preserve">Should be applied where technically supported; document reasons where not applied.</t>
  </si>
  <si>
    <t xml:space="preserve">Login banner, DNSSEC, resource quotas, DR site settings, mobile device policy.</t>
  </si>
  <si>
    <t xml:space="preserve">Level 3</t>
  </si>
  <si>
    <t xml:space="preserve">Lowest - Optional/Low impact</t>
  </si>
  <si>
    <t xml:space="preserve">Governance, process or physical controls, and specialized enhancements with limited or indirect effect on configuration.</t>
  </si>
  <si>
    <t xml:space="preserve">Low direct impact on system configuration.</t>
  </si>
  <si>
    <t xml:space="preserve">Apply by risk, project or environment; track as governance evidence rather than device settings.</t>
  </si>
  <si>
    <t xml:space="preserve">Policies, training, risk assessment, physical protections, supply chain governance.</t>
  </si>
  <si>
    <t xml:space="preserve">Control ID New</t>
  </si>
  <si>
    <t xml:space="preserve">Control ID</t>
  </si>
  <si>
    <t xml:space="preserve">Control Name</t>
  </si>
  <si>
    <t xml:space="preserve">CSF 2.0 Category</t>
  </si>
  <si>
    <t xml:space="preserve">CSF 2.0 Subcategory ID</t>
  </si>
  <si>
    <t xml:space="preserve">CSF 2.0 Subcategory Description</t>
  </si>
  <si>
    <t xml:space="preserve">Key Activity</t>
  </si>
  <si>
    <t xml:space="preserve">Key Activity (Thai)</t>
  </si>
  <si>
    <t xml:space="preserve">IT Domain</t>
  </si>
  <si>
    <t xml:space="preserve">Config Baseline Relevance (Level)</t>
  </si>
  <si>
    <t xml:space="preserve">ESBIT-AC-01</t>
  </si>
  <si>
    <t xml:space="preserve">AC-01</t>
  </si>
  <si>
    <t xml:space="preserve">Access Control (AC)</t>
  </si>
  <si>
    <t xml:space="preserve">Policy and Procedures</t>
  </si>
  <si>
    <t xml:space="preserve">GV.PO - Policy</t>
  </si>
  <si>
    <t xml:space="preserve">GV.PO-01</t>
  </si>
  <si>
    <t xml:space="preserve">Policy for managing cybersecurity risks is established based on organizational context, cybersecurity strategy, and priorities and is communicated and enforced</t>
  </si>
  <si>
    <t xml:space="preserve">Not a direct configuration item - define, document, review and communicate the Access Control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</si>
  <si>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และทบทวนนโยบาย/ขั้นตอนของหมวดการควบคุมการเข้าถึง เพื่อเป็นฐานในการกำหนดมาตรฐาน Config</t>
  </si>
  <si>
    <t xml:space="preserve">Governance</t>
  </si>
  <si>
    <t xml:space="preserve">Level 3 - Low: governance/process control with no direct technical setting</t>
  </si>
  <si>
    <t xml:space="preserve">ESBIT-AC-02</t>
  </si>
  <si>
    <t xml:space="preserve">AC-02</t>
  </si>
  <si>
    <t xml:space="preserve">Account Management</t>
  </si>
  <si>
    <t xml:space="preserve">PR.AA - Identity Management, Authentication, and Access Control</t>
  </si>
  <si>
    <t xml:space="preserve">PR.AA-01</t>
  </si>
  <si>
    <t xml:space="preserve">Identities and credentials for authorized users, services, and hardware are managed by the organization</t>
  </si>
  <si>
    <t xml:space="preserve">Configure account types, naming, approval workflow and lifecycle in AD/LDAP, OS, database, network devices and cloud IAM; disable or remove inactive, temporary and shared accounts</t>
  </si>
  <si>
    <t xml:space="preserve">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</si>
  <si>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Network, Cloud, Identity, Database</t>
  </si>
  <si>
    <t xml:space="preserve">Level 1 - High: mandatory setting that must exist in the configuration baseline</t>
  </si>
  <si>
    <t xml:space="preserve">ESBIT-AC-02(01)</t>
  </si>
  <si>
    <t xml:space="preserve">AC-02(01)</t>
  </si>
  <si>
    <t xml:space="preserve">Account Management | Automated System Account Management</t>
  </si>
  <si>
    <t xml:space="preserve">Enhances AC-02 (Account Management): configure and enforce 'Automated System Account Management'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</si>
  <si>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'Automated System Account Management'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</si>
  <si>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Level 2 - Medium: recommended setting; apply wherever technically applicable</t>
  </si>
  <si>
    <t xml:space="preserve">ESBIT-AC-02(02)</t>
  </si>
  <si>
    <t xml:space="preserve">AC-02(02)</t>
  </si>
  <si>
    <t xml:space="preserve">Account Management | Automated Temporary and Emergency Account Management</t>
  </si>
  <si>
    <t xml:space="preserve">Enhances AC-02 (Account Management): configure and enforce 'Automated Temporary and Emergency Account Management'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</si>
  <si>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'Automated Temporary and Emergency Account Management'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</si>
  <si>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ESBIT-AC-02(03)</t>
  </si>
  <si>
    <t xml:space="preserve">AC-02(03)</t>
  </si>
  <si>
    <t xml:space="preserve">Account Management | Disable Accounts</t>
  </si>
  <si>
    <t xml:space="preserve">Enhances AC-02 (Account Management): configure and enforce 'Disable Accounts'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</si>
  <si>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'Disable Accounts'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</si>
  <si>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ESBIT-AC-02(04)</t>
  </si>
  <si>
    <t xml:space="preserve">AC-02(04)</t>
  </si>
  <si>
    <t xml:space="preserve">Account Management | Automated Audit Actions</t>
  </si>
  <si>
    <t xml:space="preserve">Enhances AC-02 (Account Management): configure and enforce 'Automated Audit Actions'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</si>
  <si>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'Automated Audit Actions'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</si>
  <si>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ESBIT-AC-02(05)</t>
  </si>
  <si>
    <t xml:space="preserve">AC-02(05)</t>
  </si>
  <si>
    <t xml:space="preserve">Account Management | Inactivity Logout</t>
  </si>
  <si>
    <t xml:space="preserve">Enhances AC-02 (Account Management): configure and enforce 'Inactivity Logout'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</si>
  <si>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'Inactivity Logout'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</si>
  <si>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ESBIT-AC-02(06)</t>
  </si>
  <si>
    <t xml:space="preserve">AC-02(06)</t>
  </si>
  <si>
    <t xml:space="preserve">Account Management | Dynamic Privilege Management</t>
  </si>
  <si>
    <t xml:space="preserve">Enhances AC-02 (Account Management): configure and enforce 'Dynamic Privilege Management'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</si>
  <si>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'Dynamic Privilege Management'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</si>
  <si>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ESBIT-AC-02(07)</t>
  </si>
  <si>
    <t xml:space="preserve">AC-02(07)</t>
  </si>
  <si>
    <t xml:space="preserve">Account Management | Privileged User Accounts</t>
  </si>
  <si>
    <t xml:space="preserve">Enhances AC-02 (Account Management): configure and enforce 'Privileged User Accounts'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</si>
  <si>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'Privileged User Accounts'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</si>
  <si>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ESBIT-AC-02(08)</t>
  </si>
  <si>
    <t xml:space="preserve">AC-02(08)</t>
  </si>
  <si>
    <t xml:space="preserve">Account Management | Dynamic Account Management</t>
  </si>
  <si>
    <t xml:space="preserve">Enhances AC-02 (Account Management): configure and enforce 'Dynamic Account Management'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</si>
  <si>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'Dynamic Account Management'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</si>
  <si>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ESBIT-AC-02(09)</t>
  </si>
  <si>
    <t xml:space="preserve">AC-02(09)</t>
  </si>
  <si>
    <t xml:space="preserve">Account Management | Restrictions on Use of Shared and Group Accounts</t>
  </si>
  <si>
    <t xml:space="preserve">Enhances AC-02 (Account Management): configure and enforce 'Restrictions on Use of Shared and Group Accounts'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</si>
  <si>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'Restrictions on Use of Shared and Group Accounts'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</si>
  <si>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ESBIT-AC-02(11)</t>
  </si>
  <si>
    <t xml:space="preserve">AC-02(11)</t>
  </si>
  <si>
    <t xml:space="preserve">Account Management | Usage Conditions</t>
  </si>
  <si>
    <t xml:space="preserve">Enhances AC-02 (Account Management): configure and enforce 'Usage Conditions'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</si>
  <si>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'Usage Conditions'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</si>
  <si>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ESBIT-AC-02(12)</t>
  </si>
  <si>
    <t xml:space="preserve">AC-02(12)</t>
  </si>
  <si>
    <t xml:space="preserve">Account Management | Account Monitoring for Atypical Usage</t>
  </si>
  <si>
    <t xml:space="preserve">Enhances AC-02 (Account Management): configure and enforce 'Account Monitoring for Atypical Usage'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</si>
  <si>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'Account Monitoring for Atypical Usage'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</si>
  <si>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ESBIT-AC-02(13)</t>
  </si>
  <si>
    <t xml:space="preserve">AC-02(13)</t>
  </si>
  <si>
    <t xml:space="preserve">Account Management | Disable Accounts for High-risk Individuals</t>
  </si>
  <si>
    <t xml:space="preserve">Enhances AC-02 (Account Management): configure and enforce 'Disable Accounts for High-risk Individuals'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</si>
  <si>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 xml:space="preserve">ส่วนขยายของ AC-02: กำหนดค่าและบังคับใช้ 'Disable Accounts for High-risk Individuals' เพิ่มเติมจากค่าพื้นฐาน ให้สอดคล้องทุกระบบที่เกี่ยวข้อง และบันทึกข้อยกเว้น - กำหนดประเภทบัญชี การอนุมัติ และวงจรชีวิตบัญชีบน AD/OS/DB/อุปกรณ์เครือข่าย/Cloud IAM พร้อมปิดหรือลบบัญชีที่ไม่ใช้งาน ชั่วคราว และบัญชีใช้ร่วม</t>
  </si>
  <si>
    <t xml:space="preserve">ESBIT-AC-03</t>
  </si>
  <si>
    <t xml:space="preserve">AC-03</t>
  </si>
  <si>
    <t xml:space="preserve">Access Enforcement</t>
  </si>
  <si>
    <t xml:space="preserve">PR.AA-05</t>
  </si>
  <si>
    <t xml:space="preserve">Access permissions, entitlements, and authorizations are defined in a policy, managed, enforced, and reviewed, and incorporate the principles of least privilege and separation of duties</t>
  </si>
  <si>
    <t xml:space="preserve">Enforce approved authorizations (RBAC/ACL/permissions) on file systems, databases, applications, network devices and cloud resources</t>
  </si>
  <si>
    <t xml:space="preserve">บังคับใช้สิทธิ์การเข้าถึง (RBAC/ACL/Permission) บน File System, DB, Application, อุปกรณ์เครือข่าย และทรัพยากร Cloud</t>
  </si>
  <si>
    <t xml:space="preserve">Network, Cloud, Identity, Database, Application</t>
  </si>
  <si>
    <t xml:space="preserve">ESBIT-AC-03(02)</t>
  </si>
  <si>
    <t xml:space="preserve">AC-03(02)</t>
  </si>
  <si>
    <t xml:space="preserve">Access Enforcement | Dual Authorization</t>
  </si>
  <si>
    <t xml:space="preserve">Enhances AC-03 (Access Enforcement): configure and enforce 'Dual Authorization'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</si>
  <si>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'Dual Authorization'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</si>
  <si>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ESBIT-AC-03(03)</t>
  </si>
  <si>
    <t xml:space="preserve">AC-03(03)</t>
  </si>
  <si>
    <t xml:space="preserve">Access Enforcement | Mandatory Access Control</t>
  </si>
  <si>
    <t xml:space="preserve">Enhances AC-03 (Access Enforcement): configure and enforce 'Mandatory Access Control'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</si>
  <si>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'Mandatory Access Control'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</si>
  <si>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ESBIT-AC-03(04)</t>
  </si>
  <si>
    <t xml:space="preserve">AC-03(04)</t>
  </si>
  <si>
    <t xml:space="preserve">Access Enforcement | Discretionary Access Control</t>
  </si>
  <si>
    <t xml:space="preserve">Enhances AC-03 (Access Enforcement): configure and enforce 'Discretionary Access Control'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</si>
  <si>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'Discretionary Access Control'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</si>
  <si>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ESBIT-AC-03(05)</t>
  </si>
  <si>
    <t xml:space="preserve">AC-03(05)</t>
  </si>
  <si>
    <t xml:space="preserve">Access Enforcement | Security-relevant Information</t>
  </si>
  <si>
    <t xml:space="preserve">Enhances AC-03 (Access Enforcement): configure and enforce 'Security-relevant Information'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</si>
  <si>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'Security-relevant Information'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</si>
  <si>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ESBIT-AC-03(07)</t>
  </si>
  <si>
    <t xml:space="preserve">AC-03(07)</t>
  </si>
  <si>
    <t xml:space="preserve">Access Enforcement | Role-based Access Control</t>
  </si>
  <si>
    <t xml:space="preserve">Enhances AC-03 (Access Enforcement): configure and enforce 'Role-based Access Control'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</si>
  <si>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'Role-based Access Control'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</si>
  <si>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ESBIT-AC-03(08)</t>
  </si>
  <si>
    <t xml:space="preserve">AC-03(08)</t>
  </si>
  <si>
    <t xml:space="preserve">Access Enforcement | Revocation of Access Authorizations</t>
  </si>
  <si>
    <t xml:space="preserve">Enhances AC-03 (Access Enforcement): configure and enforce 'Revocation of Access Authorizations'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</si>
  <si>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'Revocation of Access Authorizations'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</si>
  <si>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ESBIT-AC-03(09)</t>
  </si>
  <si>
    <t xml:space="preserve">AC-03(09)</t>
  </si>
  <si>
    <t xml:space="preserve">Access Enforcement | Controlled Release</t>
  </si>
  <si>
    <t xml:space="preserve">Enhances AC-03 (Access Enforcement): configure and enforce 'Controlled Release'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</si>
  <si>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'Controlled Release'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</si>
  <si>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ESBIT-AC-03(10)</t>
  </si>
  <si>
    <t xml:space="preserve">AC-03(10)</t>
  </si>
  <si>
    <t xml:space="preserve">Access Enforcement | Audited Override of Access Control Mechanisms</t>
  </si>
  <si>
    <t xml:space="preserve">Enhances AC-03 (Access Enforcement): configure and enforce 'Audited Override of Access Control Mechanisms'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</si>
  <si>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'Audited Override of Access Control Mechanisms'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</si>
  <si>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ESBIT-AC-03(11)</t>
  </si>
  <si>
    <t xml:space="preserve">AC-03(11)</t>
  </si>
  <si>
    <t xml:space="preserve">Access Enforcement | Restrict Access to Specific Information Types</t>
  </si>
  <si>
    <t xml:space="preserve">Enhances AC-03 (Access Enforcement): configure and enforce 'Restrict Access to Specific Information Types'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</si>
  <si>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'Restrict Access to Specific Information Types'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</si>
  <si>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ESBIT-AC-03(12)</t>
  </si>
  <si>
    <t xml:space="preserve">AC-03(12)</t>
  </si>
  <si>
    <t xml:space="preserve">Access Enforcement | Assert and Enforce Application Access</t>
  </si>
  <si>
    <t xml:space="preserve">Enhances AC-03 (Access Enforcement): configure and enforce 'Assert and Enforce Application Access'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</si>
  <si>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'Assert and Enforce Application Access'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</si>
  <si>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ESBIT-AC-03(13)</t>
  </si>
  <si>
    <t xml:space="preserve">AC-03(13)</t>
  </si>
  <si>
    <t xml:space="preserve">Access Enforcement | Attribute-based Access Control</t>
  </si>
  <si>
    <t xml:space="preserve">Enhances AC-03 (Access Enforcement): configure and enforce 'Attribute-based Access Control'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</si>
  <si>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'Attribute-based Access Control'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</si>
  <si>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ESBIT-AC-03(14)</t>
  </si>
  <si>
    <t xml:space="preserve">AC-03(14)</t>
  </si>
  <si>
    <t xml:space="preserve">Access Enforcement | Individual Access</t>
  </si>
  <si>
    <t xml:space="preserve">Enhances AC-03 (Access Enforcement): configure and enforce 'Individual Access'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</si>
  <si>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'Individual Access'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</si>
  <si>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ESBIT-AC-03(15)</t>
  </si>
  <si>
    <t xml:space="preserve">AC-03(15)</t>
  </si>
  <si>
    <t xml:space="preserve">Access Enforcement | Discretionary and Mandatory Access Control</t>
  </si>
  <si>
    <t xml:space="preserve">Enhances AC-03 (Access Enforcement): configure and enforce 'Discretionary and Mandatory Access Control' in addition to the base setting, keep it consistent across applicable systems and document approved exceptions. Base scope: Enforce approved authorizations (RBAC/ACL/permissions) on file systems, databases, applications, network devices and cloud resources</t>
  </si>
  <si>
    <t xml:space="preserve">ส่วนขยายของ AC-03: กำหนดค่าและบังคับใช้ 'Discretionary and Mandatory Access Control' เพิ่มเติมจากค่าพื้นฐาน ให้สอดคล้องทุกระบบที่เกี่ยวข้อง และบันทึกข้อยกเว้น - บังคับใช้สิทธิ์การเข้าถึง (RBAC/ACL/Permission) บน File System, DB, Application, อุปกรณ์เครือข่าย และทรัพยากร Cloud</t>
  </si>
  <si>
    <t xml:space="preserve">ESBIT-AC-04</t>
  </si>
  <si>
    <t xml:space="preserve">AC-04</t>
  </si>
  <si>
    <t xml:space="preserve">Information Flow Enforcement</t>
  </si>
  <si>
    <t xml:space="preserve">PR.IR - Technology Infrastructure Resilience</t>
  </si>
  <si>
    <t xml:space="preserve">PR.IR-01</t>
  </si>
  <si>
    <t xml:space="preserve">Networks and environments are protected from unauthorized logical access and usage</t>
  </si>
  <si>
    <t xml:space="preserve">Configure firewall rules, ACLs, VLAN/segment policies, proxies and cloud security groups to control approved information flows between zones</t>
  </si>
  <si>
    <t xml:space="preserve">กำหนด Firewall Rule, ACL, VLAN/Segment, Proxy และ Cloud Security Group เพื่อควบคุมการไหลของข้อมูลระหว่างโซนที่ได้รับอนุมัติ</t>
  </si>
  <si>
    <t xml:space="preserve">Network, Cloud</t>
  </si>
  <si>
    <t xml:space="preserve">ESBIT-AC-04(01)</t>
  </si>
  <si>
    <t xml:space="preserve">AC-04(01)</t>
  </si>
  <si>
    <t xml:space="preserve">Information Flow Enforcement | Object Security and Privacy Attributes</t>
  </si>
  <si>
    <t xml:space="preserve">Enhances AC-04 (Information Flow Enforcement): configure and enforce 'Object Security and Privacy Attributes'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</si>
  <si>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'Object Security and Privacy Attributes'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</si>
  <si>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ESBIT-AC-04(02)</t>
  </si>
  <si>
    <t xml:space="preserve">AC-04(02)</t>
  </si>
  <si>
    <t xml:space="preserve">Information Flow Enforcement | Processing Domains</t>
  </si>
  <si>
    <t xml:space="preserve">Enhances AC-04 (Information Flow Enforcement): configure and enforce 'Processing Domains'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</si>
  <si>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'Processing Domains'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</si>
  <si>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ESBIT-AC-04(03)</t>
  </si>
  <si>
    <t xml:space="preserve">AC-04(03)</t>
  </si>
  <si>
    <t xml:space="preserve">Information Flow Enforcement | Dynamic Information Flow Control</t>
  </si>
  <si>
    <t xml:space="preserve">Enhances AC-04 (Information Flow Enforcement): configure and enforce 'Dynamic Information Flow Control'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</si>
  <si>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'Dynamic Information Flow Control'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</si>
  <si>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ESBIT-AC-04(04)</t>
  </si>
  <si>
    <t xml:space="preserve">AC-04(04)</t>
  </si>
  <si>
    <t xml:space="preserve">Information Flow Enforcement | Flow Control of Encrypted Information</t>
  </si>
  <si>
    <t xml:space="preserve">Enhances AC-04 (Information Flow Enforcement): configure and enforce 'Flow Control of Encrypted Information'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</si>
  <si>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'Flow Control of Encrypted Information'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</si>
  <si>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ESBIT-AC-04(05)</t>
  </si>
  <si>
    <t xml:space="preserve">AC-04(05)</t>
  </si>
  <si>
    <t xml:space="preserve">Information Flow Enforcement | Embedded Data Types</t>
  </si>
  <si>
    <t xml:space="preserve">Enhances AC-04 (Information Flow Enforcement): configure and enforce 'Embedded Data Types'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</si>
  <si>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'Embedded Data Types'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</si>
  <si>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ESBIT-AC-04(06)</t>
  </si>
  <si>
    <t xml:space="preserve">AC-04(06)</t>
  </si>
  <si>
    <t xml:space="preserve">Information Flow Enforcement | Metadata</t>
  </si>
  <si>
    <t xml:space="preserve">Enhances AC-04 (Information Flow Enforcement): configure and enforce 'Metadata'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</si>
  <si>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'Metadata'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</si>
  <si>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ESBIT-AC-04(07)</t>
  </si>
  <si>
    <t xml:space="preserve">AC-04(07)</t>
  </si>
  <si>
    <t xml:space="preserve">Information Flow Enforcement | One-way Flow Mechanisms</t>
  </si>
  <si>
    <t xml:space="preserve">Enhances AC-04 (Information Flow Enforcement): configure and enforce 'One-way Flow Mechanisms'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</si>
  <si>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'One-way Flow Mechanisms'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</si>
  <si>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ESBIT-AC-04(08)</t>
  </si>
  <si>
    <t xml:space="preserve">AC-04(08)</t>
  </si>
  <si>
    <t xml:space="preserve">Information Flow Enforcement | Security and Privacy Policy Filters</t>
  </si>
  <si>
    <t xml:space="preserve">Enhances AC-04 (Information Flow Enforcement): configure and enforce 'Security and Privacy Policy Filters'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</si>
  <si>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'Security and Privacy Policy Filters'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</si>
  <si>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ESBIT-AC-04(09)</t>
  </si>
  <si>
    <t xml:space="preserve">AC-04(09)</t>
  </si>
  <si>
    <t xml:space="preserve">Information Flow Enforcement | Human Reviews</t>
  </si>
  <si>
    <t xml:space="preserve">Enhances AC-04 (Information Flow Enforcement): configure and enforce 'Human Reviews'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</si>
  <si>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'Human Reviews'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</si>
  <si>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ESBIT-AC-04(10)</t>
  </si>
  <si>
    <t xml:space="preserve">AC-04(10)</t>
  </si>
  <si>
    <t xml:space="preserve">Information Flow Enforcement | Enable and Disable Security or Privacy Policy Filters</t>
  </si>
  <si>
    <t xml:space="preserve">Enhances AC-04 (Information Flow Enforcement): configure and enforce 'Enable and Disable Security or Privacy Policy Filters'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</si>
  <si>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'Enable and Disable Security or Privacy Policy Filters'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</si>
  <si>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ESBIT-AC-04(11)</t>
  </si>
  <si>
    <t xml:space="preserve">AC-04(11)</t>
  </si>
  <si>
    <t xml:space="preserve">Information Flow Enforcement | Configuration of Security or Privacy Policy Filters</t>
  </si>
  <si>
    <t xml:space="preserve">Enhances AC-04 (Information Flow Enforcement): configure and enforce 'Configuration of Security or Privacy Policy Filters'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</si>
  <si>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'Configuration of Security or Privacy Policy Filters'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</si>
  <si>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ESBIT-AC-04(12)</t>
  </si>
  <si>
    <t xml:space="preserve">AC-04(12)</t>
  </si>
  <si>
    <t xml:space="preserve">Information Flow Enforcement | Data Type Identifiers</t>
  </si>
  <si>
    <t xml:space="preserve">Enhances AC-04 (Information Flow Enforcement): configure and enforce 'Data Type Identifiers'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</si>
  <si>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'Data Type Identifiers'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</si>
  <si>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ESBIT-AC-04(13)</t>
  </si>
  <si>
    <t xml:space="preserve">AC-04(13)</t>
  </si>
  <si>
    <t xml:space="preserve">Information Flow Enforcement | Decomposition into Policy-relevant Subcomponents</t>
  </si>
  <si>
    <t xml:space="preserve">Enhances AC-04 (Information Flow Enforcement): configure and enforce 'Decomposition into Policy-relevant Subcomponents'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</si>
  <si>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'Decomposition into Policy-relevant Subcomponents'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</si>
  <si>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ESBIT-AC-04(14)</t>
  </si>
  <si>
    <t xml:space="preserve">AC-04(14)</t>
  </si>
  <si>
    <t xml:space="preserve">Information Flow Enforcement | Security or Privacy Policy Filter Constraints</t>
  </si>
  <si>
    <t xml:space="preserve">Enhances AC-04 (Information Flow Enforcement): configure and enforce 'Security or Privacy Policy Filter Constraints'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</si>
  <si>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'Security or Privacy Policy Filter Constraints'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</si>
  <si>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ESBIT-AC-04(15)</t>
  </si>
  <si>
    <t xml:space="preserve">AC-04(15)</t>
  </si>
  <si>
    <t xml:space="preserve">Information Flow Enforcement | Detection of Unsanctioned Information</t>
  </si>
  <si>
    <t xml:space="preserve">Enhances AC-04 (Information Flow Enforcement): configure and enforce 'Detection of Unsanctioned Information'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</si>
  <si>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'Detection of Unsanctioned Information'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</si>
  <si>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ESBIT-AC-04(17)</t>
  </si>
  <si>
    <t xml:space="preserve">AC-04(17)</t>
  </si>
  <si>
    <t xml:space="preserve">Information Flow Enforcement | Domain Authentication</t>
  </si>
  <si>
    <t xml:space="preserve">Enhances AC-04 (Information Flow Enforcement): configure and enforce 'Domain Authentication'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</si>
  <si>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'Domain Authentication'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</si>
  <si>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ESBIT-AC-04(19)</t>
  </si>
  <si>
    <t xml:space="preserve">AC-04(19)</t>
  </si>
  <si>
    <t xml:space="preserve">Information Flow Enforcement | Validation of Metadata</t>
  </si>
  <si>
    <t xml:space="preserve">Enhances AC-04 (Information Flow Enforcement): configure and enforce 'Validation of Metadata'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</si>
  <si>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'Validation of Metadata'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</si>
  <si>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ESBIT-AC-04(20)</t>
  </si>
  <si>
    <t xml:space="preserve">AC-04(20)</t>
  </si>
  <si>
    <t xml:space="preserve">Information Flow Enforcement | Approved Solutions</t>
  </si>
  <si>
    <t xml:space="preserve">Enhances AC-04 (Information Flow Enforcement): configure and enforce 'Approved Solutions'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</si>
  <si>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'Approved Solutions'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</si>
  <si>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ESBIT-AC-04(21)</t>
  </si>
  <si>
    <t xml:space="preserve">AC-04(21)</t>
  </si>
  <si>
    <t xml:space="preserve">Information Flow Enforcement | Physical or Logical Separation of Information Flows</t>
  </si>
  <si>
    <t xml:space="preserve">Enhances AC-04 (Information Flow Enforcement): configure and enforce 'Physical or Logical Separation of Information Flows'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</si>
  <si>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'Physical or Logical Separation of Information Flows'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</si>
  <si>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ESBIT-AC-04(22)</t>
  </si>
  <si>
    <t xml:space="preserve">AC-04(22)</t>
  </si>
  <si>
    <t xml:space="preserve">Information Flow Enforcement | Access Only</t>
  </si>
  <si>
    <t xml:space="preserve">Enhances AC-04 (Information Flow Enforcement): configure and enforce 'Access Only'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</si>
  <si>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'Access Only'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</si>
  <si>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ESBIT-AC-04(23)</t>
  </si>
  <si>
    <t xml:space="preserve">AC-04(23)</t>
  </si>
  <si>
    <t xml:space="preserve">Information Flow Enforcement | Modify Non-releasable Information</t>
  </si>
  <si>
    <t xml:space="preserve">Enhances AC-04 (Information Flow Enforcement): configure and enforce 'Modify Non-releasable Information'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</si>
  <si>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'Modify Non-releasable Information'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</si>
  <si>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ESBIT-AC-04(24)</t>
  </si>
  <si>
    <t xml:space="preserve">AC-04(24)</t>
  </si>
  <si>
    <t xml:space="preserve">Information Flow Enforcement | Internal Normalized Format</t>
  </si>
  <si>
    <t xml:space="preserve">Enhances AC-04 (Information Flow Enforcement): configure and enforce 'Internal Normalized Format'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</si>
  <si>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'Internal Normalized Format'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</si>
  <si>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ESBIT-AC-04(25)</t>
  </si>
  <si>
    <t xml:space="preserve">AC-04(25)</t>
  </si>
  <si>
    <t xml:space="preserve">Information Flow Enforcement | Data Sanitization</t>
  </si>
  <si>
    <t xml:space="preserve">Enhances AC-04 (Information Flow Enforcement): configure and enforce 'Data Sanitization'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</si>
  <si>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'Data Sanitization'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</si>
  <si>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ESBIT-AC-04(26)</t>
  </si>
  <si>
    <t xml:space="preserve">AC-04(26)</t>
  </si>
  <si>
    <t xml:space="preserve">Information Flow Enforcement | Audit Filtering Actions</t>
  </si>
  <si>
    <t xml:space="preserve">Enhances AC-04 (Information Flow Enforcement): configure and enforce 'Audit Filtering Actions'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</si>
  <si>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'Audit Filtering Actions'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</si>
  <si>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ESBIT-AC-04(27)</t>
  </si>
  <si>
    <t xml:space="preserve">AC-04(27)</t>
  </si>
  <si>
    <t xml:space="preserve">Information Flow Enforcement | Redundant/Independent Filtering Mechanisms</t>
  </si>
  <si>
    <t xml:space="preserve">Enhances AC-04 (Information Flow Enforcement): configure and enforce 'Redundant/Independent Filtering Mechanisms'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</si>
  <si>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'Redundant/Independent Filtering Mechanisms'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</si>
  <si>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ESBIT-AC-04(28)</t>
  </si>
  <si>
    <t xml:space="preserve">AC-04(28)</t>
  </si>
  <si>
    <t xml:space="preserve">Information Flow Enforcement | Linear Filter Pipelines</t>
  </si>
  <si>
    <t xml:space="preserve">Enhances AC-04 (Information Flow Enforcement): configure and enforce 'Linear Filter Pipelines'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</si>
  <si>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'Linear Filter Pipelines'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</si>
  <si>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ESBIT-AC-04(29)</t>
  </si>
  <si>
    <t xml:space="preserve">AC-04(29)</t>
  </si>
  <si>
    <t xml:space="preserve">Information Flow Enforcement | Filter Orchestration Engines</t>
  </si>
  <si>
    <t xml:space="preserve">Enhances AC-04 (Information Flow Enforcement): configure and enforce 'Filter Orchestration Engines'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</si>
  <si>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'Filter Orchestration Engines'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</si>
  <si>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ESBIT-AC-04(30)</t>
  </si>
  <si>
    <t xml:space="preserve">AC-04(30)</t>
  </si>
  <si>
    <t xml:space="preserve">Information Flow Enforcement | Filter Mechanisms Using Multiple Processes</t>
  </si>
  <si>
    <t xml:space="preserve">Enhances AC-04 (Information Flow Enforcement): configure and enforce 'Filter Mechanisms Using Multiple Processes'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</si>
  <si>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'Filter Mechanisms Using Multiple Processes'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</si>
  <si>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ESBIT-AC-04(31)</t>
  </si>
  <si>
    <t xml:space="preserve">AC-04(31)</t>
  </si>
  <si>
    <t xml:space="preserve">Information Flow Enforcement | Failed Content Transfer Prevention</t>
  </si>
  <si>
    <t xml:space="preserve">Enhances AC-04 (Information Flow Enforcement): configure and enforce 'Failed Content Transfer Prevention'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</si>
  <si>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'Failed Content Transfer Prevention'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</si>
  <si>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ESBIT-AC-04(32)</t>
  </si>
  <si>
    <t xml:space="preserve">AC-04(32)</t>
  </si>
  <si>
    <t xml:space="preserve">Information Flow Enforcement | Process Requirements for Information Transfer</t>
  </si>
  <si>
    <t xml:space="preserve">Enhances AC-04 (Information Flow Enforcement): configure and enforce 'Process Requirements for Information Transfer' in addition to the base setting, keep it consistent across applicable systems and document approved exceptions. Base scope: Configure firewall rules, ACLs, VLAN/segment policies, proxies and cloud security groups to control approved information flows between zones</t>
  </si>
  <si>
    <t xml:space="preserve">ส่วนขยายของ AC-04: กำหนดค่าและบังคับใช้ 'Process Requirements for Information Transfer' เพิ่มเติมจากค่าพื้นฐาน ให้สอดคล้องทุกระบบที่เกี่ยวข้อง และบันทึกข้อยกเว้น - กำหนด Firewall Rule, ACL, VLAN/Segment, Proxy และ Cloud Security Group เพื่อควบคุมการไหลของข้อมูลระหว่างโซนที่ได้รับอนุมัติ</t>
  </si>
  <si>
    <t xml:space="preserve">ESBIT-AC-05</t>
  </si>
  <si>
    <t xml:space="preserve">AC-05</t>
  </si>
  <si>
    <t xml:space="preserve">Separation of Duties</t>
  </si>
  <si>
    <t xml:space="preserve">Define conflicting duties and configure role separation (admin vs auditor vs developer) in IAM, OS and applications</t>
  </si>
  <si>
    <t xml:space="preserve">กำหนดหน้าที่ที่ขัดกันและแยกบทบาท (ผู้ดูแลระบบ/ผู้ตรวจสอบ/นักพัฒนา) ใน IAM, OS และแอปพลิเคชัน</t>
  </si>
  <si>
    <t xml:space="preserve">Network, Cloud, Identity, Application</t>
  </si>
  <si>
    <t xml:space="preserve">ESBIT-AC-06</t>
  </si>
  <si>
    <t xml:space="preserve">AC-06</t>
  </si>
  <si>
    <t xml:space="preserve">Least Privilege</t>
  </si>
  <si>
    <t xml:space="preserve">Configure least-privilege roles, restrict privileged commands, sudo/admin rights and log all privileged function use</t>
  </si>
  <si>
    <t xml:space="preserve">กำหนดสิทธิ์ขั้นต่ำ จำกัดคำสั่ง/สิทธิ์ผู้ดูแล (sudo/admin) และบันทึกการใช้งานสิทธิ์สูงทุกครั้ง</t>
  </si>
  <si>
    <t xml:space="preserve">ESBIT-AC-06(01)</t>
  </si>
  <si>
    <t xml:space="preserve">AC-06(01)</t>
  </si>
  <si>
    <t xml:space="preserve">Least Privilege | Authorize Access to Security Functions</t>
  </si>
  <si>
    <t xml:space="preserve">Enhances AC-06 (Least Privilege): configure and enforce 'Authorize Access to Security Functions' in addition to the base setting, keep it consistent across applicable systems and document approved exceptions. Base scope: Configure least-privilege roles, restrict privileged commands, sudo/admin rights and log all privileged function use</t>
  </si>
  <si>
    <t xml:space="preserve">ส่วนขยายของ AC-06: กำหนดค่าและบังคับใช้ 'Authorize Access to Security Functions' เพิ่มเติมจากค่าพื้นฐาน ให้สอดคล้องทุกระบบที่เกี่ยวข้อง และบันทึกข้อยกเว้น - กำหนดสิทธิ์ขั้นต่ำ จำกัดคำสั่ง/สิทธิ์ผู้ดูแล (sudo/admin) และบันทึกการใช้งานสิทธิ์สูงทุกครั้ง</t>
  </si>
  <si>
    <t xml:space="preserve">ESBIT-AC-06(02)</t>
  </si>
  <si>
    <t xml:space="preserve">AC-06(02)</t>
  </si>
  <si>
    <t xml:space="preserve">Least Privilege | Non-privileged Access for Nonsecurity Functions</t>
  </si>
  <si>
    <t xml:space="preserve">Enhances AC-06 (Least Privilege): configure and enforce 'Non-privileged Access for Nonsecurity Functions' in addition to the base setting, keep it consistent across applicable systems and document approved exceptions. Base scope: Configure least-privilege roles, restrict privileged commands, sudo/admin rights and log all privileged function use</t>
  </si>
  <si>
    <t xml:space="preserve">ส่วนขยายของ AC-06: กำหนดค่าและบังคับใช้ 'Non-privileged Access for Nonsecurity Functions' เพิ่มเติมจากค่าพื้นฐาน ให้สอดคล้องทุกระบบที่เกี่ยวข้อง และบันทึกข้อยกเว้น - กำหนดสิทธิ์ขั้นต่ำ จำกัดคำสั่ง/สิทธิ์ผู้ดูแล (sudo/admin) และบันทึกการใช้งานสิทธิ์สูงทุกครั้ง</t>
  </si>
  <si>
    <t xml:space="preserve">ESBIT-AC-06(03)</t>
  </si>
  <si>
    <t xml:space="preserve">AC-06(03)</t>
  </si>
  <si>
    <t xml:space="preserve">Least Privilege | Network Access to Privileged Commands</t>
  </si>
  <si>
    <t xml:space="preserve">Enhances AC-06 (Least Privilege): configure and enforce 'Network Access to Privileged Commands' in addition to the base setting, keep it consistent across applicable systems and document approved exceptions. Base scope: Configure least-privilege roles, restrict privileged commands, sudo/admin rights and log all privileged function use</t>
  </si>
  <si>
    <t xml:space="preserve">ส่วนขยายของ AC-06: กำหนดค่าและบังคับใช้ 'Network Access to Privileged Commands' เพิ่มเติมจากค่าพื้นฐาน ให้สอดคล้องทุกระบบที่เกี่ยวข้อง และบันทึกข้อยกเว้น - กำหนดสิทธิ์ขั้นต่ำ จำกัดคำสั่ง/สิทธิ์ผู้ดูแล (sudo/admin) และบันทึกการใช้งานสิทธิ์สูงทุกครั้ง</t>
  </si>
  <si>
    <t xml:space="preserve">ESBIT-AC-06(04)</t>
  </si>
  <si>
    <t xml:space="preserve">AC-06(04)</t>
  </si>
  <si>
    <t xml:space="preserve">Least Privilege | Separate Processing Domains</t>
  </si>
  <si>
    <t xml:space="preserve">Enhances AC-06 (Least Privilege): configure and enforce 'Separate Processing Domains' in addition to the base setting, keep it consistent across applicable systems and document approved exceptions. Base scope: Configure least-privilege roles, restrict privileged commands, sudo/admin rights and log all privileged function use</t>
  </si>
  <si>
    <t xml:space="preserve">ส่วนขยายของ AC-06: กำหนดค่าและบังคับใช้ 'Separate Processing Domains' เพิ่มเติมจากค่าพื้นฐาน ให้สอดคล้องทุกระบบที่เกี่ยวข้อง และบันทึกข้อยกเว้น - กำหนดสิทธิ์ขั้นต่ำ จำกัดคำสั่ง/สิทธิ์ผู้ดูแล (sudo/admin) และบันทึกการใช้งานสิทธิ์สูงทุกครั้ง</t>
  </si>
  <si>
    <t xml:space="preserve">ESBIT-AC-06(05)</t>
  </si>
  <si>
    <t xml:space="preserve">AC-06(05)</t>
  </si>
  <si>
    <t xml:space="preserve">Least Privilege | Privileged Accounts</t>
  </si>
  <si>
    <t xml:space="preserve">Enhances AC-06 (Least Privilege): configure and enforce 'Privileged Accounts' in addition to the base setting, keep it consistent across applicable systems and document approved exceptions. Base scope: Configure least-privilege roles, restrict privileged commands, sudo/admin rights and log all privileged function use</t>
  </si>
  <si>
    <t xml:space="preserve">ส่วนขยายของ AC-06: กำหนดค่าและบังคับใช้ 'Privileged Accounts' เพิ่มเติมจากค่าพื้นฐาน ให้สอดคล้องทุกระบบที่เกี่ยวข้อง และบันทึกข้อยกเว้น - กำหนดสิทธิ์ขั้นต่ำ จำกัดคำสั่ง/สิทธิ์ผู้ดูแล (sudo/admin) และบันทึกการใช้งานสิทธิ์สูงทุกครั้ง</t>
  </si>
  <si>
    <t xml:space="preserve">ESBIT-AC-06(06)</t>
  </si>
  <si>
    <t xml:space="preserve">AC-06(06)</t>
  </si>
  <si>
    <t xml:space="preserve">Least Privilege | Privileged Access by Non-organizational Users</t>
  </si>
  <si>
    <t xml:space="preserve">Enhances AC-06 (Least Privilege): configure and enforce 'Privileged Access by Non-organizational Users' in addition to the base setting, keep it consistent across applicable systems and document approved exceptions. Base scope: Configure least-privilege roles, restrict privileged commands, sudo/admin rights and log all privileged function use</t>
  </si>
  <si>
    <t xml:space="preserve">ส่วนขยายของ AC-06: กำหนดค่าและบังคับใช้ 'Privileged Access by Non-organizational Users' เพิ่มเติมจากค่าพื้นฐาน ให้สอดคล้องทุกระบบที่เกี่ยวข้อง และบันทึกข้อยกเว้น - กำหนดสิทธิ์ขั้นต่ำ จำกัดคำสั่ง/สิทธิ์ผู้ดูแล (sudo/admin) และบันทึกการใช้งานสิทธิ์สูงทุกครั้ง</t>
  </si>
  <si>
    <t xml:space="preserve">ESBIT-AC-06(07)</t>
  </si>
  <si>
    <t xml:space="preserve">AC-06(07)</t>
  </si>
  <si>
    <t xml:space="preserve">Least Privilege | Review of User Privileges</t>
  </si>
  <si>
    <t xml:space="preserve">Enhances AC-06 (Least Privilege): configure and enforce 'Review of User Privileges' in addition to the base setting, keep it consistent across applicable systems and document approved exceptions. Base scope: Configure least-privilege roles, restrict privileged commands, sudo/admin rights and log all privileged function use</t>
  </si>
  <si>
    <t xml:space="preserve">ส่วนขยายของ AC-06: กำหนดค่าและบังคับใช้ 'Review of User Privileges' เพิ่มเติมจากค่าพื้นฐาน ให้สอดคล้องทุกระบบที่เกี่ยวข้อง และบันทึกข้อยกเว้น - กำหนดสิทธิ์ขั้นต่ำ จำกัดคำสั่ง/สิทธิ์ผู้ดูแล (sudo/admin) และบันทึกการใช้งานสิทธิ์สูงทุกครั้ง</t>
  </si>
  <si>
    <t xml:space="preserve">ESBIT-AC-06(08)</t>
  </si>
  <si>
    <t xml:space="preserve">AC-06(08)</t>
  </si>
  <si>
    <t xml:space="preserve">Least Privilege | Privilege Levels for Code Execution</t>
  </si>
  <si>
    <t xml:space="preserve">Enhances AC-06 (Least Privilege): configure and enforce 'Privilege Levels for Code Execution' in addition to the base setting, keep it consistent across applicable systems and document approved exceptions. Base scope: Configure least-privilege roles, restrict privileged commands, sudo/admin rights and log all privileged function use</t>
  </si>
  <si>
    <t xml:space="preserve">ส่วนขยายของ AC-06: กำหนดค่าและบังคับใช้ 'Privilege Levels for Code Execution' เพิ่มเติมจากค่าพื้นฐาน ให้สอดคล้องทุกระบบที่เกี่ยวข้อง และบันทึกข้อยกเว้น - กำหนดสิทธิ์ขั้นต่ำ จำกัดคำสั่ง/สิทธิ์ผู้ดูแล (sudo/admin) และบันทึกการใช้งานสิทธิ์สูงทุกครั้ง</t>
  </si>
  <si>
    <t xml:space="preserve">ESBIT-AC-06(09)</t>
  </si>
  <si>
    <t xml:space="preserve">AC-06(09)</t>
  </si>
  <si>
    <t xml:space="preserve">Least Privilege | Log Use of Privileged Functions</t>
  </si>
  <si>
    <t xml:space="preserve">Enhances AC-06 (Least Privilege): configure and enforce 'Log Use of Privileged Functions' in addition to the base setting, keep it consistent across applicable systems and document approved exceptions. Base scope: Configure least-privilege roles, restrict privileged commands, sudo/admin rights and log all privileged function use</t>
  </si>
  <si>
    <t xml:space="preserve">ส่วนขยายของ AC-06: กำหนดค่าและบังคับใช้ 'Log Use of Privileged Functions' เพิ่มเติมจากค่าพื้นฐาน ให้สอดคล้องทุกระบบที่เกี่ยวข้อง และบันทึกข้อยกเว้น - กำหนดสิทธิ์ขั้นต่ำ จำกัดคำสั่ง/สิทธิ์ผู้ดูแล (sudo/admin) และบันทึกการใช้งานสิทธิ์สูงทุกครั้ง</t>
  </si>
  <si>
    <t xml:space="preserve">ESBIT-AC-06(10)</t>
  </si>
  <si>
    <t xml:space="preserve">AC-06(10)</t>
  </si>
  <si>
    <t xml:space="preserve">Least Privilege | Prohibit Non-privileged Users from Executing Privileged Functions</t>
  </si>
  <si>
    <t xml:space="preserve">Enhances AC-06 (Least Privilege): configure and enforce 'Prohibit Non-privileged Users from Executing Privileged Functions' in addition to the base setting, keep it consistent across applicable systems and document approved exceptions. Base scope: Configure least-privilege roles, restrict privileged commands, sudo/admin rights and log all privileged function use</t>
  </si>
  <si>
    <t xml:space="preserve">ส่วนขยายของ AC-06: กำหนดค่าและบังคับใช้ 'Prohibit Non-privileged Users from Executing Privileged Functions' เพิ่มเติมจากค่าพื้นฐาน ให้สอดคล้องทุกระบบที่เกี่ยวข้อง และบันทึกข้อยกเว้น - กำหนดสิทธิ์ขั้นต่ำ จำกัดคำสั่ง/สิทธิ์ผู้ดูแล (sudo/admin) และบันทึกการใช้งานสิทธิ์สูงทุกครั้ง</t>
  </si>
  <si>
    <t xml:space="preserve">ESBIT-AC-07</t>
  </si>
  <si>
    <t xml:space="preserve">AC-07</t>
  </si>
  <si>
    <t xml:space="preserve">Unsuccessful Logon Attempts</t>
  </si>
  <si>
    <t xml:space="preserve">PR.AA-03</t>
  </si>
  <si>
    <t xml:space="preserve">Users, services, and hardware are authenticated</t>
  </si>
  <si>
    <t xml:space="preserve">Configure account lockout threshold, lockout duration and failed-logon handling on OS, network devices, applications and databases</t>
  </si>
  <si>
    <t xml:space="preserve">ตั้งค่า Account Lockout (จำนวนครั้งที่ผิด ระยะเวลาล็อก) บน OS, อุปกรณ์เครือข่าย, แอปพลิเคชัน และ DB</t>
  </si>
  <si>
    <t xml:space="preserve">ESBIT-AC-07(02)</t>
  </si>
  <si>
    <t xml:space="preserve">AC-07(02)</t>
  </si>
  <si>
    <t xml:space="preserve">Unsuccessful Logon Attempts | Purge or Wipe Mobile Device</t>
  </si>
  <si>
    <t xml:space="preserve">Enhances AC-07 (Unsuccessful Logon Attempts): configure and enforce 'Purge or Wipe Mobile Device' in addition to the base setting, keep it consistent across applicable systems and document approved exceptions. Base scope: Configure account lockout threshold, lockout duration and failed-logon handling on OS, network devices, applications and databases</t>
  </si>
  <si>
    <t xml:space="preserve">ส่วนขยายของ AC-07: กำหนดค่าและบังคับใช้ 'Purge or Wipe Mobile Device' เพิ่มเติมจากค่าพื้นฐาน ให้สอดคล้องทุกระบบที่เกี่ยวข้อง และบันทึกข้อยกเว้น - ตั้งค่า Account Lockout (จำนวนครั้งที่ผิด ระยะเวลาล็อก) บน OS, อุปกรณ์เครือข่าย, แอปพลิเคชัน และ DB</t>
  </si>
  <si>
    <t xml:space="preserve">ESBIT-AC-07(03)</t>
  </si>
  <si>
    <t xml:space="preserve">AC-07(03)</t>
  </si>
  <si>
    <t xml:space="preserve">Unsuccessful Logon Attempts | Biometric Attempt Limiting</t>
  </si>
  <si>
    <t xml:space="preserve">Enhances AC-07 (Unsuccessful Logon Attempts): configure and enforce 'Biometric Attempt Limiting' in addition to the base setting, keep it consistent across applicable systems and document approved exceptions. Base scope: Configure account lockout threshold, lockout duration and failed-logon handling on OS, network devices, applications and databases</t>
  </si>
  <si>
    <t xml:space="preserve">ส่วนขยายของ AC-07: กำหนดค่าและบังคับใช้ 'Biometric Attempt Limiting' เพิ่มเติมจากค่าพื้นฐาน ให้สอดคล้องทุกระบบที่เกี่ยวข้อง และบันทึกข้อยกเว้น - ตั้งค่า Account Lockout (จำนวนครั้งที่ผิด ระยะเวลาล็อก) บน OS, อุปกรณ์เครือข่าย, แอปพลิเคชัน และ DB</t>
  </si>
  <si>
    <t xml:space="preserve">ESBIT-AC-07(04)</t>
  </si>
  <si>
    <t xml:space="preserve">AC-07(04)</t>
  </si>
  <si>
    <t xml:space="preserve">Unsuccessful Logon Attempts | Use of Alternate Authentication Factor</t>
  </si>
  <si>
    <t xml:space="preserve">Enhances AC-07 (Unsuccessful Logon Attempts): configure and enforce 'Use of Alternate Authentication Factor' in addition to the base setting, keep it consistent across applicable systems and document approved exceptions. Base scope: Configure account lockout threshold, lockout duration and failed-logon handling on OS, network devices, applications and databases</t>
  </si>
  <si>
    <t xml:space="preserve">ส่วนขยายของ AC-07: กำหนดค่าและบังคับใช้ 'Use of Alternate Authentication Factor' เพิ่มเติมจากค่าพื้นฐาน ให้สอดคล้องทุกระบบที่เกี่ยวข้อง และบันทึกข้อยกเว้น - ตั้งค่า Account Lockout (จำนวนครั้งที่ผิด ระยะเวลาล็อก) บน OS, อุปกรณ์เครือข่าย, แอปพลิเคชัน และ DB</t>
  </si>
  <si>
    <t xml:space="preserve">ESBIT-AC-08</t>
  </si>
  <si>
    <t xml:space="preserve">AC-08</t>
  </si>
  <si>
    <t xml:space="preserve">System Use Notification</t>
  </si>
  <si>
    <t xml:space="preserve">Configure login banner / legal warning message on OS, network devices, VPN and applications</t>
  </si>
  <si>
    <t xml:space="preserve">ตั้งค่า Login Banner/ข้อความเตือนทางกฎหมายบน OS, อุปกรณ์เครือข่าย, VPN และแอปพลิเคชัน</t>
  </si>
  <si>
    <t xml:space="preserve">Network, Application</t>
  </si>
  <si>
    <t xml:space="preserve">ESBIT-AC-09</t>
  </si>
  <si>
    <t xml:space="preserve">AC-09</t>
  </si>
  <si>
    <t xml:space="preserve">Previous Logon Notification</t>
  </si>
  <si>
    <t xml:space="preserve">DE.CM - Continuous Monitoring</t>
  </si>
  <si>
    <t xml:space="preserve">DE.CM-03</t>
  </si>
  <si>
    <t xml:space="preserve">Personnel activity and technology usage are monitored to find potentially adverse events</t>
  </si>
  <si>
    <t xml:space="preserve">Configure display of last successful/unsuccessful logon information at logon</t>
  </si>
  <si>
    <t xml:space="preserve">ตั้งค่าแสดงข้อมูลการล็อกอินครั้งล่าสุด/ที่ล้มเหลวเมื่อเข้าสู่ระบบ</t>
  </si>
  <si>
    <t xml:space="preserve">Identity, Application</t>
  </si>
  <si>
    <t xml:space="preserve">Level 3 - Low: optional or limited impact; apply based on risk and context</t>
  </si>
  <si>
    <t xml:space="preserve">ESBIT-AC-09(01)</t>
  </si>
  <si>
    <t xml:space="preserve">AC-09(01)</t>
  </si>
  <si>
    <t xml:space="preserve">Previous Logon Notification | Unsuccessful Logons</t>
  </si>
  <si>
    <t xml:space="preserve">Enhances AC-09 (Previous Logon Notification): configure and enforce 'Unsuccessful Logons' in addition to the base setting, keep it consistent across applicable systems and document approved exceptions. Base scope: Configure display of last successful/unsuccessful logon information at logon</t>
  </si>
  <si>
    <t xml:space="preserve">ส่วนขยายของ AC-09: กำหนดค่าและบังคับใช้ 'Unsuccessful Logons' เพิ่มเติมจากค่าพื้นฐาน ให้สอดคล้องทุกระบบที่เกี่ยวข้อง และบันทึกข้อยกเว้น - ตั้งค่าแสดงข้อมูลการล็อกอินครั้งล่าสุด/ที่ล้มเหลวเมื่อเข้าสู่ระบบ</t>
  </si>
  <si>
    <t xml:space="preserve">ESBIT-AC-09(02)</t>
  </si>
  <si>
    <t xml:space="preserve">AC-09(02)</t>
  </si>
  <si>
    <t xml:space="preserve">Previous Logon Notification | Successful and Unsuccessful Logons</t>
  </si>
  <si>
    <t xml:space="preserve">Enhances AC-09 (Previous Logon Notification): configure and enforce 'Successful and Unsuccessful Logons' in addition to the base setting, keep it consistent across applicable systems and document approved exceptions. Base scope: Configure display of last successful/unsuccessful logon information at logon</t>
  </si>
  <si>
    <t xml:space="preserve">ส่วนขยายของ AC-09: กำหนดค่าและบังคับใช้ 'Successful and Unsuccessful Logons' เพิ่มเติมจากค่าพื้นฐาน ให้สอดคล้องทุกระบบที่เกี่ยวข้อง และบันทึกข้อยกเว้น - ตั้งค่าแสดงข้อมูลการล็อกอินครั้งล่าสุด/ที่ล้มเหลวเมื่อเข้าสู่ระบบ</t>
  </si>
  <si>
    <t xml:space="preserve">ESBIT-AC-09(03)</t>
  </si>
  <si>
    <t xml:space="preserve">AC-09(03)</t>
  </si>
  <si>
    <t xml:space="preserve">Previous Logon Notification | Notification of Account Changes</t>
  </si>
  <si>
    <t xml:space="preserve">Enhances AC-09 (Previous Logon Notification): configure and enforce 'Notification of Account Changes' in addition to the base setting, keep it consistent across applicable systems and document approved exceptions. Base scope: Configure display of last successful/unsuccessful logon information at logon</t>
  </si>
  <si>
    <t xml:space="preserve">ส่วนขยายของ AC-09: กำหนดค่าและบังคับใช้ 'Notification of Account Changes' เพิ่มเติมจากค่าพื้นฐาน ให้สอดคล้องทุกระบบที่เกี่ยวข้อง และบันทึกข้อยกเว้น - ตั้งค่าแสดงข้อมูลการล็อกอินครั้งล่าสุด/ที่ล้มเหลวเมื่อเข้าสู่ระบบ</t>
  </si>
  <si>
    <t xml:space="preserve">ESBIT-AC-09(04)</t>
  </si>
  <si>
    <t xml:space="preserve">AC-09(04)</t>
  </si>
  <si>
    <t xml:space="preserve">Previous Logon Notification | Additional Logon Information</t>
  </si>
  <si>
    <t xml:space="preserve">Enhances AC-09 (Previous Logon Notification): configure and enforce 'Additional Logon Information' in addition to the base setting, keep it consistent across applicable systems and document approved exceptions. Base scope: Configure display of last successful/unsuccessful logon information at logon</t>
  </si>
  <si>
    <t xml:space="preserve">ส่วนขยายของ AC-09: กำหนดค่าและบังคับใช้ 'Additional Logon Information' เพิ่มเติมจากค่าพื้นฐาน ให้สอดคล้องทุกระบบที่เกี่ยวข้อง และบันทึกข้อยกเว้น - ตั้งค่าแสดงข้อมูลการล็อกอินครั้งล่าสุด/ที่ล้มเหลวเมื่อเข้าสู่ระบบ</t>
  </si>
  <si>
    <t xml:space="preserve">ESBIT-AC-10</t>
  </si>
  <si>
    <t xml:space="preserve">AC-10</t>
  </si>
  <si>
    <t xml:space="preserve">Concurrent Session Control</t>
  </si>
  <si>
    <t xml:space="preserve">Configure maximum concurrent sessions per account or account type</t>
  </si>
  <si>
    <t xml:space="preserve">กำหนดจำนวน Session พร้อมกันสูงสุดต่อบัญชีหรือประเภทบัญชี</t>
  </si>
  <si>
    <t xml:space="preserve">ESBIT-AC-11</t>
  </si>
  <si>
    <t xml:space="preserve">AC-11</t>
  </si>
  <si>
    <t xml:space="preserve">Device Lock</t>
  </si>
  <si>
    <t xml:space="preserve">Configure screen lock / session lock after inactivity on workstations, servers, jump hosts and mobile devices</t>
  </si>
  <si>
    <t xml:space="preserve">ตั้งค่า Screen Lock/Session Lock เมื่อไม่มีการใช้งานบนเครื่องผู้ใช้ เซิร์ฟเวอร์ Jump Host และมือถือ</t>
  </si>
  <si>
    <t xml:space="preserve">Application</t>
  </si>
  <si>
    <t xml:space="preserve">ESBIT-AC-11(01)</t>
  </si>
  <si>
    <t xml:space="preserve">AC-11(01)</t>
  </si>
  <si>
    <t xml:space="preserve">Device Lock | Pattern-hiding Displays</t>
  </si>
  <si>
    <t xml:space="preserve">Enhances AC-11 (Device Lock): configure and enforce 'Pattern-hiding Displays' in addition to the base setting, keep it consistent across applicable systems and document approved exceptions. Base scope: Configure screen lock / session lock after inactivity on workstations, servers, jump hosts and mobile devices</t>
  </si>
  <si>
    <t xml:space="preserve">ส่วนขยายของ AC-11: กำหนดค่าและบังคับใช้ 'Pattern-hiding Displays' เพิ่มเติมจากค่าพื้นฐาน ให้สอดคล้องทุกระบบที่เกี่ยวข้อง และบันทึกข้อยกเว้น - ตั้งค่า Screen Lock/Session Lock เมื่อไม่มีการใช้งานบนเครื่องผู้ใช้ เซิร์ฟเวอร์ Jump Host และมือถือ</t>
  </si>
  <si>
    <t xml:space="preserve">ESBIT-AC-12</t>
  </si>
  <si>
    <t xml:space="preserve">AC-12</t>
  </si>
  <si>
    <t xml:space="preserve">Session Termination</t>
  </si>
  <si>
    <t xml:space="preserve">Configure automatic session timeout and forced logout for SSH, RDP, VPN, web, database and console sessions</t>
  </si>
  <si>
    <t xml:space="preserve">ตั้งค่า Session Timeout และบังคับ Logout อัตโนมัติสำหรับ SSH/RDP/VPN/Web/DB/Console</t>
  </si>
  <si>
    <t xml:space="preserve">ESBIT-AC-12(01)</t>
  </si>
  <si>
    <t xml:space="preserve">AC-12(01)</t>
  </si>
  <si>
    <t xml:space="preserve">Session Termination | User-initiated Logouts</t>
  </si>
  <si>
    <t xml:space="preserve">Enhances AC-12 (Session Termination): configure and enforce 'User-initiated Logouts' in addition to the base setting, keep it consistent across applicable systems and document approved exceptions. Base scope: Configure automatic session timeout and forced logout for SSH, RDP, VPN, web, database and console sessions</t>
  </si>
  <si>
    <t xml:space="preserve">ส่วนขยายของ AC-12: กำหนดค่าและบังคับใช้ 'User-initiated Logouts' เพิ่มเติมจากค่าพื้นฐาน ให้สอดคล้องทุกระบบที่เกี่ยวข้อง และบันทึกข้อยกเว้น - ตั้งค่า Session Timeout และบังคับ Logout อัตโนมัติสำหรับ SSH/RDP/VPN/Web/DB/Console</t>
  </si>
  <si>
    <t xml:space="preserve">ESBIT-AC-14</t>
  </si>
  <si>
    <t xml:space="preserve">AC-14</t>
  </si>
  <si>
    <t xml:space="preserve">Permitted Actions Without Identification or Authentication</t>
  </si>
  <si>
    <t xml:space="preserve">Identify and restrict actions allowed without authentication such as public pages and health checks</t>
  </si>
  <si>
    <t xml:space="preserve">ระบุและจำกัดการกระทำที่ทำได้โดยไม่ต้องพิสูจน์ตัวตน เช่น หน้าเว็บสาธารณะและ Health Check</t>
  </si>
  <si>
    <t xml:space="preserve">Network, Cloud, Application</t>
  </si>
  <si>
    <t xml:space="preserve">ESBIT-AC-16</t>
  </si>
  <si>
    <t xml:space="preserve">AC-16</t>
  </si>
  <si>
    <t xml:space="preserve">Security and Privacy Attributes</t>
  </si>
  <si>
    <t xml:space="preserve">PR.DS - Data Security</t>
  </si>
  <si>
    <t xml:space="preserve">PR.DS-01</t>
  </si>
  <si>
    <t xml:space="preserve">The confidentiality, integrity, and availability of data-at-rest are protected</t>
  </si>
  <si>
    <t xml:space="preserve">Configure security labels and attributes on data, users and processes such as classification tags</t>
  </si>
  <si>
    <t xml:space="preserve">กำหนดป้ายกำกับ/แอตทริบิวต์ด้านความปลอดภัย เช่น Data Classification Tag บนข้อมูล ผู้ใช้ และโปรเซส</t>
  </si>
  <si>
    <t xml:space="preserve">ESBIT-AC-16(01)</t>
  </si>
  <si>
    <t xml:space="preserve">AC-16(01)</t>
  </si>
  <si>
    <t xml:space="preserve">Security and Privacy Attributes | Dynamic Attribute Association</t>
  </si>
  <si>
    <t xml:space="preserve">Enhances AC-16 (Security and Privacy Attributes): configure and enforce 'Dynamic Attribute Association' in addition to the base setting, keep it consistent across applicable systems and document approved exceptions. Base scope: Configure security labels and attributes on data, users and processes such as classification tags</t>
  </si>
  <si>
    <t xml:space="preserve">ส่วนขยายของ AC-16: กำหนดค่าและบังคับใช้ 'Dynamic Attribute Association' เพิ่มเติมจากค่าพื้นฐาน ให้สอดคล้องทุกระบบที่เกี่ยวข้อง และบันทึกข้อยกเว้น - กำหนดป้ายกำกับ/แอตทริบิวต์ด้านความปลอดภัย เช่น Data Classification Tag บนข้อมูล ผู้ใช้ และโปรเซส</t>
  </si>
  <si>
    <t xml:space="preserve">ESBIT-AC-16(02)</t>
  </si>
  <si>
    <t xml:space="preserve">AC-16(02)</t>
  </si>
  <si>
    <t xml:space="preserve">Security and Privacy Attributes | Attribute Value Changes by Authorized Individuals</t>
  </si>
  <si>
    <t xml:space="preserve">Enhances AC-16 (Security and Privacy Attributes): configure and enforce 'Attribute Value Changes by Authorized Individuals' in addition to the base setting, keep it consistent across applicable systems and document approved exceptions. Base scope: Configure security labels and attributes on data, users and processes such as classification tags</t>
  </si>
  <si>
    <t xml:space="preserve">ส่วนขยายของ AC-16: กำหนดค่าและบังคับใช้ 'Attribute Value Changes by Authorized Individuals' เพิ่มเติมจากค่าพื้นฐาน ให้สอดคล้องทุกระบบที่เกี่ยวข้อง และบันทึกข้อยกเว้น - กำหนดป้ายกำกับ/แอตทริบิวต์ด้านความปลอดภัย เช่น Data Classification Tag บนข้อมูล ผู้ใช้ และโปรเซส</t>
  </si>
  <si>
    <t xml:space="preserve">ESBIT-AC-16(03)</t>
  </si>
  <si>
    <t xml:space="preserve">AC-16(03)</t>
  </si>
  <si>
    <t xml:space="preserve">Security and Privacy Attributes | Maintenance of Attribute Associations by System</t>
  </si>
  <si>
    <t xml:space="preserve">Enhances AC-16 (Security and Privacy Attributes): configure and enforce 'Maintenance of Attribute Associations by System' in addition to the base setting, keep it consistent across applicable systems and document approved exceptions. Base scope: Configure security labels and attributes on data, users and processes such as classification tags</t>
  </si>
  <si>
    <t xml:space="preserve">ส่วนขยายของ AC-16: กำหนดค่าและบังคับใช้ 'Maintenance of Attribute Associations by System' เพิ่มเติมจากค่าพื้นฐาน ให้สอดคล้องทุกระบบที่เกี่ยวข้อง และบันทึกข้อยกเว้น - กำหนดป้ายกำกับ/แอตทริบิวต์ด้านความปลอดภัย เช่น Data Classification Tag บนข้อมูล ผู้ใช้ และโปรเซส</t>
  </si>
  <si>
    <t xml:space="preserve">ESBIT-AC-16(04)</t>
  </si>
  <si>
    <t xml:space="preserve">AC-16(04)</t>
  </si>
  <si>
    <t xml:space="preserve">Security and Privacy Attributes | Association of Attributes by Authorized Individuals</t>
  </si>
  <si>
    <t xml:space="preserve">Enhances AC-16 (Security and Privacy Attributes): configure and enforce 'Association of Attributes by Authorized Individuals' in addition to the base setting, keep it consistent across applicable systems and document approved exceptions. Base scope: Configure security labels and attributes on data, users and processes such as classification tags</t>
  </si>
  <si>
    <t xml:space="preserve">ส่วนขยายของ AC-16: กำหนดค่าและบังคับใช้ 'Association of Attributes by Authorized Individuals' เพิ่มเติมจากค่าพื้นฐาน ให้สอดคล้องทุกระบบที่เกี่ยวข้อง และบันทึกข้อยกเว้น - กำหนดป้ายกำกับ/แอตทริบิวต์ด้านความปลอดภัย เช่น Data Classification Tag บนข้อมูล ผู้ใช้ และโปรเซส</t>
  </si>
  <si>
    <t xml:space="preserve">ESBIT-AC-16(05)</t>
  </si>
  <si>
    <t xml:space="preserve">AC-16(05)</t>
  </si>
  <si>
    <t xml:space="preserve">Security and Privacy Attributes | Attribute Displays on Objects to Be Output</t>
  </si>
  <si>
    <t xml:space="preserve">Enhances AC-16 (Security and Privacy Attributes): configure and enforce 'Attribute Displays on Objects to Be Output' in addition to the base setting, keep it consistent across applicable systems and document approved exceptions. Base scope: Configure security labels and attributes on data, users and processes such as classification tags</t>
  </si>
  <si>
    <t xml:space="preserve">ส่วนขยายของ AC-16: กำหนดค่าและบังคับใช้ 'Attribute Displays on Objects to Be Output' เพิ่มเติมจากค่าพื้นฐาน ให้สอดคล้องทุกระบบที่เกี่ยวข้อง และบันทึกข้อยกเว้น - กำหนดป้ายกำกับ/แอตทริบิวต์ด้านความปลอดภัย เช่น Data Classification Tag บนข้อมูล ผู้ใช้ และโปรเซส</t>
  </si>
  <si>
    <t xml:space="preserve">ESBIT-AC-16(06)</t>
  </si>
  <si>
    <t xml:space="preserve">AC-16(06)</t>
  </si>
  <si>
    <t xml:space="preserve">Security and Privacy Attributes | Maintenance of Attribute Association</t>
  </si>
  <si>
    <t xml:space="preserve">Enhances AC-16 (Security and Privacy Attributes): configure and enforce 'Maintenance of Attribute Association' in addition to the base setting, keep it consistent across applicable systems and document approved exceptions. Base scope: Configure security labels and attributes on data, users and processes such as classification tags</t>
  </si>
  <si>
    <t xml:space="preserve">ส่วนขยายของ AC-16: กำหนดค่าและบังคับใช้ 'Maintenance of Attribute Association' เพิ่มเติมจากค่าพื้นฐาน ให้สอดคล้องทุกระบบที่เกี่ยวข้อง และบันทึกข้อยกเว้น - กำหนดป้ายกำกับ/แอตทริบิวต์ด้านความปลอดภัย เช่น Data Classification Tag บนข้อมูล ผู้ใช้ และโปรเซส</t>
  </si>
  <si>
    <t xml:space="preserve">ESBIT-AC-16(07)</t>
  </si>
  <si>
    <t xml:space="preserve">AC-16(07)</t>
  </si>
  <si>
    <t xml:space="preserve">Security and Privacy Attributes | Consistent Attribute Interpretation</t>
  </si>
  <si>
    <t xml:space="preserve">Enhances AC-16 (Security and Privacy Attributes): configure and enforce 'Consistent Attribute Interpretation' in addition to the base setting, keep it consistent across applicable systems and document approved exceptions. Base scope: Configure security labels and attributes on data, users and processes such as classification tags</t>
  </si>
  <si>
    <t xml:space="preserve">ส่วนขยายของ AC-16: กำหนดค่าและบังคับใช้ 'Consistent Attribute Interpretation' เพิ่มเติมจากค่าพื้นฐาน ให้สอดคล้องทุกระบบที่เกี่ยวข้อง และบันทึกข้อยกเว้น - กำหนดป้ายกำกับ/แอตทริบิวต์ด้านความปลอดภัย เช่น Data Classification Tag บนข้อมูล ผู้ใช้ และโปรเซส</t>
  </si>
  <si>
    <t xml:space="preserve">ESBIT-AC-16(08)</t>
  </si>
  <si>
    <t xml:space="preserve">AC-16(08)</t>
  </si>
  <si>
    <t xml:space="preserve">Security and Privacy Attributes | Association Techniques and Technologies</t>
  </si>
  <si>
    <t xml:space="preserve">Enhances AC-16 (Security and Privacy Attributes): configure and enforce 'Association Techniques and Technologies' in addition to the base setting, keep it consistent across applicable systems and document approved exceptions. Base scope: Configure security labels and attributes on data, users and processes such as classification tags</t>
  </si>
  <si>
    <t xml:space="preserve">ส่วนขยายของ AC-16: กำหนดค่าและบังคับใช้ 'Association Techniques and Technologies' เพิ่มเติมจากค่าพื้นฐาน ให้สอดคล้องทุกระบบที่เกี่ยวข้อง และบันทึกข้อยกเว้น - กำหนดป้ายกำกับ/แอตทริบิวต์ด้านความปลอดภัย เช่น Data Classification Tag บนข้อมูล ผู้ใช้ และโปรเซส</t>
  </si>
  <si>
    <t xml:space="preserve">ESBIT-AC-16(09)</t>
  </si>
  <si>
    <t xml:space="preserve">AC-16(09)</t>
  </si>
  <si>
    <t xml:space="preserve">Security and Privacy Attributes | Attribute Reassignment - Regrading Mechanisms</t>
  </si>
  <si>
    <t xml:space="preserve">Enhances AC-16 (Security and Privacy Attributes): configure and enforce 'Attribute Reassignment - Regrading Mechanisms' in addition to the base setting, keep it consistent across applicable systems and document approved exceptions. Base scope: Configure security labels and attributes on data, users and processes such as classification tags</t>
  </si>
  <si>
    <t xml:space="preserve">ส่วนขยายของ AC-16: กำหนดค่าและบังคับใช้ 'Attribute Reassignment - Regrading Mechanisms' เพิ่มเติมจากค่าพื้นฐาน ให้สอดคล้องทุกระบบที่เกี่ยวข้อง และบันทึกข้อยกเว้น - กำหนดป้ายกำกับ/แอตทริบิวต์ด้านความปลอดภัย เช่น Data Classification Tag บนข้อมูล ผู้ใช้ และโปรเซส</t>
  </si>
  <si>
    <t xml:space="preserve">ESBIT-AC-16(10)</t>
  </si>
  <si>
    <t xml:space="preserve">AC-16(10)</t>
  </si>
  <si>
    <t xml:space="preserve">Security and Privacy Attributes | Attribute Configuration by Authorized Individuals</t>
  </si>
  <si>
    <t xml:space="preserve">Enhances AC-16 (Security and Privacy Attributes): configure and enforce 'Attribute Configuration by Authorized Individuals' in addition to the base setting, keep it consistent across applicable systems and document approved exceptions. Base scope: Configure security labels and attributes on data, users and processes such as classification tags</t>
  </si>
  <si>
    <t xml:space="preserve">ส่วนขยายของ AC-16: กำหนดค่าและบังคับใช้ 'Attribute Configuration by Authorized Individuals' เพิ่มเติมจากค่าพื้นฐาน ให้สอดคล้องทุกระบบที่เกี่ยวข้อง และบันทึกข้อยกเว้น - กำหนดป้ายกำกับ/แอตทริบิวต์ด้านความปลอดภัย เช่น Data Classification Tag บนข้อมูล ผู้ใช้ และโปรเซส</t>
  </si>
  <si>
    <t xml:space="preserve">ESBIT-AC-17</t>
  </si>
  <si>
    <t xml:space="preserve">AC-17</t>
  </si>
  <si>
    <t xml:space="preserve">Remote Access</t>
  </si>
  <si>
    <t xml:space="preserve">Configure VPN/remote access gateways, MFA, encryption, allowed protocols, session limits and logging for all remote administration</t>
  </si>
  <si>
    <t xml:space="preserve">ตั้งค่า VPN/Remote Access Gateway, MFA, การเข้ารหัส, โปรโตคอลที่อนุญาต และการบันทึกล็อกสำหรับการเข้าถึงระยะไกล</t>
  </si>
  <si>
    <t xml:space="preserve">Network, Cloud, Identity</t>
  </si>
  <si>
    <t xml:space="preserve">ESBIT-AC-17(01)</t>
  </si>
  <si>
    <t xml:space="preserve">AC-17(01)</t>
  </si>
  <si>
    <t xml:space="preserve">Remote Access | Monitoring and Control</t>
  </si>
  <si>
    <t xml:space="preserve">Enhances AC-17 (Remote Access): configure and enforce 'Monitoring and Control' in addition to the base setting, keep it consistent across applicable systems and document approved exceptions. Base scope: Configure VPN/remote access gateways, MFA, encryption, allowed protocols, session limits and logging for all remote administration</t>
  </si>
  <si>
    <t xml:space="preserve">ส่วนขยายของ AC-17: กำหนดค่าและบังคับใช้ 'Monitoring and Control' เพิ่มเติมจากค่าพื้นฐาน ให้สอดคล้องทุกระบบที่เกี่ยวข้อง และบันทึกข้อยกเว้น - ตั้งค่า VPN/Remote Access Gateway, MFA, การเข้ารหัส, โปรโตคอลที่อนุญาต และการบันทึกล็อกสำหรับการเข้าถึงระยะไกล</t>
  </si>
  <si>
    <t xml:space="preserve">ESBIT-AC-17(02)</t>
  </si>
  <si>
    <t xml:space="preserve">AC-17(02)</t>
  </si>
  <si>
    <t xml:space="preserve">Remote Access | Protection of Confidentiality and Integrity Using Encryption</t>
  </si>
  <si>
    <t xml:space="preserve">Enhances AC-17 (Remote Access): configure and enforce 'Protection of Confidentiality and Integrity Using Encryption' in addition to the base setting, keep it consistent across applicable systems and document approved exceptions. Base scope: Configure VPN/remote access gateways, MFA, encryption, allowed protocols, session limits and logging for all remote administration</t>
  </si>
  <si>
    <t xml:space="preserve">ส่วนขยายของ AC-17: กำหนดค่าและบังคับใช้ 'Protection of Confidentiality and Integrity Using Encryption' เพิ่มเติมจากค่าพื้นฐาน ให้สอดคล้องทุกระบบที่เกี่ยวข้อง และบันทึกข้อยกเว้น - ตั้งค่า VPN/Remote Access Gateway, MFA, การเข้ารหัส, โปรโตคอลที่อนุญาต และการบันทึกล็อกสำหรับการเข้าถึงระยะไกล</t>
  </si>
  <si>
    <t xml:space="preserve">ESBIT-AC-17(03)</t>
  </si>
  <si>
    <t xml:space="preserve">AC-17(03)</t>
  </si>
  <si>
    <t xml:space="preserve">Remote Access | Managed Access Control Points</t>
  </si>
  <si>
    <t xml:space="preserve">Enhances AC-17 (Remote Access): configure and enforce 'Managed Access Control Points' in addition to the base setting, keep it consistent across applicable systems and document approved exceptions. Base scope: Configure VPN/remote access gateways, MFA, encryption, allowed protocols, session limits and logging for all remote administration</t>
  </si>
  <si>
    <t xml:space="preserve">ส่วนขยายของ AC-17: กำหนดค่าและบังคับใช้ 'Managed Access Control Points' เพิ่มเติมจากค่าพื้นฐาน ให้สอดคล้องทุกระบบที่เกี่ยวข้อง และบันทึกข้อยกเว้น - ตั้งค่า VPN/Remote Access Gateway, MFA, การเข้ารหัส, โปรโตคอลที่อนุญาต และการบันทึกล็อกสำหรับการเข้าถึงระยะไกล</t>
  </si>
  <si>
    <t xml:space="preserve">ESBIT-AC-17(04)</t>
  </si>
  <si>
    <t xml:space="preserve">AC-17(04)</t>
  </si>
  <si>
    <t xml:space="preserve">Remote Access | Privileged Commands and Access</t>
  </si>
  <si>
    <t xml:space="preserve">Enhances AC-17 (Remote Access): configure and enforce 'Privileged Commands and Access' in addition to the base setting, keep it consistent across applicable systems and document approved exceptions. Base scope: Configure VPN/remote access gateways, MFA, encryption, allowed protocols, session limits and logging for all remote administration</t>
  </si>
  <si>
    <t xml:space="preserve">ส่วนขยายของ AC-17: กำหนดค่าและบังคับใช้ 'Privileged Commands and Access' เพิ่มเติมจากค่าพื้นฐาน ให้สอดคล้องทุกระบบที่เกี่ยวข้อง และบันทึกข้อยกเว้น - ตั้งค่า VPN/Remote Access Gateway, MFA, การเข้ารหัส, โปรโตคอลที่อนุญาต และการบันทึกล็อกสำหรับการเข้าถึงระยะไกล</t>
  </si>
  <si>
    <t xml:space="preserve">ESBIT-AC-17(09)</t>
  </si>
  <si>
    <t xml:space="preserve">AC-17(09)</t>
  </si>
  <si>
    <t xml:space="preserve">Remote Access | Disconnect or Disable Access</t>
  </si>
  <si>
    <t xml:space="preserve">Enhances AC-17 (Remote Access): configure and enforce 'Disconnect or Disable Access' in addition to the base setting, keep it consistent across applicable systems and document approved exceptions. Base scope: Configure VPN/remote access gateways, MFA, encryption, allowed protocols, session limits and logging for all remote administration</t>
  </si>
  <si>
    <t xml:space="preserve">ส่วนขยายของ AC-17: กำหนดค่าและบังคับใช้ 'Disconnect or Disable Access' เพิ่มเติมจากค่าพื้นฐาน ให้สอดคล้องทุกระบบที่เกี่ยวข้อง และบันทึกข้อยกเว้น - ตั้งค่า VPN/Remote Access Gateway, MFA, การเข้ารหัส, โปรโตคอลที่อนุญาต และการบันทึกล็อกสำหรับการเข้าถึงระยะไกล</t>
  </si>
  <si>
    <t xml:space="preserve">ESBIT-AC-17(10)</t>
  </si>
  <si>
    <t xml:space="preserve">AC-17(10)</t>
  </si>
  <si>
    <t xml:space="preserve">Remote Access | Authenticate Remote Commands</t>
  </si>
  <si>
    <t xml:space="preserve">Enhances AC-17 (Remote Access): configure and enforce 'Authenticate Remote Commands' in addition to the base setting, keep it consistent across applicable systems and document approved exceptions. Base scope: Configure VPN/remote access gateways, MFA, encryption, allowed protocols, session limits and logging for all remote administration</t>
  </si>
  <si>
    <t xml:space="preserve">ส่วนขยายของ AC-17: กำหนดค่าและบังคับใช้ 'Authenticate Remote Commands' เพิ่มเติมจากค่าพื้นฐาน ให้สอดคล้องทุกระบบที่เกี่ยวข้อง และบันทึกข้อยกเว้น - ตั้งค่า VPN/Remote Access Gateway, MFA, การเข้ารหัส, โปรโตคอลที่อนุญาต และการบันทึกล็อกสำหรับการเข้าถึงระยะไกล</t>
  </si>
  <si>
    <t xml:space="preserve">ESBIT-AC-18</t>
  </si>
  <si>
    <t xml:space="preserve">AC-18</t>
  </si>
  <si>
    <t xml:space="preserve">Wireless Access</t>
  </si>
  <si>
    <t xml:space="preserve">Configure WLAN security (WPA3/802.1X), SSID policy, rogue AP protection and guest wireless isolation</t>
  </si>
  <si>
    <t xml:space="preserve">ตั้งค่าความปลอดภัย WLAN (WPA3/802.1X) นโยบาย SSID ป้องกัน Rogue AP และแยก Guest Wi-Fi</t>
  </si>
  <si>
    <t xml:space="preserve">Network</t>
  </si>
  <si>
    <t xml:space="preserve">ESBIT-AC-18(01)</t>
  </si>
  <si>
    <t xml:space="preserve">AC-18(01)</t>
  </si>
  <si>
    <t xml:space="preserve">Wireless Access | Authentication and Encryption</t>
  </si>
  <si>
    <t xml:space="preserve">Enhances AC-18 (Wireless Access): configure and enforce 'Authentication and Encryption' in addition to the base setting, keep it consistent across applicable systems and document approved exceptions. Base scope: Configure WLAN security (WPA3/802.1X), SSID policy, rogue AP protection and guest wireless isolation</t>
  </si>
  <si>
    <t xml:space="preserve">ส่วนขยายของ AC-18: กำหนดค่าและบังคับใช้ 'Authentication and Encryption' เพิ่มเติมจากค่าพื้นฐาน ให้สอดคล้องทุกระบบที่เกี่ยวข้อง และบันทึกข้อยกเว้น - ตั้งค่าความปลอดภัย WLAN (WPA3/802.1X) นโยบาย SSID ป้องกัน Rogue AP และแยก Guest Wi-Fi</t>
  </si>
  <si>
    <t xml:space="preserve">ESBIT-AC-18(03)</t>
  </si>
  <si>
    <t xml:space="preserve">AC-18(03)</t>
  </si>
  <si>
    <t xml:space="preserve">Wireless Access | Disable Wireless Networking</t>
  </si>
  <si>
    <t xml:space="preserve">Enhances AC-18 (Wireless Access): configure and enforce 'Disable Wireless Networking' in addition to the base setting, keep it consistent across applicable systems and document approved exceptions. Base scope: Configure WLAN security (WPA3/802.1X), SSID policy, rogue AP protection and guest wireless isolation</t>
  </si>
  <si>
    <t xml:space="preserve">ส่วนขยายของ AC-18: กำหนดค่าและบังคับใช้ 'Disable Wireless Networking' เพิ่มเติมจากค่าพื้นฐาน ให้สอดคล้องทุกระบบที่เกี่ยวข้อง และบันทึกข้อยกเว้น - ตั้งค่าความปลอดภัย WLAN (WPA3/802.1X) นโยบาย SSID ป้องกัน Rogue AP และแยก Guest Wi-Fi</t>
  </si>
  <si>
    <t xml:space="preserve">ESBIT-AC-18(04)</t>
  </si>
  <si>
    <t xml:space="preserve">AC-18(04)</t>
  </si>
  <si>
    <t xml:space="preserve">Wireless Access | Restrict Configurations by Users</t>
  </si>
  <si>
    <t xml:space="preserve">Enhances AC-18 (Wireless Access): configure and enforce 'Restrict Configurations by Users' in addition to the base setting, keep it consistent across applicable systems and document approved exceptions. Base scope: Configure WLAN security (WPA3/802.1X), SSID policy, rogue AP protection and guest wireless isolation</t>
  </si>
  <si>
    <t xml:space="preserve">ส่วนขยายของ AC-18: กำหนดค่าและบังคับใช้ 'Restrict Configurations by Users' เพิ่มเติมจากค่าพื้นฐาน ให้สอดคล้องทุกระบบที่เกี่ยวข้อง และบันทึกข้อยกเว้น - ตั้งค่าความปลอดภัย WLAN (WPA3/802.1X) นโยบาย SSID ป้องกัน Rogue AP และแยก Guest Wi-Fi</t>
  </si>
  <si>
    <t xml:space="preserve">ESBIT-AC-18(05)</t>
  </si>
  <si>
    <t xml:space="preserve">AC-18(05)</t>
  </si>
  <si>
    <t xml:space="preserve">Wireless Access | Antennas and Transmit Power Levels</t>
  </si>
  <si>
    <t xml:space="preserve">Enhances AC-18 (Wireless Access): configure and enforce 'Antennas and Transmit Power Levels' in addition to the base setting, keep it consistent across applicable systems and document approved exceptions. Base scope: Configure WLAN security (WPA3/802.1X), SSID policy, rogue AP protection and guest wireless isolation</t>
  </si>
  <si>
    <t xml:space="preserve">ส่วนขยายของ AC-18: กำหนดค่าและบังคับใช้ 'Antennas and Transmit Power Levels' เพิ่มเติมจากค่าพื้นฐาน ให้สอดคล้องทุกระบบที่เกี่ยวข้อง และบันทึกข้อยกเว้น - ตั้งค่าความปลอดภัย WLAN (WPA3/802.1X) นโยบาย SSID ป้องกัน Rogue AP และแยก Guest Wi-Fi</t>
  </si>
  <si>
    <t xml:space="preserve">ESBIT-AC-19</t>
  </si>
  <si>
    <t xml:space="preserve">AC-19</t>
  </si>
  <si>
    <t xml:space="preserve">Access Control for Mobile Devices</t>
  </si>
  <si>
    <t xml:space="preserve">PR.PS - Platform Security</t>
  </si>
  <si>
    <t xml:space="preserve">PR.PS-01</t>
  </si>
  <si>
    <t xml:space="preserve">Configuration management practices are established and applied</t>
  </si>
  <si>
    <t xml:space="preserve">Configure MDM/MAM policies: device encryption, passcode, remote wipe and app restrictions</t>
  </si>
  <si>
    <t xml:space="preserve">ตั้งค่านโยบาย MDM/MAM เช่น เข้ารหัสอุปกรณ์ รหัสผ่าน Remote Wipe และจำกัดแอป</t>
  </si>
  <si>
    <t xml:space="preserve">ESBIT-AC-19(05)</t>
  </si>
  <si>
    <t xml:space="preserve">AC-19(05)</t>
  </si>
  <si>
    <t xml:space="preserve">Access Control for Mobile Devices | Full Device or Container-based Encryption</t>
  </si>
  <si>
    <t xml:space="preserve">Enhances AC-19 (Access Control for Mobile Devices): configure and enforce 'Full Device or Container-based Encryption' in addition to the base setting, keep it consistent across applicable systems and document approved exceptions. Base scope: Configure MDM/MAM policies: device encryption, passcode, remote wipe and app restrictions</t>
  </si>
  <si>
    <t xml:space="preserve">ส่วนขยายของ AC-19: กำหนดค่าและบังคับใช้ 'Full Device or Container-based Encryption' เพิ่มเติมจากค่าพื้นฐาน ให้สอดคล้องทุกระบบที่เกี่ยวข้อง และบันทึกข้อยกเว้น - ตั้งค่านโยบาย MDM/MAM เช่น เข้ารหัสอุปกรณ์ รหัสผ่าน Remote Wipe และจำกัดแอป</t>
  </si>
  <si>
    <t xml:space="preserve">ESBIT-AC-20</t>
  </si>
  <si>
    <t xml:space="preserve">AC-20</t>
  </si>
  <si>
    <t xml:space="preserve">Use of External Systems</t>
  </si>
  <si>
    <t xml:space="preserve">Configure controls limiting connection to and use of external and third-party systems and portable storage</t>
  </si>
  <si>
    <t xml:space="preserve">กำหนดการควบคุมการเชื่อมต่อและใช้งานระบบภายนอก/บุคคลที่สาม และอุปกรณ์จัดเก็บพกพา</t>
  </si>
  <si>
    <t xml:space="preserve">ESBIT-AC-20(01)</t>
  </si>
  <si>
    <t xml:space="preserve">AC-20(01)</t>
  </si>
  <si>
    <t xml:space="preserve">Use of External Systems | Limits on Authorized Use</t>
  </si>
  <si>
    <t xml:space="preserve">Enhances AC-20 (Use of External Systems): configure and enforce 'Limits on Authorized Use' in addition to the base setting, keep it consistent across applicable systems and document approved exceptions. Base scope: Configure controls limiting connection to and use of external and third-party systems and portable storage</t>
  </si>
  <si>
    <t xml:space="preserve">ส่วนขยายของ AC-20: กำหนดค่าและบังคับใช้ 'Limits on Authorized Use' เพิ่มเติมจากค่าพื้นฐาน ให้สอดคล้องทุกระบบที่เกี่ยวข้อง และบันทึกข้อยกเว้น - กำหนดการควบคุมการเชื่อมต่อและใช้งานระบบภายนอก/บุคคลที่สาม และอุปกรณ์จัดเก็บพกพา</t>
  </si>
  <si>
    <t xml:space="preserve">ESBIT-AC-20(02)</t>
  </si>
  <si>
    <t xml:space="preserve">AC-20(02)</t>
  </si>
  <si>
    <t xml:space="preserve">Use of External Systems | Portable Storage Devices - Restricted Use</t>
  </si>
  <si>
    <t xml:space="preserve">Enhances AC-20 (Use of External Systems): configure and enforce 'Portable Storage Devices - Restricted Use' in addition to the base setting, keep it consistent across applicable systems and document approved exceptions. Base scope: Configure controls limiting connection to and use of external and third-party systems and portable storage</t>
  </si>
  <si>
    <t xml:space="preserve">ส่วนขยายของ AC-20: กำหนดค่าและบังคับใช้ 'Portable Storage Devices - Restricted Use' เพิ่มเติมจากค่าพื้นฐาน ให้สอดคล้องทุกระบบที่เกี่ยวข้อง และบันทึกข้อยกเว้น - กำหนดการควบคุมการเชื่อมต่อและใช้งานระบบภายนอก/บุคคลที่สาม และอุปกรณ์จัดเก็บพกพา</t>
  </si>
  <si>
    <t xml:space="preserve">ESBIT-AC-20(03)</t>
  </si>
  <si>
    <t xml:space="preserve">AC-20(03)</t>
  </si>
  <si>
    <t xml:space="preserve">Use of External Systems | Non-organizationally Owned Systems - Restricted Use</t>
  </si>
  <si>
    <t xml:space="preserve">Enhances AC-20 (Use of External Systems): configure and enforce 'Non-organizationally Owned Systems - Restricted Use' in addition to the base setting, keep it consistent across applicable systems and document approved exceptions. Base scope: Configure controls limiting connection to and use of external and third-party systems and portable storage</t>
  </si>
  <si>
    <t xml:space="preserve">ส่วนขยายของ AC-20: กำหนดค่าและบังคับใช้ 'Non-organizationally Owned Systems - Restricted Use' เพิ่มเติมจากค่าพื้นฐาน ให้สอดคล้องทุกระบบที่เกี่ยวข้อง และบันทึกข้อยกเว้น - กำหนดการควบคุมการเชื่อมต่อและใช้งานระบบภายนอก/บุคคลที่สาม และอุปกรณ์จัดเก็บพกพา</t>
  </si>
  <si>
    <t xml:space="preserve">ESBIT-AC-20(04)</t>
  </si>
  <si>
    <t xml:space="preserve">AC-20(04)</t>
  </si>
  <si>
    <t xml:space="preserve">Use of External Systems | Network Accessible Storage Devices - Prohibited Use</t>
  </si>
  <si>
    <t xml:space="preserve">Enhances AC-20 (Use of External Systems): configure and enforce 'Network Accessible Storage Devices - Prohibited Use' in addition to the base setting, keep it consistent across applicable systems and document approved exceptions. Base scope: Configure controls limiting connection to and use of external and third-party systems and portable storage</t>
  </si>
  <si>
    <t xml:space="preserve">ส่วนขยายของ AC-20: กำหนดค่าและบังคับใช้ 'Network Accessible Storage Devices - Prohibited Use' เพิ่มเติมจากค่าพื้นฐาน ให้สอดคล้องทุกระบบที่เกี่ยวข้อง และบันทึกข้อยกเว้น - กำหนดการควบคุมการเชื่อมต่อและใช้งานระบบภายนอก/บุคคลที่สาม และอุปกรณ์จัดเก็บพกพา</t>
  </si>
  <si>
    <t xml:space="preserve">ESBIT-AC-20(05)</t>
  </si>
  <si>
    <t xml:space="preserve">AC-20(05)</t>
  </si>
  <si>
    <t xml:space="preserve">Use of External Systems | Portable Storage Devices - Prohibited Use</t>
  </si>
  <si>
    <t xml:space="preserve">Enhances AC-20 (Use of External Systems): configure and enforce 'Portable Storage Devices - Prohibited Use' in addition to the base setting, keep it consistent across applicable systems and document approved exceptions. Base scope: Configure controls limiting connection to and use of external and third-party systems and portable storage</t>
  </si>
  <si>
    <t xml:space="preserve">ส่วนขยายของ AC-20: กำหนดค่าและบังคับใช้ 'Portable Storage Devices - Prohibited Use' เพิ่มเติมจากค่าพื้นฐาน ให้สอดคล้องทุกระบบที่เกี่ยวข้อง และบันทึกข้อยกเว้น - กำหนดการควบคุมการเชื่อมต่อและใช้งานระบบภายนอก/บุคคลที่สาม และอุปกรณ์จัดเก็บพกพา</t>
  </si>
  <si>
    <t xml:space="preserve">ESBIT-AC-21</t>
  </si>
  <si>
    <t xml:space="preserve">AC-21</t>
  </si>
  <si>
    <t xml:space="preserve">Information Sharing</t>
  </si>
  <si>
    <t xml:space="preserve">Configure sharing permissions and approval for information sharing (shared drives, external links)</t>
  </si>
  <si>
    <t xml:space="preserve">กำหนดสิทธิ์และการอนุมัติการแชร์ข้อมูล (Shared Drive, External Link)</t>
  </si>
  <si>
    <t xml:space="preserve">ESBIT-AC-21(01)</t>
  </si>
  <si>
    <t xml:space="preserve">AC-21(01)</t>
  </si>
  <si>
    <t xml:space="preserve">Information Sharing | Automated Decision Support</t>
  </si>
  <si>
    <t xml:space="preserve">Enhances AC-21 (Information Sharing): configure and enforce 'Automated Decision Support' in addition to the base setting, keep it consistent across applicable systems and document approved exceptions. Base scope: Configure sharing permissions and approval for information sharing (shared drives, external links)</t>
  </si>
  <si>
    <t xml:space="preserve">ส่วนขยายของ AC-21: กำหนดค่าและบังคับใช้ 'Automated Decision Support' เพิ่มเติมจากค่าพื้นฐาน ให้สอดคล้องทุกระบบที่เกี่ยวข้อง และบันทึกข้อยกเว้น - กำหนดสิทธิ์และการอนุมัติการแชร์ข้อมูล (Shared Drive, External Link)</t>
  </si>
  <si>
    <t xml:space="preserve">ESBIT-AC-21(02)</t>
  </si>
  <si>
    <t xml:space="preserve">AC-21(02)</t>
  </si>
  <si>
    <t xml:space="preserve">Information Sharing | Information Search and Retrieval</t>
  </si>
  <si>
    <t xml:space="preserve">Enhances AC-21 (Information Sharing): configure and enforce 'Information Search and Retrieval' in addition to the base setting, keep it consistent across applicable systems and document approved exceptions. Base scope: Configure sharing permissions and approval for information sharing (shared drives, external links)</t>
  </si>
  <si>
    <t xml:space="preserve">ส่วนขยายของ AC-21: กำหนดค่าและบังคับใช้ 'Information Search and Retrieval' เพิ่มเติมจากค่าพื้นฐาน ให้สอดคล้องทุกระบบที่เกี่ยวข้อง และบันทึกข้อยกเว้น - กำหนดสิทธิ์และการอนุมัติการแชร์ข้อมูล (Shared Drive, External Link)</t>
  </si>
  <si>
    <t xml:space="preserve">ESBIT-AC-22</t>
  </si>
  <si>
    <t xml:space="preserve">AC-22</t>
  </si>
  <si>
    <t xml:space="preserve">Publicly Accessible Content</t>
  </si>
  <si>
    <t xml:space="preserve">Configure review and approval before publishing content; restrict non-public data on public web and storage</t>
  </si>
  <si>
    <t xml:space="preserve">ตั้งค่าการทบทวนและอนุมัติก่อนเผยแพร่เนื้อหา และป้องกันข้อมูลที่ไม่เปิดเผยบนเว็บ/Storage สาธารณะ</t>
  </si>
  <si>
    <t xml:space="preserve">Cloud, Application</t>
  </si>
  <si>
    <t xml:space="preserve">ESBIT-AC-23</t>
  </si>
  <si>
    <t xml:space="preserve">AC-23</t>
  </si>
  <si>
    <t xml:space="preserve">Data Mining Protection</t>
  </si>
  <si>
    <t xml:space="preserve">Configure query limits, monitoring and anti-scraping to prevent unauthorized data mining</t>
  </si>
  <si>
    <t xml:space="preserve">กำหนดข้อจำกัด Query การเฝ้าระวัง และ Anti-scraping เพื่อป้องกันการขุดข้อมูลโดยไม่ได้รับอนุญาต</t>
  </si>
  <si>
    <t xml:space="preserve">Database</t>
  </si>
  <si>
    <t xml:space="preserve">ESBIT-AC-24</t>
  </si>
  <si>
    <t xml:space="preserve">AC-24</t>
  </si>
  <si>
    <t xml:space="preserve">Access Control Decisions</t>
  </si>
  <si>
    <t xml:space="preserve">Configure how access decisions are transmitted and enforced across systems</t>
  </si>
  <si>
    <t xml:space="preserve">กำหนดวิธีส่งต่อและบังคับใช้ผลการตัดสินสิทธิ์การเข้าถึงระหว่างระบบ</t>
  </si>
  <si>
    <t xml:space="preserve">Cloud, Identity, Application</t>
  </si>
  <si>
    <t xml:space="preserve">ESBIT-AC-24(01)</t>
  </si>
  <si>
    <t xml:space="preserve">AC-24(01)</t>
  </si>
  <si>
    <t xml:space="preserve">Access Control Decisions | Transmit Access Authorization Information</t>
  </si>
  <si>
    <t xml:space="preserve">Enhances AC-24 (Access Control Decisions): configure and enforce 'Transmit Access Authorization Information' in addition to the base setting, keep it consistent across applicable systems and document approved exceptions. Base scope: Configure how access decisions are transmitted and enforced across systems</t>
  </si>
  <si>
    <t xml:space="preserve">ส่วนขยายของ AC-24: กำหนดค่าและบังคับใช้ 'Transmit Access Authorization Information' เพิ่มเติมจากค่าพื้นฐาน ให้สอดคล้องทุกระบบที่เกี่ยวข้อง และบันทึกข้อยกเว้น - กำหนดวิธีส่งต่อและบังคับใช้ผลการตัดสินสิทธิ์การเข้าถึงระหว่างระบบ</t>
  </si>
  <si>
    <t xml:space="preserve">ESBIT-AC-24(02)</t>
  </si>
  <si>
    <t xml:space="preserve">AC-24(02)</t>
  </si>
  <si>
    <t xml:space="preserve">Access Control Decisions | No User or Process Identity</t>
  </si>
  <si>
    <t xml:space="preserve">Enhances AC-24 (Access Control Decisions): configure and enforce 'No User or Process Identity' in addition to the base setting, keep it consistent across applicable systems and document approved exceptions. Base scope: Configure how access decisions are transmitted and enforced across systems</t>
  </si>
  <si>
    <t xml:space="preserve">ส่วนขยายของ AC-24: กำหนดค่าและบังคับใช้ 'No User or Process Identity' เพิ่มเติมจากค่าพื้นฐาน ให้สอดคล้องทุกระบบที่เกี่ยวข้อง และบันทึกข้อยกเว้น - กำหนดวิธีส่งต่อและบังคับใช้ผลการตัดสินสิทธิ์การเข้าถึงระหว่างระบบ</t>
  </si>
  <si>
    <t xml:space="preserve">ESBIT-AC-25</t>
  </si>
  <si>
    <t xml:space="preserve">AC-25</t>
  </si>
  <si>
    <t xml:space="preserve">Reference Monitor</t>
  </si>
  <si>
    <t xml:space="preserve">Implement a tamper-proof, always-invoked access enforcement mechanism (reference monitor)</t>
  </si>
  <si>
    <t xml:space="preserve">ใช้กลไกบังคับสิทธิ์ที่ป้องกันการแก้ไขและทำงานทุกครั้ง (Reference Monitor)</t>
  </si>
  <si>
    <t xml:space="preserve">ESBIT-AT-01</t>
  </si>
  <si>
    <t xml:space="preserve">AT-01</t>
  </si>
  <si>
    <t xml:space="preserve">Awareness and Training (AT)</t>
  </si>
  <si>
    <t xml:space="preserve">Not a direct configuration item - define, document, review and communicate the Awareness and Training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</si>
  <si>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และทบทวนนโยบาย/ขั้นตอนของหมวดการอบรมและสร้างความตระหนัก เพื่อเป็นฐานในการกำหนดมาตรฐาน Config</t>
  </si>
  <si>
    <t xml:space="preserve">ESBIT-AT-02</t>
  </si>
  <si>
    <t xml:space="preserve">AT-02</t>
  </si>
  <si>
    <t xml:space="preserve">Literacy Training and Awareness</t>
  </si>
  <si>
    <t xml:space="preserve">PR.AT - Awareness and Training</t>
  </si>
  <si>
    <t xml:space="preserve">PR.AT-01</t>
  </si>
  <si>
    <t xml:space="preserve">Personnel are provided with awareness and training so that they possess the knowledge and skills to perform general tasks with cybersecurity risks in mind</t>
  </si>
  <si>
    <t xml:space="preserve">Not a direct configuration item - security awareness training for all users on threats and secure use of systems</t>
  </si>
  <si>
    <t xml:space="preserve">ไม่ใช่การ config โดยตรง - การอบรมสร้างความตระหนักด้านความมั่นคงปลอดภัยให้ผู้ใช้ทุกคน</t>
  </si>
  <si>
    <t xml:space="preserve">ESBIT-AT-02(01)</t>
  </si>
  <si>
    <t xml:space="preserve">AT-02(01)</t>
  </si>
  <si>
    <t xml:space="preserve">Literacy Training and Awareness | Practical Exercises</t>
  </si>
  <si>
    <t xml:space="preserve">Not a direct configuration item - enhancement of AT-02 (Literacy Training and Awareness): 'Practical Exercises'; security awareness training for all users on threats and secure use of systems.</t>
  </si>
  <si>
    <t xml:space="preserve">ไม่ใช่การ config โดยตรง - ส่วนขยายของ AT-02: 'Practical Exercises' - การอบรมสร้างความตระหนักด้านความมั่นคงปลอดภัยให้ผู้ใช้ทุกคน</t>
  </si>
  <si>
    <t xml:space="preserve">ESBIT-AT-02(02)</t>
  </si>
  <si>
    <t xml:space="preserve">AT-02(02)</t>
  </si>
  <si>
    <t xml:space="preserve">Literacy Training and Awareness | Insider Threat</t>
  </si>
  <si>
    <t xml:space="preserve">Not a direct configuration item - enhancement of AT-02 (Literacy Training and Awareness): 'Insider Threat'; security awareness training for all users on threats and secure use of systems.</t>
  </si>
  <si>
    <t xml:space="preserve">ไม่ใช่การ config โดยตรง - ส่วนขยายของ AT-02: 'Insider Threat' - การอบรมสร้างความตระหนักด้านความมั่นคงปลอดภัยให้ผู้ใช้ทุกคน</t>
  </si>
  <si>
    <t xml:space="preserve">ESBIT-AT-02(03)</t>
  </si>
  <si>
    <t xml:space="preserve">AT-02(03)</t>
  </si>
  <si>
    <t xml:space="preserve">Literacy Training and Awareness | Social Engineering and Mining</t>
  </si>
  <si>
    <t xml:space="preserve">Not a direct configuration item - enhancement of AT-02 (Literacy Training and Awareness): 'Social Engineering and Mining'; security awareness training for all users on threats and secure use of systems.</t>
  </si>
  <si>
    <t xml:space="preserve">ไม่ใช่การ config โดยตรง - ส่วนขยายของ AT-02: 'Social Engineering and Mining' - การอบรมสร้างความตระหนักด้านความมั่นคงปลอดภัยให้ผู้ใช้ทุกคน</t>
  </si>
  <si>
    <t xml:space="preserve">ESBIT-AT-02(04)</t>
  </si>
  <si>
    <t xml:space="preserve">AT-02(04)</t>
  </si>
  <si>
    <t xml:space="preserve">Literacy Training and Awareness | Suspicious Communications and Anomalous System Behavior</t>
  </si>
  <si>
    <t xml:space="preserve">Not a direct configuration item - enhancement of AT-02 (Literacy Training and Awareness): 'Suspicious Communications and Anomalous System Behavior'; security awareness training for all users on threats and secure use of systems.</t>
  </si>
  <si>
    <t xml:space="preserve">ไม่ใช่การ config โดยตรง - ส่วนขยายของ AT-02: 'Suspicious Communications and Anomalous System Behavior' - การอบรมสร้างความตระหนักด้านความมั่นคงปลอดภัยให้ผู้ใช้ทุกคน</t>
  </si>
  <si>
    <t xml:space="preserve">ESBIT-AT-02(05)</t>
  </si>
  <si>
    <t xml:space="preserve">AT-02(05)</t>
  </si>
  <si>
    <t xml:space="preserve">Literacy Training and Awareness | Advanced Persistent Threat</t>
  </si>
  <si>
    <t xml:space="preserve">Not a direct configuration item - enhancement of AT-02 (Literacy Training and Awareness): 'Advanced Persistent Threat'; security awareness training for all users on threats and secure use of systems.</t>
  </si>
  <si>
    <t xml:space="preserve">ไม่ใช่การ config โดยตรง - ส่วนขยายของ AT-02: 'Advanced Persistent Threat' - การอบรมสร้างความตระหนักด้านความมั่นคงปลอดภัยให้ผู้ใช้ทุกคน</t>
  </si>
  <si>
    <t xml:space="preserve">ESBIT-AT-02(06)</t>
  </si>
  <si>
    <t xml:space="preserve">AT-02(06)</t>
  </si>
  <si>
    <t xml:space="preserve">Literacy Training and Awareness | Cyber Threat Environment</t>
  </si>
  <si>
    <t xml:space="preserve">Not a direct configuration item - enhancement of AT-02 (Literacy Training and Awareness): 'Cyber Threat Environment'; security awareness training for all users on threats and secure use of systems.</t>
  </si>
  <si>
    <t xml:space="preserve">ไม่ใช่การ config โดยตรง - ส่วนขยายของ AT-02: 'Cyber Threat Environment' - การอบรมสร้างความตระหนักด้านความมั่นคงปลอดภัยให้ผู้ใช้ทุกคน</t>
  </si>
  <si>
    <t xml:space="preserve">ESBIT-AT-03</t>
  </si>
  <si>
    <t xml:space="preserve">AT-03</t>
  </si>
  <si>
    <t xml:space="preserve">Role-based Training</t>
  </si>
  <si>
    <t xml:space="preserve">PR.AT-02</t>
  </si>
  <si>
    <t xml:space="preserve">Individuals in specialized roles are provided with awareness and training so that they possess the knowledge and skills to perform relevant tasks with cybersecurity risks in mind</t>
  </si>
  <si>
    <t xml:space="preserve">Not a direct configuration item - role-specific security training for administrators, developers and privileged users</t>
  </si>
  <si>
    <t xml:space="preserve">ไม่ใช่การ config โดยตรง - การอบรมเฉพาะบทบาท เช่น ผู้ดูแลระบบ นักพัฒนา และผู้ใช้สิทธิ์สูง</t>
  </si>
  <si>
    <t xml:space="preserve">ESBIT-AT-03(01)</t>
  </si>
  <si>
    <t xml:space="preserve">AT-03(01)</t>
  </si>
  <si>
    <t xml:space="preserve">Role-based Training | Environmental Controls</t>
  </si>
  <si>
    <t xml:space="preserve">Not a direct configuration item - enhancement of AT-03 (Role-based Training): 'Environmental Controls'; role-specific security training for administrators, developers and privileged users.</t>
  </si>
  <si>
    <t xml:space="preserve">ไม่ใช่การ config โดยตรง - ส่วนขยายของ AT-03: 'Environmental Controls' - การอบรมเฉพาะบทบาท เช่น ผู้ดูแลระบบ นักพัฒนา และผู้ใช้สิทธิ์สูง</t>
  </si>
  <si>
    <t xml:space="preserve">ESBIT-AT-03(02)</t>
  </si>
  <si>
    <t xml:space="preserve">AT-03(02)</t>
  </si>
  <si>
    <t xml:space="preserve">Role-based Training | Physical Security Controls</t>
  </si>
  <si>
    <t xml:space="preserve">Not a direct configuration item - enhancement of AT-03 (Role-based Training): 'Physical Security Controls'; role-specific security training for administrators, developers and privileged users.</t>
  </si>
  <si>
    <t xml:space="preserve">ไม่ใช่การ config โดยตรง - ส่วนขยายของ AT-03: 'Physical Security Controls' - การอบรมเฉพาะบทบาท เช่น ผู้ดูแลระบบ นักพัฒนา และผู้ใช้สิทธิ์สูง</t>
  </si>
  <si>
    <t xml:space="preserve">ESBIT-AT-03(03)</t>
  </si>
  <si>
    <t xml:space="preserve">AT-03(03)</t>
  </si>
  <si>
    <t xml:space="preserve">Role-based Training | Practical Exercises</t>
  </si>
  <si>
    <t xml:space="preserve">Not a direct configuration item - enhancement of AT-03 (Role-based Training): 'Practical Exercises'; role-specific security training for administrators, developers and privileged users.</t>
  </si>
  <si>
    <t xml:space="preserve">ไม่ใช่การ config โดยตรง - ส่วนขยายของ AT-03: 'Practical Exercises' - การอบรมเฉพาะบทบาท เช่น ผู้ดูแลระบบ นักพัฒนา และผู้ใช้สิทธิ์สูง</t>
  </si>
  <si>
    <t xml:space="preserve">ESBIT-AT-03(04)</t>
  </si>
  <si>
    <t xml:space="preserve">AT-03(04)</t>
  </si>
  <si>
    <t xml:space="preserve">Role-based Training | Suspicious Communications and Anomalous System Behavior</t>
  </si>
  <si>
    <t xml:space="preserve">Not a direct configuration item - enhancement of AT-03 (Role-based Training): 'Suspicious Communications and Anomalous System Behavior'; role-specific security training for administrators, developers and privileged users.</t>
  </si>
  <si>
    <t xml:space="preserve">ไม่ใช่การ config โดยตรง - ส่วนขยายของ AT-03: 'Suspicious Communications and Anomalous System Behavior' - การอบรมเฉพาะบทบาท เช่น ผู้ดูแลระบบ นักพัฒนา และผู้ใช้สิทธิ์สูง</t>
  </si>
  <si>
    <t xml:space="preserve">ESBIT-AT-03(05)</t>
  </si>
  <si>
    <t xml:space="preserve">AT-03(05)</t>
  </si>
  <si>
    <t xml:space="preserve">Role-based Training | Processing Personally Identifiable Information</t>
  </si>
  <si>
    <t xml:space="preserve">Not a direct configuration item - enhancement of AT-03 (Role-based Training): 'Processing Personally Identifiable Information'; role-specific security training for administrators, developers and privileged users.</t>
  </si>
  <si>
    <t xml:space="preserve">ไม่ใช่การ config โดยตรง - ส่วนขยายของ AT-03: 'Processing Personally Identifiable Information' - การอบรมเฉพาะบทบาท เช่น ผู้ดูแลระบบ นักพัฒนา และผู้ใช้สิทธิ์สูง</t>
  </si>
  <si>
    <t xml:space="preserve">ESBIT-AT-04</t>
  </si>
  <si>
    <t xml:space="preserve">AT-04</t>
  </si>
  <si>
    <t xml:space="preserve">Training Records</t>
  </si>
  <si>
    <t xml:space="preserve">Not a direct configuration item - keeping records of completed security training</t>
  </si>
  <si>
    <t xml:space="preserve">ไม่ใช่การ config โดยตรง - การเก็บบันทึกผลการอบรมด้านความมั่นคงปลอดภัย</t>
  </si>
  <si>
    <t xml:space="preserve">ESBIT-AT-06</t>
  </si>
  <si>
    <t xml:space="preserve">AT-06</t>
  </si>
  <si>
    <t xml:space="preserve">Training Feedback</t>
  </si>
  <si>
    <t xml:space="preserve">Not a direct configuration item - collecting feedback on training effectiveness</t>
  </si>
  <si>
    <t xml:space="preserve">ไม่ใช่การ config โดยตรง - การรวบรวมข้อเสนอแนะเพื่อปรับปรุงการอบรม</t>
  </si>
  <si>
    <t xml:space="preserve">ESBIT-AU-01</t>
  </si>
  <si>
    <t xml:space="preserve">AU-01</t>
  </si>
  <si>
    <t xml:space="preserve">Audit and Accountability (AU)</t>
  </si>
  <si>
    <t xml:space="preserve">Not a direct configuration item - define, document, review and communicate the Audit and Accountability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</si>
  <si>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และทบทวนนโยบาย/ขั้นตอนของหมวดการตรวจสอบและบันทึกล็อก เพื่อเป็นฐานในการกำหนดมาตรฐาน Config</t>
  </si>
  <si>
    <t xml:space="preserve">ESBIT-AU-02</t>
  </si>
  <si>
    <t xml:space="preserve">AU-02</t>
  </si>
  <si>
    <t xml:space="preserve">Event Logging</t>
  </si>
  <si>
    <t xml:space="preserve">PR.PS-04</t>
  </si>
  <si>
    <t xml:space="preserve">Log records are generated and made available for continuous monitoring</t>
  </si>
  <si>
    <t xml:space="preserve">Define and enable auditable events (logon, privilege use, configuration change, admin actions) on OS, database, network devices, applications and cloud</t>
  </si>
  <si>
    <t xml:space="preserve">กำหนดและเปิดใช้งานเหตุการณ์ที่ต้องบันทึก (Logon, ใช้สิทธิ์สูง, เปลี่ยน Config, งานผู้ดูแล) บน OS/DB/Network/App/Cloud</t>
  </si>
  <si>
    <t xml:space="preserve">Network, Cloud, Monitoring</t>
  </si>
  <si>
    <t xml:space="preserve">ESBIT-AU-02(03)</t>
  </si>
  <si>
    <t xml:space="preserve">AU-02(03)</t>
  </si>
  <si>
    <t xml:space="preserve">Event Logging | Reviews and Updates</t>
  </si>
  <si>
    <t xml:space="preserve">Enhances AU-02 (Event Logging): configure and enforce 'Reviews and Updates' in addition to the base setting, keep it consistent across applicable systems and document approved exceptions. Base scope: Define and enable auditable events (logon, privilege use, configuration change, admin actions) on OS, database, network devices, applications and cloud</t>
  </si>
  <si>
    <t xml:space="preserve">ส่วนขยายของ AU-02: กำหนดค่าและบังคับใช้ 'Reviews and Updates' เพิ่มเติมจากค่าพื้นฐาน ให้สอดคล้องทุกระบบที่เกี่ยวข้อง และบันทึกข้อยกเว้น - กำหนดและเปิดใช้งานเหตุการณ์ที่ต้องบันทึก (Logon, ใช้สิทธิ์สูง, เปลี่ยน Config, งานผู้ดูแล) บน OS/DB/Network/App/Cloud</t>
  </si>
  <si>
    <t xml:space="preserve">ESBIT-AU-03</t>
  </si>
  <si>
    <t xml:space="preserve">AU-03</t>
  </si>
  <si>
    <t xml:space="preserve">Content of Audit Records</t>
  </si>
  <si>
    <t xml:space="preserve">Configure log format to include event type, timestamp, source, user identity, outcome and location</t>
  </si>
  <si>
    <t xml:space="preserve">ตั้งค่ารูปแบบ Log ให้มีชนิดเหตุการณ์ เวลา แหล่งที่มา ผู้ใช้ ผลลัพธ์ และตำแหน่ง</t>
  </si>
  <si>
    <t xml:space="preserve">ESBIT-AU-03(01)</t>
  </si>
  <si>
    <t xml:space="preserve">AU-03(01)</t>
  </si>
  <si>
    <t xml:space="preserve">Content of Audit Records | Additional Audit Information</t>
  </si>
  <si>
    <t xml:space="preserve">Enhances AU-03 (Content of Audit Records): configure and enforce 'Additional Audit Information' in addition to the base setting, keep it consistent across applicable systems and document approved exceptions. Base scope: Configure log format to include event type, timestamp, source, user identity, outcome and location</t>
  </si>
  <si>
    <t xml:space="preserve">ส่วนขยายของ AU-03: กำหนดค่าและบังคับใช้ 'Additional Audit Information' เพิ่มเติมจากค่าพื้นฐาน ให้สอดคล้องทุกระบบที่เกี่ยวข้อง และบันทึกข้อยกเว้น - ตั้งค่ารูปแบบ Log ให้มีชนิดเหตุการณ์ เวลา แหล่งที่มา ผู้ใช้ ผลลัพธ์ และตำแหน่ง</t>
  </si>
  <si>
    <t xml:space="preserve">ESBIT-AU-03(03)</t>
  </si>
  <si>
    <t xml:space="preserve">AU-03(03)</t>
  </si>
  <si>
    <t xml:space="preserve">Content of Audit Records | Limit Personally Identifiable Information Elements</t>
  </si>
  <si>
    <t xml:space="preserve">Enhances AU-03 (Content of Audit Records): configure and enforce 'Limit Personally Identifiable Information Elements' in addition to the base setting, keep it consistent across applicable systems and document approved exceptions. Base scope: Configure log format to include event type, timestamp, source, user identity, outcome and location</t>
  </si>
  <si>
    <t xml:space="preserve">ส่วนขยายของ AU-03: กำหนดค่าและบังคับใช้ 'Limit Personally Identifiable Information Elements' เพิ่มเติมจากค่าพื้นฐาน ให้สอดคล้องทุกระบบที่เกี่ยวข้อง และบันทึกข้อยกเว้น - ตั้งค่ารูปแบบ Log ให้มีชนิดเหตุการณ์ เวลา แหล่งที่มา ผู้ใช้ ผลลัพธ์ และตำแหน่ง</t>
  </si>
  <si>
    <t xml:space="preserve">ESBIT-AU-04</t>
  </si>
  <si>
    <t xml:space="preserve">AU-04</t>
  </si>
  <si>
    <t xml:space="preserve">Audit Log Storage Capacity</t>
  </si>
  <si>
    <t xml:space="preserve">PR.IR-04</t>
  </si>
  <si>
    <t xml:space="preserve">Adequate resource capacity to ensure availability is maintained</t>
  </si>
  <si>
    <t xml:space="preserve">Allocate log storage capacity and configure log rotation and retention volume on servers and appliances</t>
  </si>
  <si>
    <t xml:space="preserve">จัดสรรพื้นที่เก็บ Log และตั้งค่า Log Rotation/Retention บนเซิร์ฟเวอร์และอุปกรณ์</t>
  </si>
  <si>
    <t xml:space="preserve">ESBIT-AU-04(01)</t>
  </si>
  <si>
    <t xml:space="preserve">AU-04(01)</t>
  </si>
  <si>
    <t xml:space="preserve">Audit Log Storage Capacity | Transfer to Alternate Storage</t>
  </si>
  <si>
    <t xml:space="preserve">Enhances AU-04 (Audit Log Storage Capacity): configure and enforce 'Transfer to Alternate Storage' in addition to the base setting, keep it consistent across applicable systems and document approved exceptions. Base scope: Allocate log storage capacity and configure log rotation and retention volume on servers and appliances</t>
  </si>
  <si>
    <t xml:space="preserve">ส่วนขยายของ AU-04: กำหนดค่าและบังคับใช้ 'Transfer to Alternate Storage' เพิ่มเติมจากค่าพื้นฐาน ให้สอดคล้องทุกระบบที่เกี่ยวข้อง และบันทึกข้อยกเว้น - จัดสรรพื้นที่เก็บ Log และตั้งค่า Log Rotation/Retention บนเซิร์ฟเวอร์และอุปกรณ์</t>
  </si>
  <si>
    <t xml:space="preserve">ESBIT-AU-05</t>
  </si>
  <si>
    <t xml:space="preserve">AU-05</t>
  </si>
  <si>
    <t xml:space="preserve">Response to Audit Logging Process Failures</t>
  </si>
  <si>
    <t xml:space="preserve">DE.CM-09</t>
  </si>
  <si>
    <t xml:space="preserve">Computing hardware and software, runtime environments, and their data are monitored to find potentially adverse events</t>
  </si>
  <si>
    <t xml:space="preserve">Configure alerts and defined actions when logging fails or storage is nearly full</t>
  </si>
  <si>
    <t xml:space="preserve">ตั้งค่าการแจ้งเตือนและการตอบสนองเมื่อระบบ Log ล้มเหลวหรือพื้นที่เต็ม</t>
  </si>
  <si>
    <t xml:space="preserve">ESBIT-AU-05(01)</t>
  </si>
  <si>
    <t xml:space="preserve">AU-05(01)</t>
  </si>
  <si>
    <t xml:space="preserve">Response to Audit Logging Process Failures | Storage Capacity Warning</t>
  </si>
  <si>
    <t xml:space="preserve">Enhances AU-05 (Response to Audit Logging Process Failures): configure and enforce 'Storage Capacity Warning' in addition to the base setting, keep it consistent across applicable systems and document approved exceptions. Base scope: Configure alerts and defined actions when logging fails or storage is nearly full</t>
  </si>
  <si>
    <t xml:space="preserve">ส่วนขยายของ AU-05: กำหนดค่าและบังคับใช้ 'Storage Capacity Warning' เพิ่มเติมจากค่าพื้นฐาน ให้สอดคล้องทุกระบบที่เกี่ยวข้อง และบันทึกข้อยกเว้น - ตั้งค่าการแจ้งเตือนและการตอบสนองเมื่อระบบ Log ล้มเหลวหรือพื้นที่เต็ม</t>
  </si>
  <si>
    <t xml:space="preserve">ESBIT-AU-05(02)</t>
  </si>
  <si>
    <t xml:space="preserve">AU-05(02)</t>
  </si>
  <si>
    <t xml:space="preserve">Response to Audit Logging Process Failures | Real-time Alerts</t>
  </si>
  <si>
    <t xml:space="preserve">Enhances AU-05 (Response to Audit Logging Process Failures): configure and enforce 'Real-time Alerts' in addition to the base setting, keep it consistent across applicable systems and document approved exceptions. Base scope: Configure alerts and defined actions when logging fails or storage is nearly full</t>
  </si>
  <si>
    <t xml:space="preserve">ส่วนขยายของ AU-05: กำหนดค่าและบังคับใช้ 'Real-time Alerts' เพิ่มเติมจากค่าพื้นฐาน ให้สอดคล้องทุกระบบที่เกี่ยวข้อง และบันทึกข้อยกเว้น - ตั้งค่าการแจ้งเตือนและการตอบสนองเมื่อระบบ Log ล้มเหลวหรือพื้นที่เต็ม</t>
  </si>
  <si>
    <t xml:space="preserve">ESBIT-AU-05(03)</t>
  </si>
  <si>
    <t xml:space="preserve">AU-05(03)</t>
  </si>
  <si>
    <t xml:space="preserve">Response to Audit Logging Process Failures | Configurable Traffic Volume Thresholds</t>
  </si>
  <si>
    <t xml:space="preserve">Enhances AU-05 (Response to Audit Logging Process Failures): configure and enforce 'Configurable Traffic Volume Thresholds' in addition to the base setting, keep it consistent across applicable systems and document approved exceptions. Base scope: Configure alerts and defined actions when logging fails or storage is nearly full</t>
  </si>
  <si>
    <t xml:space="preserve">ส่วนขยายของ AU-05: กำหนดค่าและบังคับใช้ 'Configurable Traffic Volume Thresholds' เพิ่มเติมจากค่าพื้นฐาน ให้สอดคล้องทุกระบบที่เกี่ยวข้อง และบันทึกข้อยกเว้น - ตั้งค่าการแจ้งเตือนและการตอบสนองเมื่อระบบ Log ล้มเหลวหรือพื้นที่เต็ม</t>
  </si>
  <si>
    <t xml:space="preserve">ESBIT-AU-05(04)</t>
  </si>
  <si>
    <t xml:space="preserve">AU-05(04)</t>
  </si>
  <si>
    <t xml:space="preserve">Response to Audit Logging Process Failures | Shutdown on Failure</t>
  </si>
  <si>
    <t xml:space="preserve">Enhances AU-05 (Response to Audit Logging Process Failures): configure and enforce 'Shutdown on Failure' in addition to the base setting, keep it consistent across applicable systems and document approved exceptions. Base scope: Configure alerts and defined actions when logging fails or storage is nearly full</t>
  </si>
  <si>
    <t xml:space="preserve">ส่วนขยายของ AU-05: กำหนดค่าและบังคับใช้ 'Shutdown on Failure' เพิ่มเติมจากค่าพื้นฐาน ให้สอดคล้องทุกระบบที่เกี่ยวข้อง และบันทึกข้อยกเว้น - ตั้งค่าการแจ้งเตือนและการตอบสนองเมื่อระบบ Log ล้มเหลวหรือพื้นที่เต็ม</t>
  </si>
  <si>
    <t xml:space="preserve">ESBIT-AU-05(05)</t>
  </si>
  <si>
    <t xml:space="preserve">AU-05(05)</t>
  </si>
  <si>
    <t xml:space="preserve">Response to Audit Logging Process Failures | Alternate Audit Logging Capability</t>
  </si>
  <si>
    <t xml:space="preserve">Enhances AU-05 (Response to Audit Logging Process Failures): configure and enforce 'Alternate Audit Logging Capability' in addition to the base setting, keep it consistent across applicable systems and document approved exceptions. Base scope: Configure alerts and defined actions when logging fails or storage is nearly full</t>
  </si>
  <si>
    <t xml:space="preserve">ส่วนขยายของ AU-05: กำหนดค่าและบังคับใช้ 'Alternate Audit Logging Capability' เพิ่มเติมจากค่าพื้นฐาน ให้สอดคล้องทุกระบบที่เกี่ยวข้อง และบันทึกข้อยกเว้น - ตั้งค่าการแจ้งเตือนและการตอบสนองเมื่อระบบ Log ล้มเหลวหรือพื้นที่เต็ม</t>
  </si>
  <si>
    <t xml:space="preserve">ESBIT-AU-06</t>
  </si>
  <si>
    <t xml:space="preserve">AU-06</t>
  </si>
  <si>
    <t xml:space="preserve">Audit Record Review, Analysis, and Reporting</t>
  </si>
  <si>
    <t xml:space="preserve">DE.AE - Adverse Event Analysis</t>
  </si>
  <si>
    <t xml:space="preserve">DE.AE-02</t>
  </si>
  <si>
    <t xml:space="preserve">Potentially adverse events are analyzed to better understand associated activities</t>
  </si>
  <si>
    <t xml:space="preserve">Configure SIEM correlation rules, alert thresholds and review schedule for audit logs</t>
  </si>
  <si>
    <t xml:space="preserve">ตั้งค่า SIEM Correlation Rule เกณฑ์แจ้งเตือน และรอบการทบทวน Log</t>
  </si>
  <si>
    <t xml:space="preserve">Network, Cloud, Monitoring, Governance</t>
  </si>
  <si>
    <t xml:space="preserve">ESBIT-AU-06(01)</t>
  </si>
  <si>
    <t xml:space="preserve">AU-06(01)</t>
  </si>
  <si>
    <t xml:space="preserve">Audit Record Review, Analysis, and Reporting | Automated Process Integration</t>
  </si>
  <si>
    <t xml:space="preserve">Enhances AU-06 (Audit Record Review, Analysis, and Reporting): configure and enforce 'Automated Process Integration' in addition to the base setting, keep it consistent across applicable systems and document approved exceptions. Base scope: Configure SIEM correlation rules, alert thresholds and review schedule for audit logs</t>
  </si>
  <si>
    <t xml:space="preserve">ส่วนขยายของ AU-06: กำหนดค่าและบังคับใช้ 'Automated Process Integration' เพิ่มเติมจากค่าพื้นฐาน ให้สอดคล้องทุกระบบที่เกี่ยวข้อง และบันทึกข้อยกเว้น - ตั้งค่า SIEM Correlation Rule เกณฑ์แจ้งเตือน และรอบการทบทวน Log</t>
  </si>
  <si>
    <t xml:space="preserve">ESBIT-AU-06(03)</t>
  </si>
  <si>
    <t xml:space="preserve">AU-06(03)</t>
  </si>
  <si>
    <t xml:space="preserve">Audit Record Review, Analysis, and Reporting | Correlate Audit Record Repositories</t>
  </si>
  <si>
    <t xml:space="preserve">Enhances AU-06 (Audit Record Review, Analysis, and Reporting): configure and enforce 'Correlate Audit Record Repositories' in addition to the base setting, keep it consistent across applicable systems and document approved exceptions. Base scope: Configure SIEM correlation rules, alert thresholds and review schedule for audit logs</t>
  </si>
  <si>
    <t xml:space="preserve">ส่วนขยายของ AU-06: กำหนดค่าและบังคับใช้ 'Correlate Audit Record Repositories' เพิ่มเติมจากค่าพื้นฐาน ให้สอดคล้องทุกระบบที่เกี่ยวข้อง และบันทึกข้อยกเว้น - ตั้งค่า SIEM Correlation Rule เกณฑ์แจ้งเตือน และรอบการทบทวน Log</t>
  </si>
  <si>
    <t xml:space="preserve">ESBIT-AU-06(04)</t>
  </si>
  <si>
    <t xml:space="preserve">AU-06(04)</t>
  </si>
  <si>
    <t xml:space="preserve">Audit Record Review, Analysis, and Reporting | Central Review and Analysis</t>
  </si>
  <si>
    <t xml:space="preserve">Enhances AU-06 (Audit Record Review, Analysis, and Reporting): configure and enforce 'Central Review and Analysis' in addition to the base setting, keep it consistent across applicable systems and document approved exceptions. Base scope: Configure SIEM correlation rules, alert thresholds and review schedule for audit logs</t>
  </si>
  <si>
    <t xml:space="preserve">ส่วนขยายของ AU-06: กำหนดค่าและบังคับใช้ 'Central Review and Analysis' เพิ่มเติมจากค่าพื้นฐาน ให้สอดคล้องทุกระบบที่เกี่ยวข้อง และบันทึกข้อยกเว้น - ตั้งค่า SIEM Correlation Rule เกณฑ์แจ้งเตือน และรอบการทบทวน Log</t>
  </si>
  <si>
    <t xml:space="preserve">ESBIT-AU-06(05)</t>
  </si>
  <si>
    <t xml:space="preserve">AU-06(05)</t>
  </si>
  <si>
    <t xml:space="preserve">Audit Record Review, Analysis, and Reporting | Integrated Analysis of Audit Records</t>
  </si>
  <si>
    <t xml:space="preserve">Enhances AU-06 (Audit Record Review, Analysis, and Reporting): configure and enforce 'Integrated Analysis of Audit Records' in addition to the base setting, keep it consistent across applicable systems and document approved exceptions. Base scope: Configure SIEM correlation rules, alert thresholds and review schedule for audit logs</t>
  </si>
  <si>
    <t xml:space="preserve">ส่วนขยายของ AU-06: กำหนดค่าและบังคับใช้ 'Integrated Analysis of Audit Records' เพิ่มเติมจากค่าพื้นฐาน ให้สอดคล้องทุกระบบที่เกี่ยวข้อง และบันทึกข้อยกเว้น - ตั้งค่า SIEM Correlation Rule เกณฑ์แจ้งเตือน และรอบการทบทวน Log</t>
  </si>
  <si>
    <t xml:space="preserve">ESBIT-AU-06(06)</t>
  </si>
  <si>
    <t xml:space="preserve">AU-06(06)</t>
  </si>
  <si>
    <t xml:space="preserve">Audit Record Review, Analysis, and Reporting | Correlation with Physical Monitoring</t>
  </si>
  <si>
    <t xml:space="preserve">Enhances AU-06 (Audit Record Review, Analysis, and Reporting): configure and enforce 'Correlation with Physical Monitoring' in addition to the base setting, keep it consistent across applicable systems and document approved exceptions. Base scope: Configure SIEM correlation rules, alert thresholds and review schedule for audit logs</t>
  </si>
  <si>
    <t xml:space="preserve">ส่วนขยายของ AU-06: กำหนดค่าและบังคับใช้ 'Correlation with Physical Monitoring' เพิ่มเติมจากค่าพื้นฐาน ให้สอดคล้องทุกระบบที่เกี่ยวข้อง และบันทึกข้อยกเว้น - ตั้งค่า SIEM Correlation Rule เกณฑ์แจ้งเตือน และรอบการทบทวน Log</t>
  </si>
  <si>
    <t xml:space="preserve">ESBIT-AU-06(07)</t>
  </si>
  <si>
    <t xml:space="preserve">AU-06(07)</t>
  </si>
  <si>
    <t xml:space="preserve">Audit Record Review, Analysis, and Reporting | Permitted Actions</t>
  </si>
  <si>
    <t xml:space="preserve">Enhances AU-06 (Audit Record Review, Analysis, and Reporting): configure and enforce 'Permitted Actions' in addition to the base setting, keep it consistent across applicable systems and document approved exceptions. Base scope: Configure SIEM correlation rules, alert thresholds and review schedule for audit logs</t>
  </si>
  <si>
    <t xml:space="preserve">ส่วนขยายของ AU-06: กำหนดค่าและบังคับใช้ 'Permitted Actions' เพิ่มเติมจากค่าพื้นฐาน ให้สอดคล้องทุกระบบที่เกี่ยวข้อง และบันทึกข้อยกเว้น - ตั้งค่า SIEM Correlation Rule เกณฑ์แจ้งเตือน และรอบการทบทวน Log</t>
  </si>
  <si>
    <t xml:space="preserve">ESBIT-AU-06(08)</t>
  </si>
  <si>
    <t xml:space="preserve">AU-06(08)</t>
  </si>
  <si>
    <t xml:space="preserve">Audit Record Review, Analysis, and Reporting | Full Text Analysis of Privileged Commands</t>
  </si>
  <si>
    <t xml:space="preserve">Enhances AU-06 (Audit Record Review, Analysis, and Reporting): configure and enforce 'Full Text Analysis of Privileged Commands' in addition to the base setting, keep it consistent across applicable systems and document approved exceptions. Base scope: Configure SIEM correlation rules, alert thresholds and review schedule for audit logs</t>
  </si>
  <si>
    <t xml:space="preserve">ส่วนขยายของ AU-06: กำหนดค่าและบังคับใช้ 'Full Text Analysis of Privileged Commands' เพิ่มเติมจากค่าพื้นฐาน ให้สอดคล้องทุกระบบที่เกี่ยวข้อง และบันทึกข้อยกเว้น - ตั้งค่า SIEM Correlation Rule เกณฑ์แจ้งเตือน และรอบการทบทวน Log</t>
  </si>
  <si>
    <t xml:space="preserve">ESBIT-AU-06(09)</t>
  </si>
  <si>
    <t xml:space="preserve">AU-06(09)</t>
  </si>
  <si>
    <t xml:space="preserve">Audit Record Review, Analysis, and Reporting | Correlation with Information from Nontechnical Sources</t>
  </si>
  <si>
    <t xml:space="preserve">Enhances AU-06 (Audit Record Review, Analysis, and Reporting): configure and enforce 'Correlation with Information from Nontechnical Sources' in addition to the base setting, keep it consistent across applicable systems and document approved exceptions. Base scope: Configure SIEM correlation rules, alert thresholds and review schedule for audit logs</t>
  </si>
  <si>
    <t xml:space="preserve">ส่วนขยายของ AU-06: กำหนดค่าและบังคับใช้ 'Correlation with Information from Nontechnical Sources' เพิ่มเติมจากค่าพื้นฐาน ให้สอดคล้องทุกระบบที่เกี่ยวข้อง และบันทึกข้อยกเว้น - ตั้งค่า SIEM Correlation Rule เกณฑ์แจ้งเตือน และรอบการทบทวน Log</t>
  </si>
  <si>
    <t xml:space="preserve">ESBIT-AU-07</t>
  </si>
  <si>
    <t xml:space="preserve">AU-07</t>
  </si>
  <si>
    <t xml:space="preserve">Audit Record Reduction and Report Generation</t>
  </si>
  <si>
    <t xml:space="preserve">DE.AE-06</t>
  </si>
  <si>
    <t xml:space="preserve">Information on adverse events is provided to authorized staff and tools</t>
  </si>
  <si>
    <t xml:space="preserve">Configure log search, filtering and on-demand report generation in SIEM</t>
  </si>
  <si>
    <t xml:space="preserve">ตั้งค่าการค้นหา กรอง และสร้างรายงาน Log ตามต้องการใน SIEM</t>
  </si>
  <si>
    <t xml:space="preserve">Cloud, Monitoring</t>
  </si>
  <si>
    <t xml:space="preserve">ESBIT-AU-07(01)</t>
  </si>
  <si>
    <t xml:space="preserve">AU-07(01)</t>
  </si>
  <si>
    <t xml:space="preserve">Audit Record Reduction and Report Generation | Automatic Processing</t>
  </si>
  <si>
    <t xml:space="preserve">Enhances AU-07 (Audit Record Reduction and Report Generation): configure and enforce 'Automatic Processing' in addition to the base setting, keep it consistent across applicable systems and document approved exceptions. Base scope: Configure log search, filtering and on-demand report generation in SIEM</t>
  </si>
  <si>
    <t xml:space="preserve">ส่วนขยายของ AU-07: กำหนดค่าและบังคับใช้ 'Automatic Processing' เพิ่มเติมจากค่าพื้นฐาน ให้สอดคล้องทุกระบบที่เกี่ยวข้อง และบันทึกข้อยกเว้น - ตั้งค่าการค้นหา กรอง และสร้างรายงาน Log ตามต้องการใน SIEM</t>
  </si>
  <si>
    <t xml:space="preserve">ESBIT-AU-08</t>
  </si>
  <si>
    <t xml:space="preserve">AU-08</t>
  </si>
  <si>
    <t xml:space="preserve">Time Stamps</t>
  </si>
  <si>
    <t xml:space="preserve">Configure NTP synchronization to authoritative time source and consistent timezone on all devices</t>
  </si>
  <si>
    <t xml:space="preserve">ตั้งค่า NTP ซิงค์เวลากับแหล่งเวลาที่เชื่อถือได้และ Timezone ให้สอดคล้องทุกอุปกรณ์</t>
  </si>
  <si>
    <t xml:space="preserve">ESBIT-AU-09</t>
  </si>
  <si>
    <t xml:space="preserve">AU-09</t>
  </si>
  <si>
    <t xml:space="preserve">Protection of Audit Information</t>
  </si>
  <si>
    <t xml:space="preserve">Restrict access to logs, forward to central write-protected store and enable integrity protection</t>
  </si>
  <si>
    <t xml:space="preserve">จำกัดสิทธิ์เข้าถึง Log ส่งไปยังที่เก็บกลางแบบป้องกันการแก้ไข และเปิด Integrity Protection</t>
  </si>
  <si>
    <t xml:space="preserve">Network, Cloud, Monitoring, Application</t>
  </si>
  <si>
    <t xml:space="preserve">ESBIT-AU-09(01)</t>
  </si>
  <si>
    <t xml:space="preserve">AU-09(01)</t>
  </si>
  <si>
    <t xml:space="preserve">Protection of Audit Information | Hardware Write-once Media</t>
  </si>
  <si>
    <t xml:space="preserve">Enhances AU-09 (Protection of Audit Information): configure and enforce 'Hardware Write-once Media' in addition to the base setting, keep it consistent across applicable systems and document approved exceptions. Base scope: Restrict access to logs, forward to central write-protected store and enable integrity protection</t>
  </si>
  <si>
    <t xml:space="preserve">ส่วนขยายของ AU-09: กำหนดค่าและบังคับใช้ 'Hardware Write-once Media' เพิ่มเติมจากค่าพื้นฐาน ให้สอดคล้องทุกระบบที่เกี่ยวข้อง และบันทึกข้อยกเว้น - จำกัดสิทธิ์เข้าถึง Log ส่งไปยังที่เก็บกลางแบบป้องกันการแก้ไข และเปิด Integrity Protection</t>
  </si>
  <si>
    <t xml:space="preserve">ESBIT-AU-09(02)</t>
  </si>
  <si>
    <t xml:space="preserve">AU-09(02)</t>
  </si>
  <si>
    <t xml:space="preserve">Protection of Audit Information | Store on Separate Physical Systems or Components</t>
  </si>
  <si>
    <t xml:space="preserve">Enhances AU-09 (Protection of Audit Information): configure and enforce 'Store on Separate Physical Systems or Components' in addition to the base setting, keep it consistent across applicable systems and document approved exceptions. Base scope: Restrict access to logs, forward to central write-protected store and enable integrity protection</t>
  </si>
  <si>
    <t xml:space="preserve">ส่วนขยายของ AU-09: กำหนดค่าและบังคับใช้ 'Store on Separate Physical Systems or Components' เพิ่มเติมจากค่าพื้นฐาน ให้สอดคล้องทุกระบบที่เกี่ยวข้อง และบันทึกข้อยกเว้น - จำกัดสิทธิ์เข้าถึง Log ส่งไปยังที่เก็บกลางแบบป้องกันการแก้ไข และเปิด Integrity Protection</t>
  </si>
  <si>
    <t xml:space="preserve">ESBIT-AU-09(03)</t>
  </si>
  <si>
    <t xml:space="preserve">AU-09(03)</t>
  </si>
  <si>
    <t xml:space="preserve">Protection of Audit Information | Cryptographic Protection</t>
  </si>
  <si>
    <t xml:space="preserve">Enhances AU-09 (Protection of Audit Information): configure and enforce 'Cryptographic Protection' in addition to the base setting, keep it consistent across applicable systems and document approved exceptions. Base scope: Restrict access to logs, forward to central write-protected store and enable integrity protection</t>
  </si>
  <si>
    <t xml:space="preserve">ส่วนขยายของ AU-09: กำหนดค่าและบังคับใช้ 'Cryptographic Protection' เพิ่มเติมจากค่าพื้นฐาน ให้สอดคล้องทุกระบบที่เกี่ยวข้อง และบันทึกข้อยกเว้น - จำกัดสิทธิ์เข้าถึง Log ส่งไปยังที่เก็บกลางแบบป้องกันการแก้ไข และเปิด Integrity Protection</t>
  </si>
  <si>
    <t xml:space="preserve">ESBIT-AU-09(04)</t>
  </si>
  <si>
    <t xml:space="preserve">AU-09(04)</t>
  </si>
  <si>
    <t xml:space="preserve">Protection of Audit Information | Access by Subset of Privileged Users</t>
  </si>
  <si>
    <t xml:space="preserve">Enhances AU-09 (Protection of Audit Information): configure and enforce 'Access by Subset of Privileged Users' in addition to the base setting, keep it consistent across applicable systems and document approved exceptions. Base scope: Restrict access to logs, forward to central write-protected store and enable integrity protection</t>
  </si>
  <si>
    <t xml:space="preserve">ส่วนขยายของ AU-09: กำหนดค่าและบังคับใช้ 'Access by Subset of Privileged Users' เพิ่มเติมจากค่าพื้นฐาน ให้สอดคล้องทุกระบบที่เกี่ยวข้อง และบันทึกข้อยกเว้น - จำกัดสิทธิ์เข้าถึง Log ส่งไปยังที่เก็บกลางแบบป้องกันการแก้ไข และเปิด Integrity Protection</t>
  </si>
  <si>
    <t xml:space="preserve">ESBIT-AU-09(05)</t>
  </si>
  <si>
    <t xml:space="preserve">AU-09(05)</t>
  </si>
  <si>
    <t xml:space="preserve">Protection of Audit Information | Dual Authorization</t>
  </si>
  <si>
    <t xml:space="preserve">Enhances AU-09 (Protection of Audit Information): configure and enforce 'Dual Authorization' in addition to the base setting, keep it consistent across applicable systems and document approved exceptions. Base scope: Restrict access to logs, forward to central write-protected store and enable integrity protection</t>
  </si>
  <si>
    <t xml:space="preserve">ส่วนขยายของ AU-09: กำหนดค่าและบังคับใช้ 'Dual Authorization' เพิ่มเติมจากค่าพื้นฐาน ให้สอดคล้องทุกระบบที่เกี่ยวข้อง และบันทึกข้อยกเว้น - จำกัดสิทธิ์เข้าถึง Log ส่งไปยังที่เก็บกลางแบบป้องกันการแก้ไข และเปิด Integrity Protection</t>
  </si>
  <si>
    <t xml:space="preserve">ESBIT-AU-09(06)</t>
  </si>
  <si>
    <t xml:space="preserve">AU-09(06)</t>
  </si>
  <si>
    <t xml:space="preserve">Protection of Audit Information | Read-only Access</t>
  </si>
  <si>
    <t xml:space="preserve">Enhances AU-09 (Protection of Audit Information): configure and enforce 'Read-only Access' in addition to the base setting, keep it consistent across applicable systems and document approved exceptions. Base scope: Restrict access to logs, forward to central write-protected store and enable integrity protection</t>
  </si>
  <si>
    <t xml:space="preserve">ส่วนขยายของ AU-09: กำหนดค่าและบังคับใช้ 'Read-only Access' เพิ่มเติมจากค่าพื้นฐาน ให้สอดคล้องทุกระบบที่เกี่ยวข้อง และบันทึกข้อยกเว้น - จำกัดสิทธิ์เข้าถึง Log ส่งไปยังที่เก็บกลางแบบป้องกันการแก้ไข และเปิด Integrity Protection</t>
  </si>
  <si>
    <t xml:space="preserve">ESBIT-AU-09(07)</t>
  </si>
  <si>
    <t xml:space="preserve">AU-09(07)</t>
  </si>
  <si>
    <t xml:space="preserve">Protection of Audit Information | Store on Component with Different Operating System</t>
  </si>
  <si>
    <t xml:space="preserve">Enhances AU-09 (Protection of Audit Information): configure and enforce 'Store on Component with Different Operating System' in addition to the base setting, keep it consistent across applicable systems and document approved exceptions. Base scope: Restrict access to logs, forward to central write-protected store and enable integrity protection</t>
  </si>
  <si>
    <t xml:space="preserve">ส่วนขยายของ AU-09: กำหนดค่าและบังคับใช้ 'Store on Component with Different Operating System' เพิ่มเติมจากค่าพื้นฐาน ให้สอดคล้องทุกระบบที่เกี่ยวข้อง และบันทึกข้อยกเว้น - จำกัดสิทธิ์เข้าถึง Log ส่งไปยังที่เก็บกลางแบบป้องกันการแก้ไข และเปิด Integrity Protection</t>
  </si>
  <si>
    <t xml:space="preserve">ESBIT-AU-10</t>
  </si>
  <si>
    <t xml:space="preserve">AU-10</t>
  </si>
  <si>
    <t xml:space="preserve">Non-repudiation</t>
  </si>
  <si>
    <t xml:space="preserve">Configure digital signatures or log signing to provide non-repudiation</t>
  </si>
  <si>
    <t xml:space="preserve">ตั้งค่า Digital Signature/Log Signing เพื่อป้องกันการปฏิเสธความรับผิด</t>
  </si>
  <si>
    <t xml:space="preserve">ESBIT-AU-10(01)</t>
  </si>
  <si>
    <t xml:space="preserve">AU-10(01)</t>
  </si>
  <si>
    <t xml:space="preserve">Non-repudiation | Association of Identities</t>
  </si>
  <si>
    <t xml:space="preserve">Enhances AU-10 (Non-repudiation): configure and enforce 'Association of Identities' in addition to the base setting, keep it consistent across applicable systems and document approved exceptions. Base scope: Configure digital signatures or log signing to provide non-repudiation</t>
  </si>
  <si>
    <t xml:space="preserve">ส่วนขยายของ AU-10: กำหนดค่าและบังคับใช้ 'Association of Identities' เพิ่มเติมจากค่าพื้นฐาน ให้สอดคล้องทุกระบบที่เกี่ยวข้อง และบันทึกข้อยกเว้น - ตั้งค่า Digital Signature/Log Signing เพื่อป้องกันการปฏิเสธความรับผิด</t>
  </si>
  <si>
    <t xml:space="preserve">ESBIT-AU-10(02)</t>
  </si>
  <si>
    <t xml:space="preserve">AU-10(02)</t>
  </si>
  <si>
    <t xml:space="preserve">Non-repudiation | Validate Binding of Information Producer Identity</t>
  </si>
  <si>
    <t xml:space="preserve">Enhances AU-10 (Non-repudiation): configure and enforce 'Validate Binding of Information Producer Identity' in addition to the base setting, keep it consistent across applicable systems and document approved exceptions. Base scope: Configure digital signatures or log signing to provide non-repudiation</t>
  </si>
  <si>
    <t xml:space="preserve">ส่วนขยายของ AU-10: กำหนดค่าและบังคับใช้ 'Validate Binding of Information Producer Identity' เพิ่มเติมจากค่าพื้นฐาน ให้สอดคล้องทุกระบบที่เกี่ยวข้อง และบันทึกข้อยกเว้น - ตั้งค่า Digital Signature/Log Signing เพื่อป้องกันการปฏิเสธความรับผิด</t>
  </si>
  <si>
    <t xml:space="preserve">ESBIT-AU-10(03)</t>
  </si>
  <si>
    <t xml:space="preserve">AU-10(03)</t>
  </si>
  <si>
    <t xml:space="preserve">Non-repudiation | Chain of Custody</t>
  </si>
  <si>
    <t xml:space="preserve">Enhances AU-10 (Non-repudiation): configure and enforce 'Chain of Custody' in addition to the base setting, keep it consistent across applicable systems and document approved exceptions. Base scope: Configure digital signatures or log signing to provide non-repudiation</t>
  </si>
  <si>
    <t xml:space="preserve">ส่วนขยายของ AU-10: กำหนดค่าและบังคับใช้ 'Chain of Custody' เพิ่มเติมจากค่าพื้นฐาน ให้สอดคล้องทุกระบบที่เกี่ยวข้อง และบันทึกข้อยกเว้น - ตั้งค่า Digital Signature/Log Signing เพื่อป้องกันการปฏิเสธความรับผิด</t>
  </si>
  <si>
    <t xml:space="preserve">ESBIT-AU-10(04)</t>
  </si>
  <si>
    <t xml:space="preserve">AU-10(04)</t>
  </si>
  <si>
    <t xml:space="preserve">Non-repudiation | Validate Binding of Information Reviewer Identity</t>
  </si>
  <si>
    <t xml:space="preserve">Enhances AU-10 (Non-repudiation): configure and enforce 'Validate Binding of Information Reviewer Identity' in addition to the base setting, keep it consistent across applicable systems and document approved exceptions. Base scope: Configure digital signatures or log signing to provide non-repudiation</t>
  </si>
  <si>
    <t xml:space="preserve">ส่วนขยายของ AU-10: กำหนดค่าและบังคับใช้ 'Validate Binding of Information Reviewer Identity' เพิ่มเติมจากค่าพื้นฐาน ให้สอดคล้องทุกระบบที่เกี่ยวข้อง และบันทึกข้อยกเว้น - ตั้งค่า Digital Signature/Log Signing เพื่อป้องกันการปฏิเสธความรับผิด</t>
  </si>
  <si>
    <t xml:space="preserve">ESBIT-AU-11</t>
  </si>
  <si>
    <t xml:space="preserve">AU-11</t>
  </si>
  <si>
    <t xml:space="preserve">Audit Record Retention</t>
  </si>
  <si>
    <t xml:space="preserve">PR.DS-11</t>
  </si>
  <si>
    <t xml:space="preserve">Backups of data are created, protected, maintained, and tested</t>
  </si>
  <si>
    <t xml:space="preserve">Configure log retention period and archive policy per legal and business requirements</t>
  </si>
  <si>
    <t xml:space="preserve">กำหนดระยะเวลาเก็บ Log และนโยบาย Archive ตามข้อกำหนดกฎหมายและธุรกิจ</t>
  </si>
  <si>
    <t xml:space="preserve">ESBIT-AU-11(01)</t>
  </si>
  <si>
    <t xml:space="preserve">AU-11(01)</t>
  </si>
  <si>
    <t xml:space="preserve">Audit Record Retention | Long-term Retrieval Capability</t>
  </si>
  <si>
    <t xml:space="preserve">Enhances AU-11 (Audit Record Retention): configure and enforce 'Long-term Retrieval Capability' in addition to the base setting, keep it consistent across applicable systems and document approved exceptions. Base scope: Configure log retention period and archive policy per legal and business requirements</t>
  </si>
  <si>
    <t xml:space="preserve">ส่วนขยายของ AU-11: กำหนดค่าและบังคับใช้ 'Long-term Retrieval Capability' เพิ่มเติมจากค่าพื้นฐาน ให้สอดคล้องทุกระบบที่เกี่ยวข้อง และบันทึกข้อยกเว้น - กำหนดระยะเวลาเก็บ Log และนโยบาย Archive ตามข้อกำหนดกฎหมายและธุรกิจ</t>
  </si>
  <si>
    <t xml:space="preserve">ESBIT-AU-12</t>
  </si>
  <si>
    <t xml:space="preserve">AU-12</t>
  </si>
  <si>
    <t xml:space="preserve">Audit Record Generation</t>
  </si>
  <si>
    <t xml:space="preserve">Enable logging on all components for defined events with central forwarding via syslog or agent</t>
  </si>
  <si>
    <t xml:space="preserve">เปิด Logging บนทุกคอมโพเนนต์ตามเหตุการณ์ที่กำหนด และส่ง Log ไปศูนย์กลางผ่าน Syslog/Agent</t>
  </si>
  <si>
    <t xml:space="preserve">ESBIT-AU-12(01)</t>
  </si>
  <si>
    <t xml:space="preserve">AU-12(01)</t>
  </si>
  <si>
    <t xml:space="preserve">Audit Record Generation | System-wide and Time-correlated Audit Trail</t>
  </si>
  <si>
    <t xml:space="preserve">Enhances AU-12 (Audit Record Generation): configure and enforce 'System-wide and Time-correlated Audit Trail' in addition to the base setting, keep it consistent across applicable systems and document approved exceptions. Base scope: Enable logging on all components for defined events with central forwarding via syslog or agent</t>
  </si>
  <si>
    <t xml:space="preserve">ส่วนขยายของ AU-12: กำหนดค่าและบังคับใช้ 'System-wide and Time-correlated Audit Trail' เพิ่มเติมจากค่าพื้นฐาน ให้สอดคล้องทุกระบบที่เกี่ยวข้อง และบันทึกข้อยกเว้น - เปิด Logging บนทุกคอมโพเนนต์ตามเหตุการณ์ที่กำหนด และส่ง Log ไปศูนย์กลางผ่าน Syslog/Agent</t>
  </si>
  <si>
    <t xml:space="preserve">ESBIT-AU-12(02)</t>
  </si>
  <si>
    <t xml:space="preserve">AU-12(02)</t>
  </si>
  <si>
    <t xml:space="preserve">Audit Record Generation | Standardized Formats</t>
  </si>
  <si>
    <t xml:space="preserve">Enhances AU-12 (Audit Record Generation): configure and enforce 'Standardized Formats' in addition to the base setting, keep it consistent across applicable systems and document approved exceptions. Base scope: Enable logging on all components for defined events with central forwarding via syslog or agent</t>
  </si>
  <si>
    <t xml:space="preserve">ส่วนขยายของ AU-12: กำหนดค่าและบังคับใช้ 'Standardized Formats' เพิ่มเติมจากค่าพื้นฐาน ให้สอดคล้องทุกระบบที่เกี่ยวข้อง และบันทึกข้อยกเว้น - เปิด Logging บนทุกคอมโพเนนต์ตามเหตุการณ์ที่กำหนด และส่ง Log ไปศูนย์กลางผ่าน Syslog/Agent</t>
  </si>
  <si>
    <t xml:space="preserve">ESBIT-AU-12(03)</t>
  </si>
  <si>
    <t xml:space="preserve">AU-12(03)</t>
  </si>
  <si>
    <t xml:space="preserve">Audit Record Generation | Changes by Authorized Individuals</t>
  </si>
  <si>
    <t xml:space="preserve">Enhances AU-12 (Audit Record Generation): configure and enforce 'Changes by Authorized Individuals' in addition to the base setting, keep it consistent across applicable systems and document approved exceptions. Base scope: Enable logging on all components for defined events with central forwarding via syslog or agent</t>
  </si>
  <si>
    <t xml:space="preserve">ส่วนขยายของ AU-12: กำหนดค่าและบังคับใช้ 'Changes by Authorized Individuals' เพิ่มเติมจากค่าพื้นฐาน ให้สอดคล้องทุกระบบที่เกี่ยวข้อง และบันทึกข้อยกเว้น - เปิด Logging บนทุกคอมโพเนนต์ตามเหตุการณ์ที่กำหนด และส่ง Log ไปศูนย์กลางผ่าน Syslog/Agent</t>
  </si>
  <si>
    <t xml:space="preserve">ESBIT-AU-12(04)</t>
  </si>
  <si>
    <t xml:space="preserve">AU-12(04)</t>
  </si>
  <si>
    <t xml:space="preserve">Audit Record Generation | Query Parameter Audits of Personally Identifiable Information</t>
  </si>
  <si>
    <t xml:space="preserve">Enhances AU-12 (Audit Record Generation): configure and enforce 'Query Parameter Audits of Personally Identifiable Information' in addition to the base setting, keep it consistent across applicable systems and document approved exceptions. Base scope: Enable logging on all components for defined events with central forwarding via syslog or agent</t>
  </si>
  <si>
    <t xml:space="preserve">ส่วนขยายของ AU-12: กำหนดค่าและบังคับใช้ 'Query Parameter Audits of Personally Identifiable Information' เพิ่มเติมจากค่าพื้นฐาน ให้สอดคล้องทุกระบบที่เกี่ยวข้อง และบันทึกข้อยกเว้น - เปิด Logging บนทุกคอมโพเนนต์ตามเหตุการณ์ที่กำหนด และส่ง Log ไปศูนย์กลางผ่าน Syslog/Agent</t>
  </si>
  <si>
    <t xml:space="preserve">ESBIT-AU-13</t>
  </si>
  <si>
    <t xml:space="preserve">AU-13</t>
  </si>
  <si>
    <t xml:space="preserve">Monitoring for Information Disclosure</t>
  </si>
  <si>
    <t xml:space="preserve">Configure monitoring of external sources and DLP for leaked organizational information</t>
  </si>
  <si>
    <t xml:space="preserve">ตั้งค่าเฝ้าระวังแหล่งภายนอกและ DLP เพื่อตรวจจับข้อมูลรั่วไหล</t>
  </si>
  <si>
    <t xml:space="preserve">Monitoring</t>
  </si>
  <si>
    <t xml:space="preserve">ESBIT-AU-13(01)</t>
  </si>
  <si>
    <t xml:space="preserve">AU-13(01)</t>
  </si>
  <si>
    <t xml:space="preserve">Monitoring for Information Disclosure | Use of Automated Tools</t>
  </si>
  <si>
    <t xml:space="preserve">Enhances AU-13 (Monitoring for Information Disclosure): configure and enforce 'Use of Automated Tools' in addition to the base setting, keep it consistent across applicable systems and document approved exceptions. Base scope: Configure monitoring of external sources and DLP for leaked organizational information</t>
  </si>
  <si>
    <t xml:space="preserve">ส่วนขยายของ AU-13: กำหนดค่าและบังคับใช้ 'Use of Automated Tools' เพิ่มเติมจากค่าพื้นฐาน ให้สอดคล้องทุกระบบที่เกี่ยวข้อง และบันทึกข้อยกเว้น - ตั้งค่าเฝ้าระวังแหล่งภายนอกและ DLP เพื่อตรวจจับข้อมูลรั่วไหล</t>
  </si>
  <si>
    <t xml:space="preserve">ESBIT-AU-13(02)</t>
  </si>
  <si>
    <t xml:space="preserve">AU-13(02)</t>
  </si>
  <si>
    <t xml:space="preserve">Monitoring for Information Disclosure | Review of Monitored Sites</t>
  </si>
  <si>
    <t xml:space="preserve">Enhances AU-13 (Monitoring for Information Disclosure): configure and enforce 'Review of Monitored Sites' in addition to the base setting, keep it consistent across applicable systems and document approved exceptions. Base scope: Configure monitoring of external sources and DLP for leaked organizational information</t>
  </si>
  <si>
    <t xml:space="preserve">ส่วนขยายของ AU-13: กำหนดค่าและบังคับใช้ 'Review of Monitored Sites' เพิ่มเติมจากค่าพื้นฐาน ให้สอดคล้องทุกระบบที่เกี่ยวข้อง และบันทึกข้อยกเว้น - ตั้งค่าเฝ้าระวังแหล่งภายนอกและ DLP เพื่อตรวจจับข้อมูลรั่วไหล</t>
  </si>
  <si>
    <t xml:space="preserve">ESBIT-AU-13(03)</t>
  </si>
  <si>
    <t xml:space="preserve">AU-13(03)</t>
  </si>
  <si>
    <t xml:space="preserve">Monitoring for Information Disclosure | Unauthorized Replication of Information</t>
  </si>
  <si>
    <t xml:space="preserve">Enhances AU-13 (Monitoring for Information Disclosure): configure and enforce 'Unauthorized Replication of Information' in addition to the base setting, keep it consistent across applicable systems and document approved exceptions. Base scope: Configure monitoring of external sources and DLP for leaked organizational information</t>
  </si>
  <si>
    <t xml:space="preserve">ส่วนขยายของ AU-13: กำหนดค่าและบังคับใช้ 'Unauthorized Replication of Information' เพิ่มเติมจากค่าพื้นฐาน ให้สอดคล้องทุกระบบที่เกี่ยวข้อง และบันทึกข้อยกเว้น - ตั้งค่าเฝ้าระวังแหล่งภายนอกและ DLP เพื่อตรวจจับข้อมูลรั่วไหล</t>
  </si>
  <si>
    <t xml:space="preserve">ESBIT-AU-14</t>
  </si>
  <si>
    <t xml:space="preserve">AU-14</t>
  </si>
  <si>
    <t xml:space="preserve">Session Audit</t>
  </si>
  <si>
    <t xml:space="preserve">Configure recording and audit of privileged user sessions</t>
  </si>
  <si>
    <t xml:space="preserve">ตั้งค่าการบันทึกและตรวจสอบ Session ของผู้ใช้สิทธิ์สูง</t>
  </si>
  <si>
    <t xml:space="preserve">Monitoring, Application</t>
  </si>
  <si>
    <t xml:space="preserve">ESBIT-AU-14(01)</t>
  </si>
  <si>
    <t xml:space="preserve">AU-14(01)</t>
  </si>
  <si>
    <t xml:space="preserve">Session Audit | System Start-up</t>
  </si>
  <si>
    <t xml:space="preserve">Enhances AU-14 (Session Audit): configure and enforce 'System Start-up' in addition to the base setting, keep it consistent across applicable systems and document approved exceptions. Base scope: Configure recording and audit of privileged user sessions</t>
  </si>
  <si>
    <t xml:space="preserve">ส่วนขยายของ AU-14: กำหนดค่าและบังคับใช้ 'System Start-up' เพิ่มเติมจากค่าพื้นฐาน ให้สอดคล้องทุกระบบที่เกี่ยวข้อง และบันทึกข้อยกเว้น - ตั้งค่าการบันทึกและตรวจสอบ Session ของผู้ใช้สิทธิ์สูง</t>
  </si>
  <si>
    <t xml:space="preserve">ESBIT-AU-14(03)</t>
  </si>
  <si>
    <t xml:space="preserve">AU-14(03)</t>
  </si>
  <si>
    <t xml:space="preserve">Session Audit | Remote Viewing and Listening</t>
  </si>
  <si>
    <t xml:space="preserve">Enhances AU-14 (Session Audit): configure and enforce 'Remote Viewing and Listening' in addition to the base setting, keep it consistent across applicable systems and document approved exceptions. Base scope: Configure recording and audit of privileged user sessions</t>
  </si>
  <si>
    <t xml:space="preserve">ส่วนขยายของ AU-14: กำหนดค่าและบังคับใช้ 'Remote Viewing and Listening' เพิ่มเติมจากค่าพื้นฐาน ให้สอดคล้องทุกระบบที่เกี่ยวข้อง และบันทึกข้อยกเว้น - ตั้งค่าการบันทึกและตรวจสอบ Session ของผู้ใช้สิทธิ์สูง</t>
  </si>
  <si>
    <t xml:space="preserve">ESBIT-AU-16</t>
  </si>
  <si>
    <t xml:space="preserve">AU-16</t>
  </si>
  <si>
    <t xml:space="preserve">Cross-organizational Audit Logging</t>
  </si>
  <si>
    <t xml:space="preserve">DE.AE-03</t>
  </si>
  <si>
    <t xml:space="preserve">Information is correlated from multiple sources</t>
  </si>
  <si>
    <t xml:space="preserve">Configure log sharing and identity preservation across organizations</t>
  </si>
  <si>
    <t xml:space="preserve">ตั้งค่าการแชร์ Log และรักษาข้อมูลตัวตนระหว่างองค์กร</t>
  </si>
  <si>
    <t xml:space="preserve">ESBIT-AU-16(01)</t>
  </si>
  <si>
    <t xml:space="preserve">AU-16(01)</t>
  </si>
  <si>
    <t xml:space="preserve">Cross-organizational Audit Logging | Identity Preservation</t>
  </si>
  <si>
    <t xml:space="preserve">Enhances AU-16 (Cross-organizational Audit Logging): configure and enforce 'Identity Preservation' in addition to the base setting, keep it consistent across applicable systems and document approved exceptions. Base scope: Configure log sharing and identity preservation across organizations</t>
  </si>
  <si>
    <t xml:space="preserve">ส่วนขยายของ AU-16: กำหนดค่าและบังคับใช้ 'Identity Preservation' เพิ่มเติมจากค่าพื้นฐาน ให้สอดคล้องทุกระบบที่เกี่ยวข้อง และบันทึกข้อยกเว้น - ตั้งค่าการแชร์ Log และรักษาข้อมูลตัวตนระหว่างองค์กร</t>
  </si>
  <si>
    <t xml:space="preserve">ESBIT-AU-16(02)</t>
  </si>
  <si>
    <t xml:space="preserve">AU-16(02)</t>
  </si>
  <si>
    <t xml:space="preserve">Cross-organizational Audit Logging | Sharing of Audit Information</t>
  </si>
  <si>
    <t xml:space="preserve">Enhances AU-16 (Cross-organizational Audit Logging): configure and enforce 'Sharing of Audit Information' in addition to the base setting, keep it consistent across applicable systems and document approved exceptions. Base scope: Configure log sharing and identity preservation across organizations</t>
  </si>
  <si>
    <t xml:space="preserve">ส่วนขยายของ AU-16: กำหนดค่าและบังคับใช้ 'Sharing of Audit Information' เพิ่มเติมจากค่าพื้นฐาน ให้สอดคล้องทุกระบบที่เกี่ยวข้อง และบันทึกข้อยกเว้น - ตั้งค่าการแชร์ Log และรักษาข้อมูลตัวตนระหว่างองค์กร</t>
  </si>
  <si>
    <t xml:space="preserve">ESBIT-AU-16(03)</t>
  </si>
  <si>
    <t xml:space="preserve">AU-16(03)</t>
  </si>
  <si>
    <t xml:space="preserve">Cross-organizational Audit Logging | Disassociability</t>
  </si>
  <si>
    <t xml:space="preserve">Enhances AU-16 (Cross-organizational Audit Logging): configure and enforce 'Disassociability' in addition to the base setting, keep it consistent across applicable systems and document approved exceptions. Base scope: Configure log sharing and identity preservation across organizations</t>
  </si>
  <si>
    <t xml:space="preserve">ส่วนขยายของ AU-16: กำหนดค่าและบังคับใช้ 'Disassociability' เพิ่มเติมจากค่าพื้นฐาน ให้สอดคล้องทุกระบบที่เกี่ยวข้อง และบันทึกข้อยกเว้น - ตั้งค่าการแชร์ Log และรักษาข้อมูลตัวตนระหว่างองค์กร</t>
  </si>
  <si>
    <t xml:space="preserve">ESBIT-CA-01</t>
  </si>
  <si>
    <t xml:space="preserve">CA-01</t>
  </si>
  <si>
    <t xml:space="preserve">Assessment, Authorization, and Monitoring (CA)</t>
  </si>
  <si>
    <t xml:space="preserve">Not a direct configuration item - define, document, review and communicate the Assessment, Authorization, and Monitoring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</si>
  <si>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และทบทวนนโยบาย/ขั้นตอนของหมวดการประเมิน การอนุมัติ และการเฝ้าระวัง เพื่อเป็นฐานในการกำหนดมาตรฐาน Config</t>
  </si>
  <si>
    <t xml:space="preserve">ESBIT-CA-02</t>
  </si>
  <si>
    <t xml:space="preserve">CA-02</t>
  </si>
  <si>
    <t xml:space="preserve">Control Assessments</t>
  </si>
  <si>
    <t xml:space="preserve">ID.IM - Improvement</t>
  </si>
  <si>
    <t xml:space="preserve">ID.IM-01</t>
  </si>
  <si>
    <t xml:space="preserve">Improvements are identified from evaluations</t>
  </si>
  <si>
    <t xml:space="preserve">Not a direct configuration item - planning and performing security control assessments and configuration compliance reviews</t>
  </si>
  <si>
    <t xml:space="preserve">ไม่ใช่การ config โดยตรง - การวางแผนและประเมินมาตรการความปลอดภัยและการทบทวนความสอดคล้องของ Config</t>
  </si>
  <si>
    <t xml:space="preserve">Network, Cloud, Governance</t>
  </si>
  <si>
    <t xml:space="preserve">ESBIT-CA-02(01)</t>
  </si>
  <si>
    <t xml:space="preserve">CA-02(01)</t>
  </si>
  <si>
    <t xml:space="preserve">Control Assessments | Independent Assessors</t>
  </si>
  <si>
    <t xml:space="preserve">Not a direct configuration item - enhancement of CA-02 (Control Assessments): 'Independent Assessors'; planning and performing security control assessments and configuration compliance reviews.</t>
  </si>
  <si>
    <t xml:space="preserve">ไม่ใช่การ config โดยตรง - ส่วนขยายของ CA-02: 'Independent Assessors' - การวางแผนและประเมินมาตรการความปลอดภัยและการทบทวนความสอดคล้องของ Config</t>
  </si>
  <si>
    <t xml:space="preserve">ESBIT-CA-02(02)</t>
  </si>
  <si>
    <t xml:space="preserve">CA-02(02)</t>
  </si>
  <si>
    <t xml:space="preserve">Control Assessments | Specialized Assessments</t>
  </si>
  <si>
    <t xml:space="preserve">Not a direct configuration item - enhancement of CA-02 (Control Assessments): 'Specialized Assessments'; planning and performing security control assessments and configuration compliance reviews.</t>
  </si>
  <si>
    <t xml:space="preserve">ไม่ใช่การ config โดยตรง - ส่วนขยายของ CA-02: 'Specialized Assessments' - การวางแผนและประเมินมาตรการความปลอดภัยและการทบทวนความสอดคล้องของ Config</t>
  </si>
  <si>
    <t xml:space="preserve">ESBIT-CA-02(03)</t>
  </si>
  <si>
    <t xml:space="preserve">CA-02(03)</t>
  </si>
  <si>
    <t xml:space="preserve">Control Assessments | Leveraging Results from External Organizations</t>
  </si>
  <si>
    <t xml:space="preserve">Not a direct configuration item - enhancement of CA-02 (Control Assessments): 'Leveraging Results from External Organizations'; planning and performing security control assessments and configuration compliance reviews.</t>
  </si>
  <si>
    <t xml:space="preserve">ไม่ใช่การ config โดยตรง - ส่วนขยายของ CA-02: 'Leveraging Results from External Organizations' - การวางแผนและประเมินมาตรการความปลอดภัยและการทบทวนความสอดคล้องของ Config</t>
  </si>
  <si>
    <t xml:space="preserve">ESBIT-CA-03</t>
  </si>
  <si>
    <t xml:space="preserve">CA-03</t>
  </si>
  <si>
    <t xml:space="preserve">Information Exchange</t>
  </si>
  <si>
    <t xml:space="preserve">Configure secured interconnections (VPN/API/firewall rules) per interconnection agreements</t>
  </si>
  <si>
    <t xml:space="preserve">ตั้งค่าการเชื่อมต่อที่ปลอดภัย (VPN/API/Firewall) ตามข้อตกลงการเชื่อมต่อระบบ</t>
  </si>
  <si>
    <t xml:space="preserve">ESBIT-CA-03(06)</t>
  </si>
  <si>
    <t xml:space="preserve">CA-03(06)</t>
  </si>
  <si>
    <t xml:space="preserve">Information Exchange | Transfer Authorizations</t>
  </si>
  <si>
    <t xml:space="preserve">Enhances CA-03 (Information Exchange): configure and enforce 'Transfer Authorizations' in addition to the base setting, keep it consistent across applicable systems and document approved exceptions. Base scope: Configure secured interconnections (VPN/API/firewall rules) per interconnection agreements</t>
  </si>
  <si>
    <t xml:space="preserve">ส่วนขยายของ CA-03: กำหนดค่าและบังคับใช้ 'Transfer Authorizations' เพิ่มเติมจากค่าพื้นฐาน ให้สอดคล้องทุกระบบที่เกี่ยวข้อง และบันทึกข้อยกเว้น - ตั้งค่าการเชื่อมต่อที่ปลอดภัย (VPN/API/Firewall) ตามข้อตกลงการเชื่อมต่อระบบ</t>
  </si>
  <si>
    <t xml:space="preserve">ESBIT-CA-03(07)</t>
  </si>
  <si>
    <t xml:space="preserve">CA-03(07)</t>
  </si>
  <si>
    <t xml:space="preserve">Information Exchange | Transitive Information Exchanges</t>
  </si>
  <si>
    <t xml:space="preserve">Enhances CA-03 (Information Exchange): configure and enforce 'Transitive Information Exchanges' in addition to the base setting, keep it consistent across applicable systems and document approved exceptions. Base scope: Configure secured interconnections (VPN/API/firewall rules) per interconnection agreements</t>
  </si>
  <si>
    <t xml:space="preserve">ส่วนขยายของ CA-03: กำหนดค่าและบังคับใช้ 'Transitive Information Exchanges' เพิ่มเติมจากค่าพื้นฐาน ให้สอดคล้องทุกระบบที่เกี่ยวข้อง และบันทึกข้อยกเว้น - ตั้งค่าการเชื่อมต่อที่ปลอดภัย (VPN/API/Firewall) ตามข้อตกลงการเชื่อมต่อระบบ</t>
  </si>
  <si>
    <t xml:space="preserve">ESBIT-CA-05</t>
  </si>
  <si>
    <t xml:space="preserve">CA-05</t>
  </si>
  <si>
    <t xml:space="preserve">Plan of Action and Milestones</t>
  </si>
  <si>
    <t xml:space="preserve">ID.RA - Risk Assessment</t>
  </si>
  <si>
    <t xml:space="preserve">ID.RA-06</t>
  </si>
  <si>
    <t xml:space="preserve">Risk responses are chosen, prioritized, planned, tracked, and communicated</t>
  </si>
  <si>
    <t xml:space="preserve">Not a direct configuration item - tracking and remediating identified weaknesses through POA&amp;M</t>
  </si>
  <si>
    <t xml:space="preserve">ไม่ใช่การ config โดยตรง - การติดตามและแก้ไขจุดอ่อนที่พบผ่านแผน POA&amp;M</t>
  </si>
  <si>
    <t xml:space="preserve">Cloud, Governance</t>
  </si>
  <si>
    <t xml:space="preserve">ESBIT-CA-05(01)</t>
  </si>
  <si>
    <t xml:space="preserve">CA-05(01)</t>
  </si>
  <si>
    <t xml:space="preserve">Plan of Action and Milestones | Automation Support for Accuracy and Currency</t>
  </si>
  <si>
    <t xml:space="preserve">Not a direct configuration item - enhancement of CA-05 (Plan of Action and Milestones): 'Automation Support for Accuracy and Currency'; tracking and remediating identified weaknesses through POA&amp;M.</t>
  </si>
  <si>
    <t xml:space="preserve">ไม่ใช่การ config โดยตรง - ส่วนขยายของ CA-05: 'Automation Support for Accuracy and Currency' - การติดตามและแก้ไขจุดอ่อนที่พบผ่านแผน POA&amp;M</t>
  </si>
  <si>
    <t xml:space="preserve">ESBIT-CA-06</t>
  </si>
  <si>
    <t xml:space="preserve">CA-06</t>
  </si>
  <si>
    <t xml:space="preserve">Authorization</t>
  </si>
  <si>
    <t xml:space="preserve">GV.OV - Oversight</t>
  </si>
  <si>
    <t xml:space="preserve">GV.OV-02</t>
  </si>
  <si>
    <t xml:space="preserve">The cybersecurity risk management strategy is reviewed and adjusted to ensure coverage of organizational requirements and risks</t>
  </si>
  <si>
    <t xml:space="preserve">Not a direct configuration item - management authorization to operate systems based on risk</t>
  </si>
  <si>
    <t xml:space="preserve">ไม่ใช่การ config โดยตรง - การอนุมัติให้ระบบใช้งานตามระดับความเสี่ยงโดยผู้บริหาร</t>
  </si>
  <si>
    <t xml:space="preserve">ESBIT-CA-06(01)</t>
  </si>
  <si>
    <t xml:space="preserve">CA-06(01)</t>
  </si>
  <si>
    <t xml:space="preserve">Authorization | Joint Authorization - Intra-organization</t>
  </si>
  <si>
    <t xml:space="preserve">Not a direct configuration item - enhancement of CA-06 (Authorization): 'Joint Authorization - Intra-organization'; management authorization to operate systems based on risk.</t>
  </si>
  <si>
    <t xml:space="preserve">ไม่ใช่การ config โดยตรง - ส่วนขยายของ CA-06: 'Joint Authorization - Intra-organization' - การอนุมัติให้ระบบใช้งานตามระดับความเสี่ยงโดยผู้บริหาร</t>
  </si>
  <si>
    <t xml:space="preserve">ESBIT-CA-06(02)</t>
  </si>
  <si>
    <t xml:space="preserve">CA-06(02)</t>
  </si>
  <si>
    <t xml:space="preserve">Authorization | Joint Authorization - Inter-organization</t>
  </si>
  <si>
    <t xml:space="preserve">Not a direct configuration item - enhancement of CA-06 (Authorization): 'Joint Authorization - Inter-organization'; management authorization to operate systems based on risk.</t>
  </si>
  <si>
    <t xml:space="preserve">ไม่ใช่การ config โดยตรง - ส่วนขยายของ CA-06: 'Joint Authorization - Inter-organization' - การอนุมัติให้ระบบใช้งานตามระดับความเสี่ยงโดยผู้บริหาร</t>
  </si>
  <si>
    <t xml:space="preserve">ESBIT-CA-07</t>
  </si>
  <si>
    <t xml:space="preserve">CA-07</t>
  </si>
  <si>
    <t xml:space="preserve">Continuous Monitoring</t>
  </si>
  <si>
    <t xml:space="preserve">Configure continuous monitoring of configuration drift, vulnerabilities and security metrics</t>
  </si>
  <si>
    <t xml:space="preserve">ตั้งค่าการเฝ้าระวังต่อเนื่องเรื่อง Configuration Drift ช่องโหว่ และตัวชี้วัดความปลอดภัย</t>
  </si>
  <si>
    <t xml:space="preserve">ESBIT-CA-07(01)</t>
  </si>
  <si>
    <t xml:space="preserve">CA-07(01)</t>
  </si>
  <si>
    <t xml:space="preserve">Continuous Monitoring | Independent Assessment</t>
  </si>
  <si>
    <t xml:space="preserve">Enhances CA-07 (Continuous Monitoring): configure and enforce 'Independent Assessment' in addition to the base setting, keep it consistent across applicable systems and document approved exceptions. Base scope: Configure continuous monitoring of configuration drift, vulnerabilities and security metrics</t>
  </si>
  <si>
    <t xml:space="preserve">ส่วนขยายของ CA-07: กำหนดค่าและบังคับใช้ 'Independent Assessment' เพิ่มเติมจากค่าพื้นฐาน ให้สอดคล้องทุกระบบที่เกี่ยวข้อง และบันทึกข้อยกเว้น - ตั้งค่าการเฝ้าระวังต่อเนื่องเรื่อง Configuration Drift ช่องโหว่ และตัวชี้วัดความปลอดภัย</t>
  </si>
  <si>
    <t xml:space="preserve">ESBIT-CA-07(03)</t>
  </si>
  <si>
    <t xml:space="preserve">CA-07(03)</t>
  </si>
  <si>
    <t xml:space="preserve">Continuous Monitoring | Trend Analyses</t>
  </si>
  <si>
    <t xml:space="preserve">Enhances CA-07 (Continuous Monitoring): configure and enforce 'Trend Analyses' in addition to the base setting, keep it consistent across applicable systems and document approved exceptions. Base scope: Configure continuous monitoring of configuration drift, vulnerabilities and security metrics</t>
  </si>
  <si>
    <t xml:space="preserve">ส่วนขยายของ CA-07: กำหนดค่าและบังคับใช้ 'Trend Analyses' เพิ่มเติมจากค่าพื้นฐาน ให้สอดคล้องทุกระบบที่เกี่ยวข้อง และบันทึกข้อยกเว้น - ตั้งค่าการเฝ้าระวังต่อเนื่องเรื่อง Configuration Drift ช่องโหว่ และตัวชี้วัดความปลอดภัย</t>
  </si>
  <si>
    <t xml:space="preserve">ESBIT-CA-07(04)</t>
  </si>
  <si>
    <t xml:space="preserve">CA-07(04)</t>
  </si>
  <si>
    <t xml:space="preserve">Continuous Monitoring | Risk Monitoring</t>
  </si>
  <si>
    <t xml:space="preserve">Enhances CA-07 (Continuous Monitoring): configure and enforce 'Risk Monitoring' in addition to the base setting, keep it consistent across applicable systems and document approved exceptions. Base scope: Configure continuous monitoring of configuration drift, vulnerabilities and security metrics</t>
  </si>
  <si>
    <t xml:space="preserve">ส่วนขยายของ CA-07: กำหนดค่าและบังคับใช้ 'Risk Monitoring' เพิ่มเติมจากค่าพื้นฐาน ให้สอดคล้องทุกระบบที่เกี่ยวข้อง และบันทึกข้อยกเว้น - ตั้งค่าการเฝ้าระวังต่อเนื่องเรื่อง Configuration Drift ช่องโหว่ และตัวชี้วัดความปลอดภัย</t>
  </si>
  <si>
    <t xml:space="preserve">ESBIT-CA-07(05)</t>
  </si>
  <si>
    <t xml:space="preserve">CA-07(05)</t>
  </si>
  <si>
    <t xml:space="preserve">Continuous Monitoring | Consistency Analysis</t>
  </si>
  <si>
    <t xml:space="preserve">Enhances CA-07 (Continuous Monitoring): configure and enforce 'Consistency Analysis' in addition to the base setting, keep it consistent across applicable systems and document approved exceptions. Base scope: Configure continuous monitoring of configuration drift, vulnerabilities and security metrics</t>
  </si>
  <si>
    <t xml:space="preserve">ส่วนขยายของ CA-07: กำหนดค่าและบังคับใช้ 'Consistency Analysis' เพิ่มเติมจากค่าพื้นฐาน ให้สอดคล้องทุกระบบที่เกี่ยวข้อง และบันทึกข้อยกเว้น - ตั้งค่าการเฝ้าระวังต่อเนื่องเรื่อง Configuration Drift ช่องโหว่ และตัวชี้วัดความปลอดภัย</t>
  </si>
  <si>
    <t xml:space="preserve">ESBIT-CA-07(06)</t>
  </si>
  <si>
    <t xml:space="preserve">CA-07(06)</t>
  </si>
  <si>
    <t xml:space="preserve">Continuous Monitoring | Automation Support for Monitoring</t>
  </si>
  <si>
    <t xml:space="preserve">Enhances CA-07 (Continuous Monitoring): configure and enforce 'Automation Support for Monitoring' in addition to the base setting, keep it consistent across applicable systems and document approved exceptions. Base scope: Configure continuous monitoring of configuration drift, vulnerabilities and security metrics</t>
  </si>
  <si>
    <t xml:space="preserve">ส่วนขยายของ CA-07: กำหนดค่าและบังคับใช้ 'Automation Support for Monitoring' เพิ่มเติมจากค่าพื้นฐาน ให้สอดคล้องทุกระบบที่เกี่ยวข้อง และบันทึกข้อยกเว้น - ตั้งค่าการเฝ้าระวังต่อเนื่องเรื่อง Configuration Drift ช่องโหว่ และตัวชี้วัดความปลอดภัย</t>
  </si>
  <si>
    <t xml:space="preserve">ESBIT-CA-08</t>
  </si>
  <si>
    <t xml:space="preserve">CA-08</t>
  </si>
  <si>
    <t xml:space="preserve">Penetration Testing</t>
  </si>
  <si>
    <t xml:space="preserve">ID.RA-01</t>
  </si>
  <si>
    <t xml:space="preserve">Vulnerabilities in assets are identified, validated, and recorded</t>
  </si>
  <si>
    <t xml:space="preserve">Not a direct configuration item - periodic penetration testing to validate configuration hardening</t>
  </si>
  <si>
    <t xml:space="preserve">ไม่ใช่การ config โดยตรง - การทดสอบเจาะระบบเป็นระยะเพื่อยืนยันความแข็งแกร่งของ Config</t>
  </si>
  <si>
    <t xml:space="preserve">ESBIT-CA-08(01)</t>
  </si>
  <si>
    <t xml:space="preserve">CA-08(01)</t>
  </si>
  <si>
    <t xml:space="preserve">Penetration Testing | Independent Penetration Testing Agent or Team</t>
  </si>
  <si>
    <t xml:space="preserve">Not a direct configuration item - enhancement of CA-08 (Penetration Testing): 'Independent Penetration Testing Agent or Team'; periodic penetration testing to validate configuration hardening.</t>
  </si>
  <si>
    <t xml:space="preserve">ไม่ใช่การ config โดยตรง - ส่วนขยายของ CA-08: 'Independent Penetration Testing Agent or Team' - การทดสอบเจาะระบบเป็นระยะเพื่อยืนยันความแข็งแกร่งของ Config</t>
  </si>
  <si>
    <t xml:space="preserve">ESBIT-CA-08(02)</t>
  </si>
  <si>
    <t xml:space="preserve">CA-08(02)</t>
  </si>
  <si>
    <t xml:space="preserve">Penetration Testing | Red Team Exercises</t>
  </si>
  <si>
    <t xml:space="preserve">Not a direct configuration item - enhancement of CA-08 (Penetration Testing): 'Red Team Exercises'; periodic penetration testing to validate configuration hardening.</t>
  </si>
  <si>
    <t xml:space="preserve">ไม่ใช่การ config โดยตรง - ส่วนขยายของ CA-08: 'Red Team Exercises' - การทดสอบเจาะระบบเป็นระยะเพื่อยืนยันความแข็งแกร่งของ Config</t>
  </si>
  <si>
    <t xml:space="preserve">ESBIT-CA-08(03)</t>
  </si>
  <si>
    <t xml:space="preserve">CA-08(03)</t>
  </si>
  <si>
    <t xml:space="preserve">Penetration Testing | Facility Penetration Testing</t>
  </si>
  <si>
    <t xml:space="preserve">Not a direct configuration item - enhancement of CA-08 (Penetration Testing): 'Facility Penetration Testing'; periodic penetration testing to validate configuration hardening.</t>
  </si>
  <si>
    <t xml:space="preserve">ไม่ใช่การ config โดยตรง - ส่วนขยายของ CA-08: 'Facility Penetration Testing' - การทดสอบเจาะระบบเป็นระยะเพื่อยืนยันความแข็งแกร่งของ Config</t>
  </si>
  <si>
    <t xml:space="preserve">ESBIT-CA-09</t>
  </si>
  <si>
    <t xml:space="preserve">CA-09</t>
  </si>
  <si>
    <t xml:space="preserve">Internal System Connections</t>
  </si>
  <si>
    <t xml:space="preserve">Document and restrict internal system connections and configure permitted flows</t>
  </si>
  <si>
    <t xml:space="preserve">จัดทำเอกสารและจำกัดการเชื่อมต่อภายใน พร้อมตั้งค่าเส้นทางที่อนุญาต</t>
  </si>
  <si>
    <t xml:space="preserve">ESBIT-CA-09(01)</t>
  </si>
  <si>
    <t xml:space="preserve">CA-09(01)</t>
  </si>
  <si>
    <t xml:space="preserve">Internal System Connections | Compliance Checks</t>
  </si>
  <si>
    <t xml:space="preserve">Enhances CA-09 (Internal System Connections): configure and enforce 'Compliance Checks' in addition to the base setting, keep it consistent across applicable systems and document approved exceptions. Base scope: Document and restrict internal system connections and configure permitted flows</t>
  </si>
  <si>
    <t xml:space="preserve">ส่วนขยายของ CA-09: กำหนดค่าและบังคับใช้ 'Compliance Checks' เพิ่มเติมจากค่าพื้นฐาน ให้สอดคล้องทุกระบบที่เกี่ยวข้อง และบันทึกข้อยกเว้น - จัดทำเอกสารและจำกัดการเชื่อมต่อภายใน พร้อมตั้งค่าเส้นทางที่อนุญาต</t>
  </si>
  <si>
    <t xml:space="preserve">ESBIT-CM-01</t>
  </si>
  <si>
    <t xml:space="preserve">CM-01</t>
  </si>
  <si>
    <t xml:space="preserve">Configuration Management (CM)</t>
  </si>
  <si>
    <t xml:space="preserve">Not a direct configuration item - define, document, review and communicate the Configuration Management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</si>
  <si>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และทบทวนนโยบาย/ขั้นตอนของหมวดการบริหารจัดการ Configuration เพื่อเป็นฐานในการกำหนดมาตรฐาน Config</t>
  </si>
  <si>
    <t xml:space="preserve">ESBIT-CM-02</t>
  </si>
  <si>
    <t xml:space="preserve">CM-02</t>
  </si>
  <si>
    <t xml:space="preserve">Baseline Configuration</t>
  </si>
  <si>
    <t xml:space="preserve">Develop, document and maintain secure baseline configurations (CIS/hardened images) for servers, network devices, databases and cloud</t>
  </si>
  <si>
    <t xml:space="preserve">จัดทำและดูแล Baseline Configuration ที่ปลอดภัย (CIS/Hardened Image) สำหรับเซิร์ฟเวอร์ เครือข่าย DB และ Cloud</t>
  </si>
  <si>
    <t xml:space="preserve">Network, Cloud, Database, Application</t>
  </si>
  <si>
    <t xml:space="preserve">ESBIT-CM-02(02)</t>
  </si>
  <si>
    <t xml:space="preserve">CM-02(02)</t>
  </si>
  <si>
    <t xml:space="preserve">Baseline Configuration | Automation Support for Accuracy and Currency</t>
  </si>
  <si>
    <t xml:space="preserve">Enhances CM-02 (Baseline Configuration): configure and enforce 'Automation Support for Accuracy and Currency' in addition to the base setting, keep it consistent across applicable systems and document approved exceptions. Base scope: Develop, document and maintain secure baseline configurations (CIS/hardened images) for servers, network devices, databases and cloud</t>
  </si>
  <si>
    <t xml:space="preserve">ส่วนขยายของ CM-02: กำหนดค่าและบังคับใช้ 'Automation Support for Accuracy and Currency' เพิ่มเติมจากค่าพื้นฐาน ให้สอดคล้องทุกระบบที่เกี่ยวข้อง และบันทึกข้อยกเว้น - จัดทำและดูแล Baseline Configuration ที่ปลอดภัย (CIS/Hardened Image) สำหรับเซิร์ฟเวอร์ เครือข่าย DB และ Cloud</t>
  </si>
  <si>
    <t xml:space="preserve">ESBIT-CM-02(03)</t>
  </si>
  <si>
    <t xml:space="preserve">CM-02(03)</t>
  </si>
  <si>
    <t xml:space="preserve">Baseline Configuration | Retention of Previous Configurations</t>
  </si>
  <si>
    <t xml:space="preserve">Enhances CM-02 (Baseline Configuration): configure and enforce 'Retention of Previous Configurations' in addition to the base setting, keep it consistent across applicable systems and document approved exceptions. Base scope: Develop, document and maintain secure baseline configurations (CIS/hardened images) for servers, network devices, databases and cloud</t>
  </si>
  <si>
    <t xml:space="preserve">ส่วนขยายของ CM-02: กำหนดค่าและบังคับใช้ 'Retention of Previous Configurations' เพิ่มเติมจากค่าพื้นฐาน ให้สอดคล้องทุกระบบที่เกี่ยวข้อง และบันทึกข้อยกเว้น - จัดทำและดูแล Baseline Configuration ที่ปลอดภัย (CIS/Hardened Image) สำหรับเซิร์ฟเวอร์ เครือข่าย DB และ Cloud</t>
  </si>
  <si>
    <t xml:space="preserve">ESBIT-CM-02(06)</t>
  </si>
  <si>
    <t xml:space="preserve">CM-02(06)</t>
  </si>
  <si>
    <t xml:space="preserve">Baseline Configuration | Development and Test Environments</t>
  </si>
  <si>
    <t xml:space="preserve">Enhances CM-02 (Baseline Configuration): configure and enforce 'Development and Test Environments' in addition to the base setting, keep it consistent across applicable systems and document approved exceptions. Base scope: Develop, document and maintain secure baseline configurations (CIS/hardened images) for servers, network devices, databases and cloud</t>
  </si>
  <si>
    <t xml:space="preserve">ส่วนขยายของ CM-02: กำหนดค่าและบังคับใช้ 'Development and Test Environments' เพิ่มเติมจากค่าพื้นฐาน ให้สอดคล้องทุกระบบที่เกี่ยวข้อง และบันทึกข้อยกเว้น - จัดทำและดูแล Baseline Configuration ที่ปลอดภัย (CIS/Hardened Image) สำหรับเซิร์ฟเวอร์ เครือข่าย DB และ Cloud</t>
  </si>
  <si>
    <t xml:space="preserve">ESBIT-CM-02(07)</t>
  </si>
  <si>
    <t xml:space="preserve">CM-02(07)</t>
  </si>
  <si>
    <t xml:space="preserve">Baseline Configuration | Configure Systems and Components for High-risk Areas</t>
  </si>
  <si>
    <t xml:space="preserve">Enhances CM-02 (Baseline Configuration): configure and enforce 'Configure Systems and Components for High-risk Areas' in addition to the base setting, keep it consistent across applicable systems and document approved exceptions. Base scope: Develop, document and maintain secure baseline configurations (CIS/hardened images) for servers, network devices, databases and cloud</t>
  </si>
  <si>
    <t xml:space="preserve">ส่วนขยายของ CM-02: กำหนดค่าและบังคับใช้ 'Configure Systems and Components for High-risk Areas' เพิ่มเติมจากค่าพื้นฐาน ให้สอดคล้องทุกระบบที่เกี่ยวข้อง และบันทึกข้อยกเว้น - จัดทำและดูแล Baseline Configuration ที่ปลอดภัย (CIS/Hardened Image) สำหรับเซิร์ฟเวอร์ เครือข่าย DB และ Cloud</t>
  </si>
  <si>
    <t xml:space="preserve">ESBIT-CM-03</t>
  </si>
  <si>
    <t xml:space="preserve">CM-03</t>
  </si>
  <si>
    <t xml:space="preserve">Configuration Change Control</t>
  </si>
  <si>
    <t xml:space="preserve">ID.RA-07</t>
  </si>
  <si>
    <t xml:space="preserve">Changes and exceptions are managed, assessed for risk impact, recorded, and tracked</t>
  </si>
  <si>
    <t xml:space="preserve">Configure change approval workflow, change tracking and audit of configuration changes</t>
  </si>
  <si>
    <t xml:space="preserve">ตั้งค่ากระบวนการอนุมัติ ติดตาม และตรวจสอบการเปลี่ยนแปลง Config</t>
  </si>
  <si>
    <t xml:space="preserve">ESBIT-CM-03(01)</t>
  </si>
  <si>
    <t xml:space="preserve">CM-03(01)</t>
  </si>
  <si>
    <t xml:space="preserve">Configuration Change Control | Automated Documentation, Notification, and Prohibition of Changes</t>
  </si>
  <si>
    <t xml:space="preserve">Enhances CM-03 (Configuration Change Control): configure and enforce 'Automated Documentation, Notification, and Prohibition of Changes' in addition to the base setting, keep it consistent across applicable systems and document approved exceptions. Base scope: Configure change approval workflow, change tracking and audit of configuration changes</t>
  </si>
  <si>
    <t xml:space="preserve">ส่วนขยายของ CM-03: กำหนดค่าและบังคับใช้ 'Automated Documentation, Notification, and Prohibition of Changes' เพิ่มเติมจากค่าพื้นฐาน ให้สอดคล้องทุกระบบที่เกี่ยวข้อง และบันทึกข้อยกเว้น - ตั้งค่ากระบวนการอนุมัติ ติดตาม และตรวจสอบการเปลี่ยนแปลง Config</t>
  </si>
  <si>
    <t xml:space="preserve">ESBIT-CM-03(02)</t>
  </si>
  <si>
    <t xml:space="preserve">CM-03(02)</t>
  </si>
  <si>
    <t xml:space="preserve">Configuration Change Control | Testing, Validation, and Documentation of Changes</t>
  </si>
  <si>
    <t xml:space="preserve">Enhances CM-03 (Configuration Change Control): configure and enforce 'Testing, Validation, and Documentation of Changes' in addition to the base setting, keep it consistent across applicable systems and document approved exceptions. Base scope: Configure change approval workflow, change tracking and audit of configuration changes</t>
  </si>
  <si>
    <t xml:space="preserve">ส่วนขยายของ CM-03: กำหนดค่าและบังคับใช้ 'Testing, Validation, and Documentation of Changes' เพิ่มเติมจากค่าพื้นฐาน ให้สอดคล้องทุกระบบที่เกี่ยวข้อง และบันทึกข้อยกเว้น - ตั้งค่ากระบวนการอนุมัติ ติดตาม และตรวจสอบการเปลี่ยนแปลง Config</t>
  </si>
  <si>
    <t xml:space="preserve">ESBIT-CM-03(03)</t>
  </si>
  <si>
    <t xml:space="preserve">CM-03(03)</t>
  </si>
  <si>
    <t xml:space="preserve">Configuration Change Control | Automated Change Implementation</t>
  </si>
  <si>
    <t xml:space="preserve">Enhances CM-03 (Configuration Change Control): configure and enforce 'Automated Change Implementation' in addition to the base setting, keep it consistent across applicable systems and document approved exceptions. Base scope: Configure change approval workflow, change tracking and audit of configuration changes</t>
  </si>
  <si>
    <t xml:space="preserve">ส่วนขยายของ CM-03: กำหนดค่าและบังคับใช้ 'Automated Change Implementation' เพิ่มเติมจากค่าพื้นฐาน ให้สอดคล้องทุกระบบที่เกี่ยวข้อง และบันทึกข้อยกเว้น - ตั้งค่ากระบวนการอนุมัติ ติดตาม และตรวจสอบการเปลี่ยนแปลง Config</t>
  </si>
  <si>
    <t xml:space="preserve">ESBIT-CM-03(04)</t>
  </si>
  <si>
    <t xml:space="preserve">CM-03(04)</t>
  </si>
  <si>
    <t xml:space="preserve">Configuration Change Control | Security and Privacy Representatives</t>
  </si>
  <si>
    <t xml:space="preserve">Enhances CM-03 (Configuration Change Control): configure and enforce 'Security and Privacy Representatives' in addition to the base setting, keep it consistent across applicable systems and document approved exceptions. Base scope: Configure change approval workflow, change tracking and audit of configuration changes</t>
  </si>
  <si>
    <t xml:space="preserve">ส่วนขยายของ CM-03: กำหนดค่าและบังคับใช้ 'Security and Privacy Representatives' เพิ่มเติมจากค่าพื้นฐาน ให้สอดคล้องทุกระบบที่เกี่ยวข้อง และบันทึกข้อยกเว้น - ตั้งค่ากระบวนการอนุมัติ ติดตาม และตรวจสอบการเปลี่ยนแปลง Config</t>
  </si>
  <si>
    <t xml:space="preserve">ESBIT-CM-03(05)</t>
  </si>
  <si>
    <t xml:space="preserve">CM-03(05)</t>
  </si>
  <si>
    <t xml:space="preserve">Configuration Change Control | Automated Security Response</t>
  </si>
  <si>
    <t xml:space="preserve">Enhances CM-03 (Configuration Change Control): configure and enforce 'Automated Security Response' in addition to the base setting, keep it consistent across applicable systems and document approved exceptions. Base scope: Configure change approval workflow, change tracking and audit of configuration changes</t>
  </si>
  <si>
    <t xml:space="preserve">ส่วนขยายของ CM-03: กำหนดค่าและบังคับใช้ 'Automated Security Response' เพิ่มเติมจากค่าพื้นฐาน ให้สอดคล้องทุกระบบที่เกี่ยวข้อง และบันทึกข้อยกเว้น - ตั้งค่ากระบวนการอนุมัติ ติดตาม และตรวจสอบการเปลี่ยนแปลง Config</t>
  </si>
  <si>
    <t xml:space="preserve">ESBIT-CM-03(06)</t>
  </si>
  <si>
    <t xml:space="preserve">CM-03(06)</t>
  </si>
  <si>
    <t xml:space="preserve">Configuration Change Control | Cryptography Management</t>
  </si>
  <si>
    <t xml:space="preserve">Enhances CM-03 (Configuration Change Control): configure and enforce 'Cryptography Management' in addition to the base setting, keep it consistent across applicable systems and document approved exceptions. Base scope: Configure change approval workflow, change tracking and audit of configuration changes</t>
  </si>
  <si>
    <t xml:space="preserve">ส่วนขยายของ CM-03: กำหนดค่าและบังคับใช้ 'Cryptography Management' เพิ่มเติมจากค่าพื้นฐาน ให้สอดคล้องทุกระบบที่เกี่ยวข้อง และบันทึกข้อยกเว้น - ตั้งค่ากระบวนการอนุมัติ ติดตาม และตรวจสอบการเปลี่ยนแปลง Config</t>
  </si>
  <si>
    <t xml:space="preserve">ESBIT-CM-03(07)</t>
  </si>
  <si>
    <t xml:space="preserve">CM-03(07)</t>
  </si>
  <si>
    <t xml:space="preserve">Configuration Change Control | Review System Changes</t>
  </si>
  <si>
    <t xml:space="preserve">Enhances CM-03 (Configuration Change Control): configure and enforce 'Review System Changes' in addition to the base setting, keep it consistent across applicable systems and document approved exceptions. Base scope: Configure change approval workflow, change tracking and audit of configuration changes</t>
  </si>
  <si>
    <t xml:space="preserve">ส่วนขยายของ CM-03: กำหนดค่าและบังคับใช้ 'Review System Changes' เพิ่มเติมจากค่าพื้นฐาน ให้สอดคล้องทุกระบบที่เกี่ยวข้อง และบันทึกข้อยกเว้น - ตั้งค่ากระบวนการอนุมัติ ติดตาม และตรวจสอบการเปลี่ยนแปลง Config</t>
  </si>
  <si>
    <t xml:space="preserve">ESBIT-CM-03(08)</t>
  </si>
  <si>
    <t xml:space="preserve">CM-03(08)</t>
  </si>
  <si>
    <t xml:space="preserve">Configuration Change Control | Prevent or Restrict Configuration Changes</t>
  </si>
  <si>
    <t xml:space="preserve">Enhances CM-03 (Configuration Change Control): configure and enforce 'Prevent or Restrict Configuration Changes' in addition to the base setting, keep it consistent across applicable systems and document approved exceptions. Base scope: Configure change approval workflow, change tracking and audit of configuration changes</t>
  </si>
  <si>
    <t xml:space="preserve">ส่วนขยายของ CM-03: กำหนดค่าและบังคับใช้ 'Prevent or Restrict Configuration Changes' เพิ่มเติมจากค่าพื้นฐาน ให้สอดคล้องทุกระบบที่เกี่ยวข้อง และบันทึกข้อยกเว้น - ตั้งค่ากระบวนการอนุมัติ ติดตาม และตรวจสอบการเปลี่ยนแปลง Config</t>
  </si>
  <si>
    <t xml:space="preserve">ESBIT-CM-04</t>
  </si>
  <si>
    <t xml:space="preserve">CM-04</t>
  </si>
  <si>
    <t xml:space="preserve">Impact Analyses</t>
  </si>
  <si>
    <t xml:space="preserve">Not a direct configuration item - security impact analysis of changes before implementation</t>
  </si>
  <si>
    <t xml:space="preserve">ไม่ใช่การ config โดยตรง - การวิเคราะห์ผลกระทบด้านความปลอดภัยก่อนเปลี่ยนแปลง</t>
  </si>
  <si>
    <t xml:space="preserve">ESBIT-CM-04(01)</t>
  </si>
  <si>
    <t xml:space="preserve">CM-04(01)</t>
  </si>
  <si>
    <t xml:space="preserve">Impact Analyses | Separate Test Environments</t>
  </si>
  <si>
    <t xml:space="preserve">Not a direct configuration item - enhancement of CM-04 (Impact Analyses): 'Separate Test Environments'; security impact analysis of changes before implementation.</t>
  </si>
  <si>
    <t xml:space="preserve">ไม่ใช่การ config โดยตรง - ส่วนขยายของ CM-04: 'Separate Test Environments' - การวิเคราะห์ผลกระทบด้านความปลอดภัยก่อนเปลี่ยนแปลง</t>
  </si>
  <si>
    <t xml:space="preserve">ESBIT-CM-04(02)</t>
  </si>
  <si>
    <t xml:space="preserve">CM-04(02)</t>
  </si>
  <si>
    <t xml:space="preserve">Impact Analyses | Verification of Controls</t>
  </si>
  <si>
    <t xml:space="preserve">Not a direct configuration item - enhancement of CM-04 (Impact Analyses): 'Verification of Controls'; security impact analysis of changes before implementation.</t>
  </si>
  <si>
    <t xml:space="preserve">ไม่ใช่การ config โดยตรง - ส่วนขยายของ CM-04: 'Verification of Controls' - การวิเคราะห์ผลกระทบด้านความปลอดภัยก่อนเปลี่ยนแปลง</t>
  </si>
  <si>
    <t xml:space="preserve">ESBIT-CM-05</t>
  </si>
  <si>
    <t xml:space="preserve">CM-05</t>
  </si>
  <si>
    <t xml:space="preserve">Access Restrictions for Change</t>
  </si>
  <si>
    <t xml:space="preserve">Restrict who can change configuration; enforce privileged access and audit for change on devices and CI/CD</t>
  </si>
  <si>
    <t xml:space="preserve">จำกัดผู้มีสิทธิ์เปลี่ยน Config บังคับใช้สิทธิ์พิเศษและตรวจสอบบนอุปกรณ์และ CI/CD</t>
  </si>
  <si>
    <t xml:space="preserve">ESBIT-CM-05(01)</t>
  </si>
  <si>
    <t xml:space="preserve">CM-05(01)</t>
  </si>
  <si>
    <t xml:space="preserve">Access Restrictions for Change | Automated Access Enforcement and Audit Records</t>
  </si>
  <si>
    <t xml:space="preserve">Enhances CM-05 (Access Restrictions for Change): configure and enforce 'Automated Access Enforcement and Audit Records' in addition to the base setting, keep it consistent across applicable systems and document approved exceptions. Base scope: Restrict who can change configuration; enforce privileged access and audit for change on devices and CI/CD</t>
  </si>
  <si>
    <t xml:space="preserve">ส่วนขยายของ CM-05: กำหนดค่าและบังคับใช้ 'Automated Access Enforcement and Audit Records' เพิ่มเติมจากค่าพื้นฐาน ให้สอดคล้องทุกระบบที่เกี่ยวข้อง และบันทึกข้อยกเว้น - จำกัดผู้มีสิทธิ์เปลี่ยน Config บังคับใช้สิทธิ์พิเศษและตรวจสอบบนอุปกรณ์และ CI/CD</t>
  </si>
  <si>
    <t xml:space="preserve">ESBIT-CM-05(03)</t>
  </si>
  <si>
    <t xml:space="preserve">CM-05(03)</t>
  </si>
  <si>
    <t xml:space="preserve">Access Restrictions for Change | Signed Components</t>
  </si>
  <si>
    <t xml:space="preserve">Enhances CM-05 (Access Restrictions for Change): configure and enforce 'Signed Components' in addition to the base setting, keep it consistent across applicable systems and document approved exceptions. Base scope: Restrict who can change configuration; enforce privileged access and audit for change on devices and CI/CD</t>
  </si>
  <si>
    <t xml:space="preserve">ส่วนขยายของ CM-05: กำหนดค่าและบังคับใช้ 'Signed Components' เพิ่มเติมจากค่าพื้นฐาน ให้สอดคล้องทุกระบบที่เกี่ยวข้อง และบันทึกข้อยกเว้น - จำกัดผู้มีสิทธิ์เปลี่ยน Config บังคับใช้สิทธิ์พิเศษและตรวจสอบบนอุปกรณ์และ CI/CD</t>
  </si>
  <si>
    <t xml:space="preserve">ESBIT-CM-05(04)</t>
  </si>
  <si>
    <t xml:space="preserve">CM-05(04)</t>
  </si>
  <si>
    <t xml:space="preserve">Access Restrictions for Change | Dual Authorization</t>
  </si>
  <si>
    <t xml:space="preserve">Enhances CM-05 (Access Restrictions for Change): configure and enforce 'Dual Authorization' in addition to the base setting, keep it consistent across applicable systems and document approved exceptions. Base scope: Restrict who can change configuration; enforce privileged access and audit for change on devices and CI/CD</t>
  </si>
  <si>
    <t xml:space="preserve">ส่วนขยายของ CM-05: กำหนดค่าและบังคับใช้ 'Dual Authorization' เพิ่มเติมจากค่าพื้นฐาน ให้สอดคล้องทุกระบบที่เกี่ยวข้อง และบันทึกข้อยกเว้น - จำกัดผู้มีสิทธิ์เปลี่ยน Config บังคับใช้สิทธิ์พิเศษและตรวจสอบบนอุปกรณ์และ CI/CD</t>
  </si>
  <si>
    <t xml:space="preserve">ESBIT-CM-05(05)</t>
  </si>
  <si>
    <t xml:space="preserve">CM-05(05)</t>
  </si>
  <si>
    <t xml:space="preserve">Access Restrictions for Change | Privilege Limitation for Production and Operation</t>
  </si>
  <si>
    <t xml:space="preserve">Enhances CM-05 (Access Restrictions for Change): configure and enforce 'Privilege Limitation for Production and Operation' in addition to the base setting, keep it consistent across applicable systems and document approved exceptions. Base scope: Restrict who can change configuration; enforce privileged access and audit for change on devices and CI/CD</t>
  </si>
  <si>
    <t xml:space="preserve">ส่วนขยายของ CM-05: กำหนดค่าและบังคับใช้ 'Privilege Limitation for Production and Operation' เพิ่มเติมจากค่าพื้นฐาน ให้สอดคล้องทุกระบบที่เกี่ยวข้อง และบันทึกข้อยกเว้น - จำกัดผู้มีสิทธิ์เปลี่ยน Config บังคับใช้สิทธิ์พิเศษและตรวจสอบบนอุปกรณ์และ CI/CD</t>
  </si>
  <si>
    <t xml:space="preserve">ESBIT-CM-05(06)</t>
  </si>
  <si>
    <t xml:space="preserve">CM-05(06)</t>
  </si>
  <si>
    <t xml:space="preserve">Access Restrictions for Change | Limit Library Privileges</t>
  </si>
  <si>
    <t xml:space="preserve">Enhances CM-05 (Access Restrictions for Change): configure and enforce 'Limit Library Privileges' in addition to the base setting, keep it consistent across applicable systems and document approved exceptions. Base scope: Restrict who can change configuration; enforce privileged access and audit for change on devices and CI/CD</t>
  </si>
  <si>
    <t xml:space="preserve">ส่วนขยายของ CM-05: กำหนดค่าและบังคับใช้ 'Limit Library Privileges' เพิ่มเติมจากค่าพื้นฐาน ให้สอดคล้องทุกระบบที่เกี่ยวข้อง และบันทึกข้อยกเว้น - จำกัดผู้มีสิทธิ์เปลี่ยน Config บังคับใช้สิทธิ์พิเศษและตรวจสอบบนอุปกรณ์และ CI/CD</t>
  </si>
  <si>
    <t xml:space="preserve">ESBIT-CM-06</t>
  </si>
  <si>
    <t xml:space="preserve">CM-06</t>
  </si>
  <si>
    <t xml:space="preserve">Configuration Settings</t>
  </si>
  <si>
    <t xml:space="preserve">Establish, implement and monitor mandatory configuration settings (CIS/STIG) and detect or revert unauthorized deviations</t>
  </si>
  <si>
    <t xml:space="preserve">กำหนด บังคับใช้ และเฝ้าระวังค่า Config บังคับ (CIS/STIG) พร้อมตรวจจับและแก้ไขความเบี่ยงเบน</t>
  </si>
  <si>
    <t xml:space="preserve">ESBIT-CM-06(01)</t>
  </si>
  <si>
    <t xml:space="preserve">CM-06(01)</t>
  </si>
  <si>
    <t xml:space="preserve">Configuration Settings | Automated Management, Application, and Verification</t>
  </si>
  <si>
    <t xml:space="preserve">Enhances CM-06 (Configuration Settings): configure and enforce 'Automated Management, Application, and Verification' in addition to the base setting, keep it consistent across applicable systems and document approved exceptions. Base scope: Establish, implement and monitor mandatory configuration settings (CIS/STIG) and detect or revert unauthorized deviations</t>
  </si>
  <si>
    <t xml:space="preserve">ส่วนขยายของ CM-06: กำหนดค่าและบังคับใช้ 'Automated Management, Application, and Verification' เพิ่มเติมจากค่าพื้นฐาน ให้สอดคล้องทุกระบบที่เกี่ยวข้อง และบันทึกข้อยกเว้น - กำหนด บังคับใช้ และเฝ้าระวังค่า Config บังคับ (CIS/STIG) พร้อมตรวจจับและแก้ไขความเบี่ยงเบน</t>
  </si>
  <si>
    <t xml:space="preserve">ESBIT-CM-06(02)</t>
  </si>
  <si>
    <t xml:space="preserve">CM-06(02)</t>
  </si>
  <si>
    <t xml:space="preserve">Configuration Settings | Respond to Unauthorized Changes</t>
  </si>
  <si>
    <t xml:space="preserve">Enhances CM-06 (Configuration Settings): configure and enforce 'Respond to Unauthorized Changes' in addition to the base setting, keep it consistent across applicable systems and document approved exceptions. Base scope: Establish, implement and monitor mandatory configuration settings (CIS/STIG) and detect or revert unauthorized deviations</t>
  </si>
  <si>
    <t xml:space="preserve">ส่วนขยายของ CM-06: กำหนดค่าและบังคับใช้ 'Respond to Unauthorized Changes' เพิ่มเติมจากค่าพื้นฐาน ให้สอดคล้องทุกระบบที่เกี่ยวข้อง และบันทึกข้อยกเว้น - กำหนด บังคับใช้ และเฝ้าระวังค่า Config บังคับ (CIS/STIG) พร้อมตรวจจับและแก้ไขความเบี่ยงเบน</t>
  </si>
  <si>
    <t xml:space="preserve">ESBIT-CM-07</t>
  </si>
  <si>
    <t xml:space="preserve">CM-07</t>
  </si>
  <si>
    <t xml:space="preserve">Least Functionality</t>
  </si>
  <si>
    <t xml:space="preserve">Disable unnecessary ports, protocols, services and software; allowlist only required functions</t>
  </si>
  <si>
    <t xml:space="preserve">ปิดพอร์ต โปรโตคอล บริการ และซอฟต์แวร์ที่ไม่จำเป็น และอนุญาตเฉพาะที่ต้องใช้</t>
  </si>
  <si>
    <t xml:space="preserve">ESBIT-CM-07(01)</t>
  </si>
  <si>
    <t xml:space="preserve">CM-07(01)</t>
  </si>
  <si>
    <t xml:space="preserve">Least Functionality | Periodic Review</t>
  </si>
  <si>
    <t xml:space="preserve">Enhances CM-07 (Least Functionality): configure and enforce 'Periodic Review' in addition to the base setting, keep it consistent across applicable systems and document approved exceptions. Base scope: Disable unnecessary ports, protocols, services and software; allowlist only required functions</t>
  </si>
  <si>
    <t xml:space="preserve">ส่วนขยายของ CM-07: กำหนดค่าและบังคับใช้ 'Periodic Review' เพิ่มเติมจากค่าพื้นฐาน ให้สอดคล้องทุกระบบที่เกี่ยวข้อง และบันทึกข้อยกเว้น - ปิดพอร์ต โปรโตคอล บริการ และซอฟต์แวร์ที่ไม่จำเป็น และอนุญาตเฉพาะที่ต้องใช้</t>
  </si>
  <si>
    <t xml:space="preserve">ESBIT-CM-07(02)</t>
  </si>
  <si>
    <t xml:space="preserve">CM-07(02)</t>
  </si>
  <si>
    <t xml:space="preserve">Least Functionality | Prevent Program Execution</t>
  </si>
  <si>
    <t xml:space="preserve">Enhances CM-07 (Least Functionality): configure and enforce 'Prevent Program Execution' in addition to the base setting, keep it consistent across applicable systems and document approved exceptions. Base scope: Disable unnecessary ports, protocols, services and software; allowlist only required functions</t>
  </si>
  <si>
    <t xml:space="preserve">ส่วนขยายของ CM-07: กำหนดค่าและบังคับใช้ 'Prevent Program Execution' เพิ่มเติมจากค่าพื้นฐาน ให้สอดคล้องทุกระบบที่เกี่ยวข้อง และบันทึกข้อยกเว้น - ปิดพอร์ต โปรโตคอล บริการ และซอฟต์แวร์ที่ไม่จำเป็น และอนุญาตเฉพาะที่ต้องใช้</t>
  </si>
  <si>
    <t xml:space="preserve">ESBIT-CM-07(03)</t>
  </si>
  <si>
    <t xml:space="preserve">CM-07(03)</t>
  </si>
  <si>
    <t xml:space="preserve">Least Functionality | Registration Compliance</t>
  </si>
  <si>
    <t xml:space="preserve">Enhances CM-07 (Least Functionality): configure and enforce 'Registration Compliance' in addition to the base setting, keep it consistent across applicable systems and document approved exceptions. Base scope: Disable unnecessary ports, protocols, services and software; allowlist only required functions</t>
  </si>
  <si>
    <t xml:space="preserve">ส่วนขยายของ CM-07: กำหนดค่าและบังคับใช้ 'Registration Compliance' เพิ่มเติมจากค่าพื้นฐาน ให้สอดคล้องทุกระบบที่เกี่ยวข้อง และบันทึกข้อยกเว้น - ปิดพอร์ต โปรโตคอล บริการ และซอฟต์แวร์ที่ไม่จำเป็น และอนุญาตเฉพาะที่ต้องใช้</t>
  </si>
  <si>
    <t xml:space="preserve">ESBIT-CM-07(04)</t>
  </si>
  <si>
    <t xml:space="preserve">CM-07(04)</t>
  </si>
  <si>
    <t xml:space="preserve">Least Functionality | Unauthorized Software - Deny-by-exception</t>
  </si>
  <si>
    <t xml:space="preserve">Enhances CM-07 (Least Functionality): configure and enforce 'Unauthorized Software - Deny-by-exception' in addition to the base setting, keep it consistent across applicable systems and document approved exceptions. Base scope: Disable unnecessary ports, protocols, services and software; allowlist only required functions</t>
  </si>
  <si>
    <t xml:space="preserve">ส่วนขยายของ CM-07: กำหนดค่าและบังคับใช้ 'Unauthorized Software - Deny-by-exception' เพิ่มเติมจากค่าพื้นฐาน ให้สอดคล้องทุกระบบที่เกี่ยวข้อง และบันทึกข้อยกเว้น - ปิดพอร์ต โปรโตคอล บริการ และซอฟต์แวร์ที่ไม่จำเป็น และอนุญาตเฉพาะที่ต้องใช้</t>
  </si>
  <si>
    <t xml:space="preserve">ESBIT-CM-07(05)</t>
  </si>
  <si>
    <t xml:space="preserve">CM-07(05)</t>
  </si>
  <si>
    <t xml:space="preserve">Least Functionality | Authorized Software - Allow-by-exception</t>
  </si>
  <si>
    <t xml:space="preserve">Enhances CM-07 (Least Functionality): configure and enforce 'Authorized Software - Allow-by-exception' in addition to the base setting, keep it consistent across applicable systems and document approved exceptions. Base scope: Disable unnecessary ports, protocols, services and software; allowlist only required functions</t>
  </si>
  <si>
    <t xml:space="preserve">ส่วนขยายของ CM-07: กำหนดค่าและบังคับใช้ 'Authorized Software - Allow-by-exception' เพิ่มเติมจากค่าพื้นฐาน ให้สอดคล้องทุกระบบที่เกี่ยวข้อง และบันทึกข้อยกเว้น - ปิดพอร์ต โปรโตคอล บริการ และซอฟต์แวร์ที่ไม่จำเป็น และอนุญาตเฉพาะที่ต้องใช้</t>
  </si>
  <si>
    <t xml:space="preserve">ESBIT-CM-07(06)</t>
  </si>
  <si>
    <t xml:space="preserve">CM-07(06)</t>
  </si>
  <si>
    <t xml:space="preserve">Least Functionality | Confined Environments with Limited Privileges</t>
  </si>
  <si>
    <t xml:space="preserve">Enhances CM-07 (Least Functionality): configure and enforce 'Confined Environments with Limited Privileges' in addition to the base setting, keep it consistent across applicable systems and document approved exceptions. Base scope: Disable unnecessary ports, protocols, services and software; allowlist only required functions</t>
  </si>
  <si>
    <t xml:space="preserve">ส่วนขยายของ CM-07: กำหนดค่าและบังคับใช้ 'Confined Environments with Limited Privileges' เพิ่มเติมจากค่าพื้นฐาน ให้สอดคล้องทุกระบบที่เกี่ยวข้อง และบันทึกข้อยกเว้น - ปิดพอร์ต โปรโตคอล บริการ และซอฟต์แวร์ที่ไม่จำเป็น และอนุญาตเฉพาะที่ต้องใช้</t>
  </si>
  <si>
    <t xml:space="preserve">ESBIT-CM-07(07)</t>
  </si>
  <si>
    <t xml:space="preserve">CM-07(07)</t>
  </si>
  <si>
    <t xml:space="preserve">Least Functionality | Code Execution in Protected Environments</t>
  </si>
  <si>
    <t xml:space="preserve">Enhances CM-07 (Least Functionality): configure and enforce 'Code Execution in Protected Environments' in addition to the base setting, keep it consistent across applicable systems and document approved exceptions. Base scope: Disable unnecessary ports, protocols, services and software; allowlist only required functions</t>
  </si>
  <si>
    <t xml:space="preserve">ส่วนขยายของ CM-07: กำหนดค่าและบังคับใช้ 'Code Execution in Protected Environments' เพิ่มเติมจากค่าพื้นฐาน ให้สอดคล้องทุกระบบที่เกี่ยวข้อง และบันทึกข้อยกเว้น - ปิดพอร์ต โปรโตคอล บริการ และซอฟต์แวร์ที่ไม่จำเป็น และอนุญาตเฉพาะที่ต้องใช้</t>
  </si>
  <si>
    <t xml:space="preserve">ESBIT-CM-07(08)</t>
  </si>
  <si>
    <t xml:space="preserve">CM-07(08)</t>
  </si>
  <si>
    <t xml:space="preserve">Least Functionality | Binary or Machine Executable Code</t>
  </si>
  <si>
    <t xml:space="preserve">Enhances CM-07 (Least Functionality): configure and enforce 'Binary or Machine Executable Code' in addition to the base setting, keep it consistent across applicable systems and document approved exceptions. Base scope: Disable unnecessary ports, protocols, services and software; allowlist only required functions</t>
  </si>
  <si>
    <t xml:space="preserve">ส่วนขยายของ CM-07: กำหนดค่าและบังคับใช้ 'Binary or Machine Executable Code' เพิ่มเติมจากค่าพื้นฐาน ให้สอดคล้องทุกระบบที่เกี่ยวข้อง และบันทึกข้อยกเว้น - ปิดพอร์ต โปรโตคอล บริการ และซอฟต์แวร์ที่ไม่จำเป็น และอนุญาตเฉพาะที่ต้องใช้</t>
  </si>
  <si>
    <t xml:space="preserve">ESBIT-CM-07(09)</t>
  </si>
  <si>
    <t xml:space="preserve">CM-07(09)</t>
  </si>
  <si>
    <t xml:space="preserve">Least Functionality | Prohibiting The Use of Unauthorized Hardware</t>
  </si>
  <si>
    <t xml:space="preserve">Enhances CM-07 (Least Functionality): configure and enforce 'Prohibiting The Use of Unauthorized Hardware' in addition to the base setting, keep it consistent across applicable systems and document approved exceptions. Base scope: Disable unnecessary ports, protocols, services and software; allowlist only required functions</t>
  </si>
  <si>
    <t xml:space="preserve">ส่วนขยายของ CM-07: กำหนดค่าและบังคับใช้ 'Prohibiting The Use of Unauthorized Hardware' เพิ่มเติมจากค่าพื้นฐาน ให้สอดคล้องทุกระบบที่เกี่ยวข้อง และบันทึกข้อยกเว้น - ปิดพอร์ต โปรโตคอล บริการ และซอฟต์แวร์ที่ไม่จำเป็น และอนุญาตเฉพาะที่ต้องใช้</t>
  </si>
  <si>
    <t xml:space="preserve">ESBIT-CM-08</t>
  </si>
  <si>
    <t xml:space="preserve">CM-08</t>
  </si>
  <si>
    <t xml:space="preserve">System Component Inventory</t>
  </si>
  <si>
    <t xml:space="preserve">ID.AM - Asset Management</t>
  </si>
  <si>
    <t xml:space="preserve">ID.AM-01</t>
  </si>
  <si>
    <t xml:space="preserve">Inventories of hardware managed by the organization are maintained</t>
  </si>
  <si>
    <t xml:space="preserve">Maintain automated inventory of hardware, software and cloud assets with owner and configuration state</t>
  </si>
  <si>
    <t xml:space="preserve">จัดทำและปรับปรุงบัญชีสินทรัพย์ฮาร์ดแวร์ ซอฟต์แวร์ และ Cloud พร้อมเจ้าของและสถานะ Config</t>
  </si>
  <si>
    <t xml:space="preserve">ESBIT-CM-08(01)</t>
  </si>
  <si>
    <t xml:space="preserve">CM-08(01)</t>
  </si>
  <si>
    <t xml:space="preserve">System Component Inventory | Updates During Installation and Removal</t>
  </si>
  <si>
    <t xml:space="preserve">Enhances CM-08 (System Component Inventory): configure and enforce 'Updates During Installation and Removal' in addition to the base setting, keep it consistent across applicable systems and document approved exceptions. Base scope: Maintain automated inventory of hardware, software and cloud assets with owner and configuration state</t>
  </si>
  <si>
    <t xml:space="preserve">ส่วนขยายของ CM-08: กำหนดค่าและบังคับใช้ 'Updates During Installation and Removal' เพิ่มเติมจากค่าพื้นฐาน ให้สอดคล้องทุกระบบที่เกี่ยวข้อง และบันทึกข้อยกเว้น - จัดทำและปรับปรุงบัญชีสินทรัพย์ฮาร์ดแวร์ ซอฟต์แวร์ และ Cloud พร้อมเจ้าของและสถานะ Config</t>
  </si>
  <si>
    <t xml:space="preserve">ESBIT-CM-08(02)</t>
  </si>
  <si>
    <t xml:space="preserve">CM-08(02)</t>
  </si>
  <si>
    <t xml:space="preserve">System Component Inventory | Automated Maintenance</t>
  </si>
  <si>
    <t xml:space="preserve">Enhances CM-08 (System Component Inventory): configure and enforce 'Automated Maintenance' in addition to the base setting, keep it consistent across applicable systems and document approved exceptions. Base scope: Maintain automated inventory of hardware, software and cloud assets with owner and configuration state</t>
  </si>
  <si>
    <t xml:space="preserve">ส่วนขยายของ CM-08: กำหนดค่าและบังคับใช้ 'Automated Maintenance' เพิ่มเติมจากค่าพื้นฐาน ให้สอดคล้องทุกระบบที่เกี่ยวข้อง และบันทึกข้อยกเว้น - จัดทำและปรับปรุงบัญชีสินทรัพย์ฮาร์ดแวร์ ซอฟต์แวร์ และ Cloud พร้อมเจ้าของและสถานะ Config</t>
  </si>
  <si>
    <t xml:space="preserve">ESBIT-CM-08(03)</t>
  </si>
  <si>
    <t xml:space="preserve">CM-08(03)</t>
  </si>
  <si>
    <t xml:space="preserve">System Component Inventory | Automated Unauthorized Component Detection</t>
  </si>
  <si>
    <t xml:space="preserve">Enhances CM-08 (System Component Inventory): configure and enforce 'Automated Unauthorized Component Detection' in addition to the base setting, keep it consistent across applicable systems and document approved exceptions. Base scope: Maintain automated inventory of hardware, software and cloud assets with owner and configuration state</t>
  </si>
  <si>
    <t xml:space="preserve">ส่วนขยายของ CM-08: กำหนดค่าและบังคับใช้ 'Automated Unauthorized Component Detection' เพิ่มเติมจากค่าพื้นฐาน ให้สอดคล้องทุกระบบที่เกี่ยวข้อง และบันทึกข้อยกเว้น - จัดทำและปรับปรุงบัญชีสินทรัพย์ฮาร์ดแวร์ ซอฟต์แวร์ และ Cloud พร้อมเจ้าของและสถานะ Config</t>
  </si>
  <si>
    <t xml:space="preserve">ESBIT-CM-08(04)</t>
  </si>
  <si>
    <t xml:space="preserve">CM-08(04)</t>
  </si>
  <si>
    <t xml:space="preserve">System Component Inventory | Accountability Information</t>
  </si>
  <si>
    <t xml:space="preserve">Enhances CM-08 (System Component Inventory): configure and enforce 'Accountability Information' in addition to the base setting, keep it consistent across applicable systems and document approved exceptions. Base scope: Maintain automated inventory of hardware, software and cloud assets with owner and configuration state</t>
  </si>
  <si>
    <t xml:space="preserve">ส่วนขยายของ CM-08: กำหนดค่าและบังคับใช้ 'Accountability Information' เพิ่มเติมจากค่าพื้นฐาน ให้สอดคล้องทุกระบบที่เกี่ยวข้อง และบันทึกข้อยกเว้น - จัดทำและปรับปรุงบัญชีสินทรัพย์ฮาร์ดแวร์ ซอฟต์แวร์ และ Cloud พร้อมเจ้าของและสถานะ Config</t>
  </si>
  <si>
    <t xml:space="preserve">ESBIT-CM-08(06)</t>
  </si>
  <si>
    <t xml:space="preserve">CM-08(06)</t>
  </si>
  <si>
    <t xml:space="preserve">System Component Inventory | Assessed Configurations and Approved Deviations</t>
  </si>
  <si>
    <t xml:space="preserve">Enhances CM-08 (System Component Inventory): configure and enforce 'Assessed Configurations and Approved Deviations' in addition to the base setting, keep it consistent across applicable systems and document approved exceptions. Base scope: Maintain automated inventory of hardware, software and cloud assets with owner and configuration state</t>
  </si>
  <si>
    <t xml:space="preserve">ส่วนขยายของ CM-08: กำหนดค่าและบังคับใช้ 'Assessed Configurations and Approved Deviations' เพิ่มเติมจากค่าพื้นฐาน ให้สอดคล้องทุกระบบที่เกี่ยวข้อง และบันทึกข้อยกเว้น - จัดทำและปรับปรุงบัญชีสินทรัพย์ฮาร์ดแวร์ ซอฟต์แวร์ และ Cloud พร้อมเจ้าของและสถานะ Config</t>
  </si>
  <si>
    <t xml:space="preserve">ESBIT-CM-08(07)</t>
  </si>
  <si>
    <t xml:space="preserve">CM-08(07)</t>
  </si>
  <si>
    <t xml:space="preserve">System Component Inventory | Centralized Repository</t>
  </si>
  <si>
    <t xml:space="preserve">Enhances CM-08 (System Component Inventory): configure and enforce 'Centralized Repository' in addition to the base setting, keep it consistent across applicable systems and document approved exceptions. Base scope: Maintain automated inventory of hardware, software and cloud assets with owner and configuration state</t>
  </si>
  <si>
    <t xml:space="preserve">ส่วนขยายของ CM-08: กำหนดค่าและบังคับใช้ 'Centralized Repository' เพิ่มเติมจากค่าพื้นฐาน ให้สอดคล้องทุกระบบที่เกี่ยวข้อง และบันทึกข้อยกเว้น - จัดทำและปรับปรุงบัญชีสินทรัพย์ฮาร์ดแวร์ ซอฟต์แวร์ และ Cloud พร้อมเจ้าของและสถานะ Config</t>
  </si>
  <si>
    <t xml:space="preserve">ESBIT-CM-08(08)</t>
  </si>
  <si>
    <t xml:space="preserve">CM-08(08)</t>
  </si>
  <si>
    <t xml:space="preserve">System Component Inventory | Automated Location Tracking</t>
  </si>
  <si>
    <t xml:space="preserve">Enhances CM-08 (System Component Inventory): configure and enforce 'Automated Location Tracking' in addition to the base setting, keep it consistent across applicable systems and document approved exceptions. Base scope: Maintain automated inventory of hardware, software and cloud assets with owner and configuration state</t>
  </si>
  <si>
    <t xml:space="preserve">ส่วนขยายของ CM-08: กำหนดค่าและบังคับใช้ 'Automated Location Tracking' เพิ่มเติมจากค่าพื้นฐาน ให้สอดคล้องทุกระบบที่เกี่ยวข้อง และบันทึกข้อยกเว้น - จัดทำและปรับปรุงบัญชีสินทรัพย์ฮาร์ดแวร์ ซอฟต์แวร์ และ Cloud พร้อมเจ้าของและสถานะ Config</t>
  </si>
  <si>
    <t xml:space="preserve">ESBIT-CM-08(09)</t>
  </si>
  <si>
    <t xml:space="preserve">CM-08(09)</t>
  </si>
  <si>
    <t xml:space="preserve">System Component Inventory | Assignment of Components to Systems</t>
  </si>
  <si>
    <t xml:space="preserve">Enhances CM-08 (System Component Inventory): configure and enforce 'Assignment of Components to Systems' in addition to the base setting, keep it consistent across applicable systems and document approved exceptions. Base scope: Maintain automated inventory of hardware, software and cloud assets with owner and configuration state</t>
  </si>
  <si>
    <t xml:space="preserve">ส่วนขยายของ CM-08: กำหนดค่าและบังคับใช้ 'Assignment of Components to Systems' เพิ่มเติมจากค่าพื้นฐาน ให้สอดคล้องทุกระบบที่เกี่ยวข้อง และบันทึกข้อยกเว้น - จัดทำและปรับปรุงบัญชีสินทรัพย์ฮาร์ดแวร์ ซอฟต์แวร์ และ Cloud พร้อมเจ้าของและสถานะ Config</t>
  </si>
  <si>
    <t xml:space="preserve">ESBIT-CM-09</t>
  </si>
  <si>
    <t xml:space="preserve">CM-09</t>
  </si>
  <si>
    <t xml:space="preserve">Configuration Management Plan</t>
  </si>
  <si>
    <t xml:space="preserve">Not a direct configuration item - configuration management plan defining roles, processes and configuration items</t>
  </si>
  <si>
    <t xml:space="preserve">ไม่ใช่การ config โดยตรง - แผนบริหาร Configuration กำหนดบทบาท กระบวนการ และ Configuration Item</t>
  </si>
  <si>
    <t xml:space="preserve">ESBIT-CM-10</t>
  </si>
  <si>
    <t xml:space="preserve">CM-10</t>
  </si>
  <si>
    <t xml:space="preserve">Software Usage Restrictions</t>
  </si>
  <si>
    <t xml:space="preserve">PR.PS-02</t>
  </si>
  <si>
    <t xml:space="preserve">Software is maintained, replaced, and removed commensurate with risk</t>
  </si>
  <si>
    <t xml:space="preserve">Enforce software licensing, usage restrictions and tracking of open-source usage</t>
  </si>
  <si>
    <t xml:space="preserve">บังคับใช้ข้อจำกัดลิขสิทธิ์และติดตามการใช้ซอฟต์แวร์รวมถึง Open Source</t>
  </si>
  <si>
    <t xml:space="preserve">ESBIT-CM-10(01)</t>
  </si>
  <si>
    <t xml:space="preserve">CM-10(01)</t>
  </si>
  <si>
    <t xml:space="preserve">Software Usage Restrictions | Open-source Software</t>
  </si>
  <si>
    <t xml:space="preserve">Enhances CM-10 (Software Usage Restrictions): configure and enforce 'Open-source Software' in addition to the base setting, keep it consistent across applicable systems and document approved exceptions. Base scope: Enforce software licensing, usage restrictions and tracking of open-source usage</t>
  </si>
  <si>
    <t xml:space="preserve">ส่วนขยายของ CM-10: กำหนดค่าและบังคับใช้ 'Open-source Software' เพิ่มเติมจากค่าพื้นฐาน ให้สอดคล้องทุกระบบที่เกี่ยวข้อง และบันทึกข้อยกเว้น - บังคับใช้ข้อจำกัดลิขสิทธิ์และติดตามการใช้ซอฟต์แวร์รวมถึง Open Source</t>
  </si>
  <si>
    <t xml:space="preserve">ESBIT-CM-11</t>
  </si>
  <si>
    <t xml:space="preserve">CM-11</t>
  </si>
  <si>
    <t xml:space="preserve">User-installed Software</t>
  </si>
  <si>
    <t xml:space="preserve">PR.PS-05</t>
  </si>
  <si>
    <t xml:space="preserve">Installation and execution of unauthorized software are prevented</t>
  </si>
  <si>
    <t xml:space="preserve">Configure policy and technical controls to restrict or monitor user installation of software</t>
  </si>
  <si>
    <t xml:space="preserve">ตั้งค่านโยบายและกลไกจำกัดหรือเฝ้าระวังการติดตั้งซอฟต์แวร์โดยผู้ใช้</t>
  </si>
  <si>
    <t xml:space="preserve">ESBIT-CM-11(01)</t>
  </si>
  <si>
    <t xml:space="preserve">CM-11(01)</t>
  </si>
  <si>
    <t xml:space="preserve">User-installed Software | Alerts for Unauthorized Installations</t>
  </si>
  <si>
    <t xml:space="preserve">Enhances CM-11 (User-installed Software): configure and enforce 'Alerts for Unauthorized Installations' in addition to the base setting, keep it consistent across applicable systems and document approved exceptions. Base scope: Configure policy and technical controls to restrict or monitor user installation of software</t>
  </si>
  <si>
    <t xml:space="preserve">ส่วนขยายของ CM-11: กำหนดค่าและบังคับใช้ 'Alerts for Unauthorized Installations' เพิ่มเติมจากค่าพื้นฐาน ให้สอดคล้องทุกระบบที่เกี่ยวข้อง และบันทึกข้อยกเว้น - ตั้งค่านโยบายและกลไกจำกัดหรือเฝ้าระวังการติดตั้งซอฟต์แวร์โดยผู้ใช้</t>
  </si>
  <si>
    <t xml:space="preserve">ESBIT-CM-11(02)</t>
  </si>
  <si>
    <t xml:space="preserve">CM-11(02)</t>
  </si>
  <si>
    <t xml:space="preserve">User-installed Software | Software Installation with Privileged Status</t>
  </si>
  <si>
    <t xml:space="preserve">Enhances CM-11 (User-installed Software): configure and enforce 'Software Installation with Privileged Status' in addition to the base setting, keep it consistent across applicable systems and document approved exceptions. Base scope: Configure policy and technical controls to restrict or monitor user installation of software</t>
  </si>
  <si>
    <t xml:space="preserve">ส่วนขยายของ CM-11: กำหนดค่าและบังคับใช้ 'Software Installation with Privileged Status' เพิ่มเติมจากค่าพื้นฐาน ให้สอดคล้องทุกระบบที่เกี่ยวข้อง และบันทึกข้อยกเว้น - ตั้งค่านโยบายและกลไกจำกัดหรือเฝ้าระวังการติดตั้งซอฟต์แวร์โดยผู้ใช้</t>
  </si>
  <si>
    <t xml:space="preserve">ESBIT-CM-11(03)</t>
  </si>
  <si>
    <t xml:space="preserve">CM-11(03)</t>
  </si>
  <si>
    <t xml:space="preserve">User-installed Software | Automated Enforcement and Monitoring</t>
  </si>
  <si>
    <t xml:space="preserve">Enhances CM-11 (User-installed Software): configure and enforce 'Automated Enforcement and Monitoring' in addition to the base setting, keep it consistent across applicable systems and document approved exceptions. Base scope: Configure policy and technical controls to restrict or monitor user installation of software</t>
  </si>
  <si>
    <t xml:space="preserve">ส่วนขยายของ CM-11: กำหนดค่าและบังคับใช้ 'Automated Enforcement and Monitoring' เพิ่มเติมจากค่าพื้นฐาน ให้สอดคล้องทุกระบบที่เกี่ยวข้อง และบันทึกข้อยกเว้น - ตั้งค่านโยบายและกลไกจำกัดหรือเฝ้าระวังการติดตั้งซอฟต์แวร์โดยผู้ใช้</t>
  </si>
  <si>
    <t xml:space="preserve">ESBIT-CM-12</t>
  </si>
  <si>
    <t xml:space="preserve">CM-12</t>
  </si>
  <si>
    <t xml:space="preserve">Information Location</t>
  </si>
  <si>
    <t xml:space="preserve">ID.AM-07</t>
  </si>
  <si>
    <t xml:space="preserve">Inventories of data and corresponding metadata for designated data types are maintained</t>
  </si>
  <si>
    <t xml:space="preserve">Identify and document where sensitive information is stored, processed and transmitted</t>
  </si>
  <si>
    <t xml:space="preserve">ระบุและบันทึกตำแหน่งที่จัดเก็บ ประมวลผล และส่งผ่านข้อมูลสำคัญ</t>
  </si>
  <si>
    <t xml:space="preserve">Cloud, Database</t>
  </si>
  <si>
    <t xml:space="preserve">ESBIT-CM-12(01)</t>
  </si>
  <si>
    <t xml:space="preserve">CM-12(01)</t>
  </si>
  <si>
    <t xml:space="preserve">Information Location | Automated Tools to Support Information Location</t>
  </si>
  <si>
    <t xml:space="preserve">Enhances CM-12 (Information Location): configure and enforce 'Automated Tools to Support Information Location' in addition to the base setting, keep it consistent across applicable systems and document approved exceptions. Base scope: Identify and document where sensitive information is stored, processed and transmitted</t>
  </si>
  <si>
    <t xml:space="preserve">ส่วนขยายของ CM-12: กำหนดค่าและบังคับใช้ 'Automated Tools to Support Information Location' เพิ่มเติมจากค่าพื้นฐาน ให้สอดคล้องทุกระบบที่เกี่ยวข้อง และบันทึกข้อยกเว้น - ระบุและบันทึกตำแหน่งที่จัดเก็บ ประมวลผล และส่งผ่านข้อมูลสำคัญ</t>
  </si>
  <si>
    <t xml:space="preserve">ESBIT-CM-13</t>
  </si>
  <si>
    <t xml:space="preserve">CM-13</t>
  </si>
  <si>
    <t xml:space="preserve">Data Action Mapping</t>
  </si>
  <si>
    <t xml:space="preserve">Not a direct configuration item - mapping of data actions for privacy and system design</t>
  </si>
  <si>
    <t xml:space="preserve">ไม่ใช่การ config โดยตรง - การทำ Data Action Mapping เพื่อประเมินการประมวลผลข้อมูล</t>
  </si>
  <si>
    <t xml:space="preserve">ESBIT-CM-14</t>
  </si>
  <si>
    <t xml:space="preserve">CM-14</t>
  </si>
  <si>
    <t xml:space="preserve">Signed Components</t>
  </si>
  <si>
    <t xml:space="preserve">Configure the system to block installation of components not digitally signed by trusted parties</t>
  </si>
  <si>
    <t xml:space="preserve">ตั้งค่าให้บล็อกการติดตั้งคอมโพเนนต์ที่ไม่มี Digital Signature ที่เชื่อถือได้</t>
  </si>
  <si>
    <t xml:space="preserve">ESBIT-CP-01</t>
  </si>
  <si>
    <t xml:space="preserve">CP-01</t>
  </si>
  <si>
    <t xml:space="preserve">Contingency Planning (CP)</t>
  </si>
  <si>
    <t xml:space="preserve">Not a direct configuration item - define, document, review and communicate the Contingency Planning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</si>
  <si>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และทบทวนนโยบาย/ขั้นตอนของหมวดการวางแผนความต่อเนื่อง เพื่อเป็นฐานในการกำหนดมาตรฐาน Config</t>
  </si>
  <si>
    <t xml:space="preserve">ESBIT-CP-02</t>
  </si>
  <si>
    <t xml:space="preserve">CP-02</t>
  </si>
  <si>
    <t xml:space="preserve">Contingency Plan</t>
  </si>
  <si>
    <t xml:space="preserve">PR.IR-03</t>
  </si>
  <si>
    <t xml:space="preserve">Mechanisms are implemented to achieve resilience requirements in normal and adverse situations</t>
  </si>
  <si>
    <t xml:space="preserve">Not a direct configuration item - contingency plan defining roles, recovery objectives and recovery procedures</t>
  </si>
  <si>
    <t xml:space="preserve">ไม่ใช่การ config โดยตรง - แผนความต่อเนื่องกำหนดบทบาท เป้าหมายการกู้คืน และขั้นตอนกู้คืน</t>
  </si>
  <si>
    <t xml:space="preserve">Cloud, Backup</t>
  </si>
  <si>
    <t xml:space="preserve">ESBIT-CP-02(01)</t>
  </si>
  <si>
    <t xml:space="preserve">CP-02(01)</t>
  </si>
  <si>
    <t xml:space="preserve">Contingency Plan | Coordinate with Related Plans</t>
  </si>
  <si>
    <t xml:space="preserve">Not a direct configuration item - enhancement of CP-02 (Contingency Plan): 'Coordinate with Related Plans'; contingency plan defining roles, recovery objectives and recovery procedures.</t>
  </si>
  <si>
    <t xml:space="preserve">ไม่ใช่การ config โดยตรง - ส่วนขยายของ CP-02: 'Coordinate with Related Plans' - แผนความต่อเนื่องกำหนดบทบาท เป้าหมายการกู้คืน และขั้นตอนกู้คืน</t>
  </si>
  <si>
    <t xml:space="preserve">ESBIT-CP-02(02)</t>
  </si>
  <si>
    <t xml:space="preserve">CP-02(02)</t>
  </si>
  <si>
    <t xml:space="preserve">Contingency Plan | Capacity Planning</t>
  </si>
  <si>
    <t xml:space="preserve">Not a direct configuration item - enhancement of CP-02 (Contingency Plan): 'Capacity Planning'; contingency plan defining roles, recovery objectives and recovery procedures.</t>
  </si>
  <si>
    <t xml:space="preserve">ไม่ใช่การ config โดยตรง - ส่วนขยายของ CP-02: 'Capacity Planning' - แผนความต่อเนื่องกำหนดบทบาท เป้าหมายการกู้คืน และขั้นตอนกู้คืน</t>
  </si>
  <si>
    <t xml:space="preserve">ESBIT-CP-02(03)</t>
  </si>
  <si>
    <t xml:space="preserve">CP-02(03)</t>
  </si>
  <si>
    <t xml:space="preserve">Contingency Plan | Resume Mission and Business Functions</t>
  </si>
  <si>
    <t xml:space="preserve">Not a direct configuration item - enhancement of CP-02 (Contingency Plan): 'Resume Mission and Business Functions'; contingency plan defining roles, recovery objectives and recovery procedures.</t>
  </si>
  <si>
    <t xml:space="preserve">ไม่ใช่การ config โดยตรง - ส่วนขยายของ CP-02: 'Resume Mission and Business Functions' - แผนความต่อเนื่องกำหนดบทบาท เป้าหมายการกู้คืน และขั้นตอนกู้คืน</t>
  </si>
  <si>
    <t xml:space="preserve">ESBIT-CP-02(05)</t>
  </si>
  <si>
    <t xml:space="preserve">CP-02(05)</t>
  </si>
  <si>
    <t xml:space="preserve">Contingency Plan | Continue Mission and Business Functions</t>
  </si>
  <si>
    <t xml:space="preserve">Not a direct configuration item - enhancement of CP-02 (Contingency Plan): 'Continue Mission and Business Functions'; contingency plan defining roles, recovery objectives and recovery procedures.</t>
  </si>
  <si>
    <t xml:space="preserve">ไม่ใช่การ config โดยตรง - ส่วนขยายของ CP-02: 'Continue Mission and Business Functions' - แผนความต่อเนื่องกำหนดบทบาท เป้าหมายการกู้คืน และขั้นตอนกู้คืน</t>
  </si>
  <si>
    <t xml:space="preserve">ESBIT-CP-02(06)</t>
  </si>
  <si>
    <t xml:space="preserve">CP-02(06)</t>
  </si>
  <si>
    <t xml:space="preserve">Contingency Plan | Alternate Processing and Storage Sites</t>
  </si>
  <si>
    <t xml:space="preserve">Not a direct configuration item - enhancement of CP-02 (Contingency Plan): 'Alternate Processing and Storage Sites'; contingency plan defining roles, recovery objectives and recovery procedures.</t>
  </si>
  <si>
    <t xml:space="preserve">ไม่ใช่การ config โดยตรง - ส่วนขยายของ CP-02: 'Alternate Processing and Storage Sites' - แผนความต่อเนื่องกำหนดบทบาท เป้าหมายการกู้คืน และขั้นตอนกู้คืน</t>
  </si>
  <si>
    <t xml:space="preserve">ESBIT-CP-02(07)</t>
  </si>
  <si>
    <t xml:space="preserve">CP-02(07)</t>
  </si>
  <si>
    <t xml:space="preserve">Contingency Plan | Coordinate with External Service Providers</t>
  </si>
  <si>
    <t xml:space="preserve">Not a direct configuration item - enhancement of CP-02 (Contingency Plan): 'Coordinate with External Service Providers'; contingency plan defining roles, recovery objectives and recovery procedures.</t>
  </si>
  <si>
    <t xml:space="preserve">ไม่ใช่การ config โดยตรง - ส่วนขยายของ CP-02: 'Coordinate with External Service Providers' - แผนความต่อเนื่องกำหนดบทบาท เป้าหมายการกู้คืน และขั้นตอนกู้คืน</t>
  </si>
  <si>
    <t xml:space="preserve">ESBIT-CP-02(08)</t>
  </si>
  <si>
    <t xml:space="preserve">CP-02(08)</t>
  </si>
  <si>
    <t xml:space="preserve">Contingency Plan | Identify Critical Assets</t>
  </si>
  <si>
    <t xml:space="preserve">Not a direct configuration item - enhancement of CP-02 (Contingency Plan): 'Identify Critical Assets'; contingency plan defining roles, recovery objectives and recovery procedures.</t>
  </si>
  <si>
    <t xml:space="preserve">ไม่ใช่การ config โดยตรง - ส่วนขยายของ CP-02: 'Identify Critical Assets' - แผนความต่อเนื่องกำหนดบทบาท เป้าหมายการกู้คืน และขั้นตอนกู้คืน</t>
  </si>
  <si>
    <t xml:space="preserve">ESBIT-CP-03</t>
  </si>
  <si>
    <t xml:space="preserve">CP-03</t>
  </si>
  <si>
    <t xml:space="preserve">Contingency Training</t>
  </si>
  <si>
    <t xml:space="preserve">Not a direct configuration item - contingency training for personnel with recovery roles</t>
  </si>
  <si>
    <t xml:space="preserve">ไม่ใช่การ config โดยตรง - การอบรมบุคลากรที่มีบทบาทในการกู้คืนระบบ</t>
  </si>
  <si>
    <t xml:space="preserve">Backup</t>
  </si>
  <si>
    <t xml:space="preserve">ESBIT-CP-03(01)</t>
  </si>
  <si>
    <t xml:space="preserve">CP-03(01)</t>
  </si>
  <si>
    <t xml:space="preserve">Contingency Training | Simulated Events</t>
  </si>
  <si>
    <t xml:space="preserve">Not a direct configuration item - enhancement of CP-03 (Contingency Training): 'Simulated Events'; contingency training for personnel with recovery roles.</t>
  </si>
  <si>
    <t xml:space="preserve">ไม่ใช่การ config โดยตรง - ส่วนขยายของ CP-03: 'Simulated Events' - การอบรมบุคลากรที่มีบทบาทในการกู้คืนระบบ</t>
  </si>
  <si>
    <t xml:space="preserve">ESBIT-CP-03(02)</t>
  </si>
  <si>
    <t xml:space="preserve">CP-03(02)</t>
  </si>
  <si>
    <t xml:space="preserve">Contingency Training | Mechanisms Used in Training Environments</t>
  </si>
  <si>
    <t xml:space="preserve">Not a direct configuration item - enhancement of CP-03 (Contingency Training): 'Mechanisms Used in Training Environments'; contingency training for personnel with recovery roles.</t>
  </si>
  <si>
    <t xml:space="preserve">ไม่ใช่การ config โดยตรง - ส่วนขยายของ CP-03: 'Mechanisms Used in Training Environments' - การอบรมบุคลากรที่มีบทบาทในการกู้คืนระบบ</t>
  </si>
  <si>
    <t xml:space="preserve">ESBIT-CP-04</t>
  </si>
  <si>
    <t xml:space="preserve">CP-04</t>
  </si>
  <si>
    <t xml:space="preserve">Contingency Plan Testing</t>
  </si>
  <si>
    <t xml:space="preserve">ID.IM-02</t>
  </si>
  <si>
    <t xml:space="preserve">Improvements are identified from security tests and exercises, including those done in coordination with suppliers and relevant third parties</t>
  </si>
  <si>
    <t xml:space="preserve">Not a direct configuration item - testing contingency and recovery plans and reviewing results</t>
  </si>
  <si>
    <t xml:space="preserve">ไม่ใช่การ config โดยตรง - การทดสอบแผนความต่อเนื่องและทบทวนผล</t>
  </si>
  <si>
    <t xml:space="preserve">ESBIT-CP-04(01)</t>
  </si>
  <si>
    <t xml:space="preserve">CP-04(01)</t>
  </si>
  <si>
    <t xml:space="preserve">Contingency Plan Testing | Coordinate with Related Plans</t>
  </si>
  <si>
    <t xml:space="preserve">Not a direct configuration item - enhancement of CP-04 (Contingency Plan Testing): 'Coordinate with Related Plans'; testing contingency and recovery plans and reviewing results.</t>
  </si>
  <si>
    <t xml:space="preserve">ไม่ใช่การ config โดยตรง - ส่วนขยายของ CP-04: 'Coordinate with Related Plans' - การทดสอบแผนความต่อเนื่องและทบทวนผล</t>
  </si>
  <si>
    <t xml:space="preserve">ESBIT-CP-04(02)</t>
  </si>
  <si>
    <t xml:space="preserve">CP-04(02)</t>
  </si>
  <si>
    <t xml:space="preserve">Contingency Plan Testing | Alternate Processing Site</t>
  </si>
  <si>
    <t xml:space="preserve">Not a direct configuration item - enhancement of CP-04 (Contingency Plan Testing): 'Alternate Processing Site'; testing contingency and recovery plans and reviewing results.</t>
  </si>
  <si>
    <t xml:space="preserve">ไม่ใช่การ config โดยตรง - ส่วนขยายของ CP-04: 'Alternate Processing Site' - การทดสอบแผนความต่อเนื่องและทบทวนผล</t>
  </si>
  <si>
    <t xml:space="preserve">ESBIT-CP-04(03)</t>
  </si>
  <si>
    <t xml:space="preserve">CP-04(03)</t>
  </si>
  <si>
    <t xml:space="preserve">Contingency Plan Testing | Automated Testing</t>
  </si>
  <si>
    <t xml:space="preserve">Not a direct configuration item - enhancement of CP-04 (Contingency Plan Testing): 'Automated Testing'; testing contingency and recovery plans and reviewing results.</t>
  </si>
  <si>
    <t xml:space="preserve">ไม่ใช่การ config โดยตรง - ส่วนขยายของ CP-04: 'Automated Testing' - การทดสอบแผนความต่อเนื่องและทบทวนผล</t>
  </si>
  <si>
    <t xml:space="preserve">ESBIT-CP-04(04)</t>
  </si>
  <si>
    <t xml:space="preserve">CP-04(04)</t>
  </si>
  <si>
    <t xml:space="preserve">Contingency Plan Testing | Full Recovery and Reconstitution</t>
  </si>
  <si>
    <t xml:space="preserve">Not a direct configuration item - enhancement of CP-04 (Contingency Plan Testing): 'Full Recovery and Reconstitution'; testing contingency and recovery plans and reviewing results.</t>
  </si>
  <si>
    <t xml:space="preserve">ไม่ใช่การ config โดยตรง - ส่วนขยายของ CP-04: 'Full Recovery and Reconstitution' - การทดสอบแผนความต่อเนื่องและทบทวนผล</t>
  </si>
  <si>
    <t xml:space="preserve">ESBIT-CP-04(05)</t>
  </si>
  <si>
    <t xml:space="preserve">CP-04(05)</t>
  </si>
  <si>
    <t xml:space="preserve">Contingency Plan Testing | Self-challenge</t>
  </si>
  <si>
    <t xml:space="preserve">Not a direct configuration item - enhancement of CP-04 (Contingency Plan Testing): 'Self-challenge'; testing contingency and recovery plans and reviewing results.</t>
  </si>
  <si>
    <t xml:space="preserve">ไม่ใช่การ config โดยตรง - ส่วนขยายของ CP-04: 'Self-challenge' - การทดสอบแผนความต่อเนื่องและทบทวนผล</t>
  </si>
  <si>
    <t xml:space="preserve">ESBIT-CP-06</t>
  </si>
  <si>
    <t xml:space="preserve">CP-06</t>
  </si>
  <si>
    <t xml:space="preserve">Alternate Storage Site</t>
  </si>
  <si>
    <t xml:space="preserve">Configure replication of data to alternate storage site or cloud region with equivalent protection</t>
  </si>
  <si>
    <t xml:space="preserve">ตั้งค่าการทำ Replication ข้อมูลไปยัง Alternate Storage Site หรือ Cloud Region ที่มีการป้องกันเทียบเท่า</t>
  </si>
  <si>
    <t xml:space="preserve">ESBIT-CP-06(01)</t>
  </si>
  <si>
    <t xml:space="preserve">CP-06(01)</t>
  </si>
  <si>
    <t xml:space="preserve">Alternate Storage Site | Separation from Primary Site</t>
  </si>
  <si>
    <t xml:space="preserve">Enhances CP-06 (Alternate Storage Site): configure and enforce 'Separation from Primary Site' in addition to the base setting, keep it consistent across applicable systems and document approved exceptions. Base scope: Configure replication of data to alternate storage site or cloud region with equivalent protection</t>
  </si>
  <si>
    <t xml:space="preserve">ส่วนขยายของ CP-06: กำหนดค่าและบังคับใช้ 'Separation from Primary Site' เพิ่มเติมจากค่าพื้นฐาน ให้สอดคล้องทุกระบบที่เกี่ยวข้อง และบันทึกข้อยกเว้น - ตั้งค่าการทำ Replication ข้อมูลไปยัง Alternate Storage Site หรือ Cloud Region ที่มีการป้องกันเทียบเท่า</t>
  </si>
  <si>
    <t xml:space="preserve">ESBIT-CP-06(02)</t>
  </si>
  <si>
    <t xml:space="preserve">CP-06(02)</t>
  </si>
  <si>
    <t xml:space="preserve">Alternate Storage Site | Recovery Time and Recovery Point Objectives</t>
  </si>
  <si>
    <t xml:space="preserve">Enhances CP-06 (Alternate Storage Site): configure and enforce 'Recovery Time and Recovery Point Objectives' in addition to the base setting, keep it consistent across applicable systems and document approved exceptions. Base scope: Configure replication of data to alternate storage site or cloud region with equivalent protection</t>
  </si>
  <si>
    <t xml:space="preserve">ส่วนขยายของ CP-06: กำหนดค่าและบังคับใช้ 'Recovery Time and Recovery Point Objectives' เพิ่มเติมจากค่าพื้นฐาน ให้สอดคล้องทุกระบบที่เกี่ยวข้อง และบันทึกข้อยกเว้น - ตั้งค่าการทำ Replication ข้อมูลไปยัง Alternate Storage Site หรือ Cloud Region ที่มีการป้องกันเทียบเท่า</t>
  </si>
  <si>
    <t xml:space="preserve">ESBIT-CP-06(03)</t>
  </si>
  <si>
    <t xml:space="preserve">CP-06(03)</t>
  </si>
  <si>
    <t xml:space="preserve">Alternate Storage Site | Accessibility</t>
  </si>
  <si>
    <t xml:space="preserve">Enhances CP-06 (Alternate Storage Site): configure and enforce 'Accessibility' in addition to the base setting, keep it consistent across applicable systems and document approved exceptions. Base scope: Configure replication of data to alternate storage site or cloud region with equivalent protection</t>
  </si>
  <si>
    <t xml:space="preserve">ส่วนขยายของ CP-06: กำหนดค่าและบังคับใช้ 'Accessibility' เพิ่มเติมจากค่าพื้นฐาน ให้สอดคล้องทุกระบบที่เกี่ยวข้อง และบันทึกข้อยกเว้น - ตั้งค่าการทำ Replication ข้อมูลไปยัง Alternate Storage Site หรือ Cloud Region ที่มีการป้องกันเทียบเท่า</t>
  </si>
  <si>
    <t xml:space="preserve">ESBIT-CP-07</t>
  </si>
  <si>
    <t xml:space="preserve">CP-07</t>
  </si>
  <si>
    <t xml:space="preserve">Alternate Processing Site</t>
  </si>
  <si>
    <t xml:space="preserve">Configure alternate processing site or DR environment with equivalent configuration and failover</t>
  </si>
  <si>
    <t xml:space="preserve">ตั้งค่า DR Site/Alternate Processing Site ที่มี Config เทียบเท่าและรองรับ Failover</t>
  </si>
  <si>
    <t xml:space="preserve">ESBIT-CP-07(01)</t>
  </si>
  <si>
    <t xml:space="preserve">CP-07(01)</t>
  </si>
  <si>
    <t xml:space="preserve">Alternate Processing Site | Separation from Primary Site</t>
  </si>
  <si>
    <t xml:space="preserve">Enhances CP-07 (Alternate Processing Site): configure and enforce 'Separation from Primary Site' in addition to the base setting, keep it consistent across applicable systems and document approved exceptions. Base scope: Configure alternate processing site or DR environment with equivalent configuration and failover</t>
  </si>
  <si>
    <t xml:space="preserve">ส่วนขยายของ CP-07: กำหนดค่าและบังคับใช้ 'Separation from Primary Site' เพิ่มเติมจากค่าพื้นฐาน ให้สอดคล้องทุกระบบที่เกี่ยวข้อง และบันทึกข้อยกเว้น - ตั้งค่า DR Site/Alternate Processing Site ที่มี Config เทียบเท่าและรองรับ Failover</t>
  </si>
  <si>
    <t xml:space="preserve">ESBIT-CP-07(02)</t>
  </si>
  <si>
    <t xml:space="preserve">CP-07(02)</t>
  </si>
  <si>
    <t xml:space="preserve">Alternate Processing Site | Accessibility</t>
  </si>
  <si>
    <t xml:space="preserve">Enhances CP-07 (Alternate Processing Site): configure and enforce 'Accessibility' in addition to the base setting, keep it consistent across applicable systems and document approved exceptions. Base scope: Configure alternate processing site or DR environment with equivalent configuration and failover</t>
  </si>
  <si>
    <t xml:space="preserve">ส่วนขยายของ CP-07: กำหนดค่าและบังคับใช้ 'Accessibility' เพิ่มเติมจากค่าพื้นฐาน ให้สอดคล้องทุกระบบที่เกี่ยวข้อง และบันทึกข้อยกเว้น - ตั้งค่า DR Site/Alternate Processing Site ที่มี Config เทียบเท่าและรองรับ Failover</t>
  </si>
  <si>
    <t xml:space="preserve">ESBIT-CP-07(03)</t>
  </si>
  <si>
    <t xml:space="preserve">CP-07(03)</t>
  </si>
  <si>
    <t xml:space="preserve">Alternate Processing Site | Priority of Service</t>
  </si>
  <si>
    <t xml:space="preserve">Enhances CP-07 (Alternate Processing Site): configure and enforce 'Priority of Service' in addition to the base setting, keep it consistent across applicable systems and document approved exceptions. Base scope: Configure alternate processing site or DR environment with equivalent configuration and failover</t>
  </si>
  <si>
    <t xml:space="preserve">ส่วนขยายของ CP-07: กำหนดค่าและบังคับใช้ 'Priority of Service' เพิ่มเติมจากค่าพื้นฐาน ให้สอดคล้องทุกระบบที่เกี่ยวข้อง และบันทึกข้อยกเว้น - ตั้งค่า DR Site/Alternate Processing Site ที่มี Config เทียบเท่าและรองรับ Failover</t>
  </si>
  <si>
    <t xml:space="preserve">ESBIT-CP-07(04)</t>
  </si>
  <si>
    <t xml:space="preserve">CP-07(04)</t>
  </si>
  <si>
    <t xml:space="preserve">Alternate Processing Site | Preparation for Use</t>
  </si>
  <si>
    <t xml:space="preserve">Enhances CP-07 (Alternate Processing Site): configure and enforce 'Preparation for Use' in addition to the base setting, keep it consistent across applicable systems and document approved exceptions. Base scope: Configure alternate processing site or DR environment with equivalent configuration and failover</t>
  </si>
  <si>
    <t xml:space="preserve">ส่วนขยายของ CP-07: กำหนดค่าและบังคับใช้ 'Preparation for Use' เพิ่มเติมจากค่าพื้นฐาน ให้สอดคล้องทุกระบบที่เกี่ยวข้อง และบันทึกข้อยกเว้น - ตั้งค่า DR Site/Alternate Processing Site ที่มี Config เทียบเท่าและรองรับ Failover</t>
  </si>
  <si>
    <t xml:space="preserve">ESBIT-CP-07(06)</t>
  </si>
  <si>
    <t xml:space="preserve">CP-07(06)</t>
  </si>
  <si>
    <t xml:space="preserve">Alternate Processing Site | Inability to Return to Primary Site</t>
  </si>
  <si>
    <t xml:space="preserve">Enhances CP-07 (Alternate Processing Site): configure and enforce 'Inability to Return to Primary Site' in addition to the base setting, keep it consistent across applicable systems and document approved exceptions. Base scope: Configure alternate processing site or DR environment with equivalent configuration and failover</t>
  </si>
  <si>
    <t xml:space="preserve">ส่วนขยายของ CP-07: กำหนดค่าและบังคับใช้ 'Inability to Return to Primary Site' เพิ่มเติมจากค่าพื้นฐาน ให้สอดคล้องทุกระบบที่เกี่ยวข้อง และบันทึกข้อยกเว้น - ตั้งค่า DR Site/Alternate Processing Site ที่มี Config เทียบเท่าและรองรับ Failover</t>
  </si>
  <si>
    <t xml:space="preserve">ESBIT-CP-08</t>
  </si>
  <si>
    <t xml:space="preserve">CP-08</t>
  </si>
  <si>
    <t xml:space="preserve">Telecommunications Services</t>
  </si>
  <si>
    <t xml:space="preserve">Configure redundant links, carriers and routing failover for critical telecommunications</t>
  </si>
  <si>
    <t xml:space="preserve">ตั้งค่าลิงก์สำรอง ผู้ให้บริการสำรอง และ Routing Failover สำหรับการสื่อสารสำคัญ</t>
  </si>
  <si>
    <t xml:space="preserve">ESBIT-CP-08(01)</t>
  </si>
  <si>
    <t xml:space="preserve">CP-08(01)</t>
  </si>
  <si>
    <t xml:space="preserve">Telecommunications Services | Priority of Service Provisions</t>
  </si>
  <si>
    <t xml:space="preserve">Enhances CP-08 (Telecommunications Services): configure and enforce 'Priority of Service Provisions' in addition to the base setting, keep it consistent across applicable systems and document approved exceptions. Base scope: Configure redundant links, carriers and routing failover for critical telecommunications</t>
  </si>
  <si>
    <t xml:space="preserve">ส่วนขยายของ CP-08: กำหนดค่าและบังคับใช้ 'Priority of Service Provisions' เพิ่มเติมจากค่าพื้นฐาน ให้สอดคล้องทุกระบบที่เกี่ยวข้อง และบันทึกข้อยกเว้น - ตั้งค่าลิงก์สำรอง ผู้ให้บริการสำรอง และ Routing Failover สำหรับการสื่อสารสำคัญ</t>
  </si>
  <si>
    <t xml:space="preserve">ESBIT-CP-08(02)</t>
  </si>
  <si>
    <t xml:space="preserve">CP-08(02)</t>
  </si>
  <si>
    <t xml:space="preserve">Telecommunications Services | Single Points of Failure</t>
  </si>
  <si>
    <t xml:space="preserve">Enhances CP-08 (Telecommunications Services): configure and enforce 'Single Points of Failure' in addition to the base setting, keep it consistent across applicable systems and document approved exceptions. Base scope: Configure redundant links, carriers and routing failover for critical telecommunications</t>
  </si>
  <si>
    <t xml:space="preserve">ส่วนขยายของ CP-08: กำหนดค่าและบังคับใช้ 'Single Points of Failure' เพิ่มเติมจากค่าพื้นฐาน ให้สอดคล้องทุกระบบที่เกี่ยวข้อง และบันทึกข้อยกเว้น - ตั้งค่าลิงก์สำรอง ผู้ให้บริการสำรอง และ Routing Failover สำหรับการสื่อสารสำคัญ</t>
  </si>
  <si>
    <t xml:space="preserve">ESBIT-CP-08(03)</t>
  </si>
  <si>
    <t xml:space="preserve">CP-08(03)</t>
  </si>
  <si>
    <t xml:space="preserve">Telecommunications Services | Separation of Primary and Alternate Providers</t>
  </si>
  <si>
    <t xml:space="preserve">Enhances CP-08 (Telecommunications Services): configure and enforce 'Separation of Primary and Alternate Providers' in addition to the base setting, keep it consistent across applicable systems and document approved exceptions. Base scope: Configure redundant links, carriers and routing failover for critical telecommunications</t>
  </si>
  <si>
    <t xml:space="preserve">ส่วนขยายของ CP-08: กำหนดค่าและบังคับใช้ 'Separation of Primary and Alternate Providers' เพิ่มเติมจากค่าพื้นฐาน ให้สอดคล้องทุกระบบที่เกี่ยวข้อง และบันทึกข้อยกเว้น - ตั้งค่าลิงก์สำรอง ผู้ให้บริการสำรอง และ Routing Failover สำหรับการสื่อสารสำคัญ</t>
  </si>
  <si>
    <t xml:space="preserve">ESBIT-CP-08(04)</t>
  </si>
  <si>
    <t xml:space="preserve">CP-08(04)</t>
  </si>
  <si>
    <t xml:space="preserve">Telecommunications Services | Provider Contingency Plan</t>
  </si>
  <si>
    <t xml:space="preserve">Enhances CP-08 (Telecommunications Services): configure and enforce 'Provider Contingency Plan' in addition to the base setting, keep it consistent across applicable systems and document approved exceptions. Base scope: Configure redundant links, carriers and routing failover for critical telecommunications</t>
  </si>
  <si>
    <t xml:space="preserve">ส่วนขยายของ CP-08: กำหนดค่าและบังคับใช้ 'Provider Contingency Plan' เพิ่มเติมจากค่าพื้นฐาน ให้สอดคล้องทุกระบบที่เกี่ยวข้อง และบันทึกข้อยกเว้น - ตั้งค่าลิงก์สำรอง ผู้ให้บริการสำรอง และ Routing Failover สำหรับการสื่อสารสำคัญ</t>
  </si>
  <si>
    <t xml:space="preserve">ESBIT-CP-08(05)</t>
  </si>
  <si>
    <t xml:space="preserve">CP-08(05)</t>
  </si>
  <si>
    <t xml:space="preserve">Telecommunications Services | Alternate Telecommunication Service Testing</t>
  </si>
  <si>
    <t xml:space="preserve">Enhances CP-08 (Telecommunications Services): configure and enforce 'Alternate Telecommunication Service Testing' in addition to the base setting, keep it consistent across applicable systems and document approved exceptions. Base scope: Configure redundant links, carriers and routing failover for critical telecommunications</t>
  </si>
  <si>
    <t xml:space="preserve">ส่วนขยายของ CP-08: กำหนดค่าและบังคับใช้ 'Alternate Telecommunication Service Testing' เพิ่มเติมจากค่าพื้นฐาน ให้สอดคล้องทุกระบบที่เกี่ยวข้อง และบันทึกข้อยกเว้น - ตั้งค่าลิงก์สำรอง ผู้ให้บริการสำรอง และ Routing Failover สำหรับการสื่อสารสำคัญ</t>
  </si>
  <si>
    <t xml:space="preserve">ESBIT-CP-09</t>
  </si>
  <si>
    <t xml:space="preserve">CP-09</t>
  </si>
  <si>
    <t xml:space="preserve">System Backup</t>
  </si>
  <si>
    <t xml:space="preserve">Configure backup schedule, scope, encryption, offsite/immutable copies and restore testing for systems and databases</t>
  </si>
  <si>
    <t xml:space="preserve">ตั้งค่าตารางสำรอง ขอบเขต การเข้ารหัส สำเนา Offsite/Immutable และทดสอบกู้คืนสำหรับระบบและ DB</t>
  </si>
  <si>
    <t xml:space="preserve">Cloud, Database, Application, Backup</t>
  </si>
  <si>
    <t xml:space="preserve">ESBIT-CP-09(01)</t>
  </si>
  <si>
    <t xml:space="preserve">CP-09(01)</t>
  </si>
  <si>
    <t xml:space="preserve">System Backup | Testing for Reliability and Integrity</t>
  </si>
  <si>
    <t xml:space="preserve">Enhances CP-09 (System Backup): configure and enforce 'Testing for Reliability and Integrity' in addition to the base setting, keep it consistent across applicable systems and document approved exceptions. Base scope: Configure backup schedule, scope, encryption, offsite/immutable copies and restore testing for systems and databases</t>
  </si>
  <si>
    <t xml:space="preserve">ส่วนขยายของ CP-09: กำหนดค่าและบังคับใช้ 'Testing for Reliability and Integrity' เพิ่มเติมจากค่าพื้นฐาน ให้สอดคล้องทุกระบบที่เกี่ยวข้อง และบันทึกข้อยกเว้น - ตั้งค่าตารางสำรอง ขอบเขต การเข้ารหัส สำเนา Offsite/Immutable และทดสอบกู้คืนสำหรับระบบและ DB</t>
  </si>
  <si>
    <t xml:space="preserve">ESBIT-CP-09(02)</t>
  </si>
  <si>
    <t xml:space="preserve">CP-09(02)</t>
  </si>
  <si>
    <t xml:space="preserve">System Backup | Test Restoration Using Sampling</t>
  </si>
  <si>
    <t xml:space="preserve">Enhances CP-09 (System Backup): configure and enforce 'Test Restoration Using Sampling' in addition to the base setting, keep it consistent across applicable systems and document approved exceptions. Base scope: Configure backup schedule, scope, encryption, offsite/immutable copies and restore testing for systems and databases</t>
  </si>
  <si>
    <t xml:space="preserve">ส่วนขยายของ CP-09: กำหนดค่าและบังคับใช้ 'Test Restoration Using Sampling' เพิ่มเติมจากค่าพื้นฐาน ให้สอดคล้องทุกระบบที่เกี่ยวข้อง และบันทึกข้อยกเว้น - ตั้งค่าตารางสำรอง ขอบเขต การเข้ารหัส สำเนา Offsite/Immutable และทดสอบกู้คืนสำหรับระบบและ DB</t>
  </si>
  <si>
    <t xml:space="preserve">ESBIT-CP-09(03)</t>
  </si>
  <si>
    <t xml:space="preserve">CP-09(03)</t>
  </si>
  <si>
    <t xml:space="preserve">System Backup | Separate Storage for Critical Information</t>
  </si>
  <si>
    <t xml:space="preserve">Enhances CP-09 (System Backup): configure and enforce 'Separate Storage for Critical Information' in addition to the base setting, keep it consistent across applicable systems and document approved exceptions. Base scope: Configure backup schedule, scope, encryption, offsite/immutable copies and restore testing for systems and databases</t>
  </si>
  <si>
    <t xml:space="preserve">ส่วนขยายของ CP-09: กำหนดค่าและบังคับใช้ 'Separate Storage for Critical Information' เพิ่มเติมจากค่าพื้นฐาน ให้สอดคล้องทุกระบบที่เกี่ยวข้อง และบันทึกข้อยกเว้น - ตั้งค่าตารางสำรอง ขอบเขต การเข้ารหัส สำเนา Offsite/Immutable และทดสอบกู้คืนสำหรับระบบและ DB</t>
  </si>
  <si>
    <t xml:space="preserve">ESBIT-CP-09(05)</t>
  </si>
  <si>
    <t xml:space="preserve">CP-09(05)</t>
  </si>
  <si>
    <t xml:space="preserve">System Backup | Transfer to Alternate Storage Site</t>
  </si>
  <si>
    <t xml:space="preserve">Enhances CP-09 (System Backup): configure and enforce 'Transfer to Alternate Storage Site' in addition to the base setting, keep it consistent across applicable systems and document approved exceptions. Base scope: Configure backup schedule, scope, encryption, offsite/immutable copies and restore testing for systems and databases</t>
  </si>
  <si>
    <t xml:space="preserve">ส่วนขยายของ CP-09: กำหนดค่าและบังคับใช้ 'Transfer to Alternate Storage Site' เพิ่มเติมจากค่าพื้นฐาน ให้สอดคล้องทุกระบบที่เกี่ยวข้อง และบันทึกข้อยกเว้น - ตั้งค่าตารางสำรอง ขอบเขต การเข้ารหัส สำเนา Offsite/Immutable และทดสอบกู้คืนสำหรับระบบและ DB</t>
  </si>
  <si>
    <t xml:space="preserve">ESBIT-CP-09(06)</t>
  </si>
  <si>
    <t xml:space="preserve">CP-09(06)</t>
  </si>
  <si>
    <t xml:space="preserve">System Backup | Redundant Secondary System</t>
  </si>
  <si>
    <t xml:space="preserve">Enhances CP-09 (System Backup): configure and enforce 'Redundant Secondary System' in addition to the base setting, keep it consistent across applicable systems and document approved exceptions. Base scope: Configure backup schedule, scope, encryption, offsite/immutable copies and restore testing for systems and databases</t>
  </si>
  <si>
    <t xml:space="preserve">ส่วนขยายของ CP-09: กำหนดค่าและบังคับใช้ 'Redundant Secondary System' เพิ่มเติมจากค่าพื้นฐาน ให้สอดคล้องทุกระบบที่เกี่ยวข้อง และบันทึกข้อยกเว้น - ตั้งค่าตารางสำรอง ขอบเขต การเข้ารหัส สำเนา Offsite/Immutable และทดสอบกู้คืนสำหรับระบบและ DB</t>
  </si>
  <si>
    <t xml:space="preserve">ESBIT-CP-09(07)</t>
  </si>
  <si>
    <t xml:space="preserve">CP-09(07)</t>
  </si>
  <si>
    <t xml:space="preserve">System Backup | Dual Authorization for Deletion or Destruction</t>
  </si>
  <si>
    <t xml:space="preserve">Enhances CP-09 (System Backup): configure and enforce 'Dual Authorization for Deletion or Destruction' in addition to the base setting, keep it consistent across applicable systems and document approved exceptions. Base scope: Configure backup schedule, scope, encryption, offsite/immutable copies and restore testing for systems and databases</t>
  </si>
  <si>
    <t xml:space="preserve">ส่วนขยายของ CP-09: กำหนดค่าและบังคับใช้ 'Dual Authorization for Deletion or Destruction' เพิ่มเติมจากค่าพื้นฐาน ให้สอดคล้องทุกระบบที่เกี่ยวข้อง และบันทึกข้อยกเว้น - ตั้งค่าตารางสำรอง ขอบเขต การเข้ารหัส สำเนา Offsite/Immutable และทดสอบกู้คืนสำหรับระบบและ DB</t>
  </si>
  <si>
    <t xml:space="preserve">ESBIT-CP-09(08)</t>
  </si>
  <si>
    <t xml:space="preserve">CP-09(08)</t>
  </si>
  <si>
    <t xml:space="preserve">System Backup | Cryptographic Protection</t>
  </si>
  <si>
    <t xml:space="preserve">Enhances CP-09 (System Backup): configure and enforce 'Cryptographic Protection' in addition to the base setting, keep it consistent across applicable systems and document approved exceptions. Base scope: Configure backup schedule, scope, encryption, offsite/immutable copies and restore testing for systems and databases</t>
  </si>
  <si>
    <t xml:space="preserve">ส่วนขยายของ CP-09: กำหนดค่าและบังคับใช้ 'Cryptographic Protection' เพิ่มเติมจากค่าพื้นฐาน ให้สอดคล้องทุกระบบที่เกี่ยวข้อง และบันทึกข้อยกเว้น - ตั้งค่าตารางสำรอง ขอบเขต การเข้ารหัส สำเนา Offsite/Immutable และทดสอบกู้คืนสำหรับระบบและ DB</t>
  </si>
  <si>
    <t xml:space="preserve">ESBIT-CP-10</t>
  </si>
  <si>
    <t xml:space="preserve">CP-10</t>
  </si>
  <si>
    <t xml:space="preserve">System Recovery and Reconstitution</t>
  </si>
  <si>
    <t xml:space="preserve">RC.RP - Incident Recovery Plan Execution</t>
  </si>
  <si>
    <t xml:space="preserve">RC.RP-05</t>
  </si>
  <si>
    <t xml:space="preserve">The integrity of restored assets is verified, systems and services are restored, and normal operating status is confirmed</t>
  </si>
  <si>
    <t xml:space="preserve">Configure recovery procedures, automation and known secure state for restoring systems and transactions</t>
  </si>
  <si>
    <t xml:space="preserve">ตั้งค่าขั้นตอนและระบบอัตโนมัติสำหรับกู้คืนระบบให้กลับสู่สถานะปลอดภัยที่ทราบ</t>
  </si>
  <si>
    <t xml:space="preserve">ESBIT-CP-10(02)</t>
  </si>
  <si>
    <t xml:space="preserve">CP-10(02)</t>
  </si>
  <si>
    <t xml:space="preserve">System Recovery and Reconstitution | Transaction Recovery</t>
  </si>
  <si>
    <t xml:space="preserve">Enhances CP-10 (System Recovery and Reconstitution): configure and enforce 'Transaction Recovery' in addition to the base setting, keep it consistent across applicable systems and document approved exceptions. Base scope: Configure recovery procedures, automation and known secure state for restoring systems and transactions</t>
  </si>
  <si>
    <t xml:space="preserve">ส่วนขยายของ CP-10: กำหนดค่าและบังคับใช้ 'Transaction Recovery' เพิ่มเติมจากค่าพื้นฐาน ให้สอดคล้องทุกระบบที่เกี่ยวข้อง และบันทึกข้อยกเว้น - ตั้งค่าขั้นตอนและระบบอัตโนมัติสำหรับกู้คืนระบบให้กลับสู่สถานะปลอดภัยที่ทราบ</t>
  </si>
  <si>
    <t xml:space="preserve">ESBIT-CP-10(04)</t>
  </si>
  <si>
    <t xml:space="preserve">CP-10(04)</t>
  </si>
  <si>
    <t xml:space="preserve">System Recovery and Reconstitution | Restore Within Time Period</t>
  </si>
  <si>
    <t xml:space="preserve">Enhances CP-10 (System Recovery and Reconstitution): configure and enforce 'Restore Within Time Period' in addition to the base setting, keep it consistent across applicable systems and document approved exceptions. Base scope: Configure recovery procedures, automation and known secure state for restoring systems and transactions</t>
  </si>
  <si>
    <t xml:space="preserve">ส่วนขยายของ CP-10: กำหนดค่าและบังคับใช้ 'Restore Within Time Period' เพิ่มเติมจากค่าพื้นฐาน ให้สอดคล้องทุกระบบที่เกี่ยวข้อง และบันทึกข้อยกเว้น - ตั้งค่าขั้นตอนและระบบอัตโนมัติสำหรับกู้คืนระบบให้กลับสู่สถานะปลอดภัยที่ทราบ</t>
  </si>
  <si>
    <t xml:space="preserve">ESBIT-CP-10(06)</t>
  </si>
  <si>
    <t xml:space="preserve">CP-10(06)</t>
  </si>
  <si>
    <t xml:space="preserve">System Recovery and Reconstitution | Component Protection</t>
  </si>
  <si>
    <t xml:space="preserve">Enhances CP-10 (System Recovery and Reconstitution): configure and enforce 'Component Protection' in addition to the base setting, keep it consistent across applicable systems and document approved exceptions. Base scope: Configure recovery procedures, automation and known secure state for restoring systems and transactions</t>
  </si>
  <si>
    <t xml:space="preserve">ส่วนขยายของ CP-10: กำหนดค่าและบังคับใช้ 'Component Protection' เพิ่มเติมจากค่าพื้นฐาน ให้สอดคล้องทุกระบบที่เกี่ยวข้อง และบันทึกข้อยกเว้น - ตั้งค่าขั้นตอนและระบบอัตโนมัติสำหรับกู้คืนระบบให้กลับสู่สถานะปลอดภัยที่ทราบ</t>
  </si>
  <si>
    <t xml:space="preserve">ESBIT-CP-11</t>
  </si>
  <si>
    <t xml:space="preserve">CP-11</t>
  </si>
  <si>
    <t xml:space="preserve">Alternate Communications Protocols</t>
  </si>
  <si>
    <t xml:space="preserve">Configure alternate communications protocols to maintain continuity</t>
  </si>
  <si>
    <t xml:space="preserve">ตั้งค่าโปรโตคอลสื่อสารสำรองเพื่อรักษาความต่อเนื่อง</t>
  </si>
  <si>
    <t xml:space="preserve">ESBIT-CP-12</t>
  </si>
  <si>
    <t xml:space="preserve">CP-12</t>
  </si>
  <si>
    <t xml:space="preserve">Safe Mode</t>
  </si>
  <si>
    <t xml:space="preserve">Configure system to enter restricted safe mode on defined conditions</t>
  </si>
  <si>
    <t xml:space="preserve">ตั้งค่าให้ระบบเข้าสู่ Safe Mode แบบจำกัดเมื่อเกิดเงื่อนไขที่กำหนด</t>
  </si>
  <si>
    <t xml:space="preserve">ESBIT-CP-13</t>
  </si>
  <si>
    <t xml:space="preserve">CP-13</t>
  </si>
  <si>
    <t xml:space="preserve">Alternative Security Mechanisms</t>
  </si>
  <si>
    <t xml:space="preserve">Provide alternative security mechanisms when primary controls are unavailable</t>
  </si>
  <si>
    <t xml:space="preserve">จัดให้มีกลไกความปลอดภัยสำรองเมื่อมาตรการหลักใช้ไม่ได้</t>
  </si>
  <si>
    <t xml:space="preserve">ESBIT-IA-01</t>
  </si>
  <si>
    <t xml:space="preserve">IA-01</t>
  </si>
  <si>
    <t xml:space="preserve">Identification and Authentication (IA)</t>
  </si>
  <si>
    <t xml:space="preserve">Not a direct configuration item - define, document, review and communicate the Identification and Authentication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</si>
  <si>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และทบทวนนโยบาย/ขั้นตอนของหมวดการพิสูจน์ตัวตน เพื่อเป็นฐานในการกำหนดมาตรฐาน Config</t>
  </si>
  <si>
    <t xml:space="preserve">ESBIT-IA-02</t>
  </si>
  <si>
    <t xml:space="preserve">IA-02</t>
  </si>
  <si>
    <t xml:space="preserve">Identification and Authentication (Organizational Users)</t>
  </si>
  <si>
    <t xml:space="preserve">Configure unique user IDs and MFA on OS, VPN, network devices, cloud consoles, databases and applications</t>
  </si>
  <si>
    <t xml:space="preserve">ตั้งค่า User ID เฉพาะบุคคลและ MFA บน OS, VPN, อุปกรณ์เครือข่าย, Cloud Console, DB และแอปพลิเคชัน</t>
  </si>
  <si>
    <t xml:space="preserve">ESBIT-IA-02(01)</t>
  </si>
  <si>
    <t xml:space="preserve">IA-02(01)</t>
  </si>
  <si>
    <t xml:space="preserve">Identification and Authentication (Organizational Users) | Multi-factor Authentication to Privileged Accounts</t>
  </si>
  <si>
    <t xml:space="preserve">Enhances IA-02 (Identification and Authentication (Organizational Users)): configure and enforce 'Multi-factor Authentication to Privileged Accounts' in addition to the base setting, keep it consistent across applicable systems and document approved exceptions. Base scope: Configure unique user IDs and MFA on OS, VPN, network devices, cloud consoles, databases and applications</t>
  </si>
  <si>
    <t xml:space="preserve">ส่วนขยายของ IA-02: กำหนดค่าและบังคับใช้ 'Multi-factor Authentication to Privileged Accounts' เพิ่มเติมจากค่าพื้นฐาน ให้สอดคล้องทุกระบบที่เกี่ยวข้อง และบันทึกข้อยกเว้น - ตั้งค่า User ID เฉพาะบุคคลและ MFA บน OS, VPN, อุปกรณ์เครือข่าย, Cloud Console, DB และแอปพลิเคชัน</t>
  </si>
  <si>
    <t xml:space="preserve">ESBIT-IA-02(02)</t>
  </si>
  <si>
    <t xml:space="preserve">IA-02(02)</t>
  </si>
  <si>
    <t xml:space="preserve">Identification and Authentication (Organizational Users) | Multi-factor Authentication to Non-privileged Accounts</t>
  </si>
  <si>
    <t xml:space="preserve">Enhances IA-02 (Identification and Authentication (Organizational Users)): configure and enforce 'Multi-factor Authentication to Non-privileged Accounts' in addition to the base setting, keep it consistent across applicable systems and document approved exceptions. Base scope: Configure unique user IDs and MFA on OS, VPN, network devices, cloud consoles, databases and applications</t>
  </si>
  <si>
    <t xml:space="preserve">ส่วนขยายของ IA-02: กำหนดค่าและบังคับใช้ 'Multi-factor Authentication to Non-privileged Accounts' เพิ่มเติมจากค่าพื้นฐาน ให้สอดคล้องทุกระบบที่เกี่ยวข้อง และบันทึกข้อยกเว้น - ตั้งค่า User ID เฉพาะบุคคลและ MFA บน OS, VPN, อุปกรณ์เครือข่าย, Cloud Console, DB และแอปพลิเคชัน</t>
  </si>
  <si>
    <t xml:space="preserve">ESBIT-IA-02(05)</t>
  </si>
  <si>
    <t xml:space="preserve">IA-02(05)</t>
  </si>
  <si>
    <t xml:space="preserve">Identification and Authentication (Organizational Users) | Individual Authentication with Group Authentication</t>
  </si>
  <si>
    <t xml:space="preserve">Enhances IA-02 (Identification and Authentication (Organizational Users)): configure and enforce 'Individual Authentication with Group Authentication' in addition to the base setting, keep it consistent across applicable systems and document approved exceptions. Base scope: Configure unique user IDs and MFA on OS, VPN, network devices, cloud consoles, databases and applications</t>
  </si>
  <si>
    <t xml:space="preserve">ส่วนขยายของ IA-02: กำหนดค่าและบังคับใช้ 'Individual Authentication with Group Authentication' เพิ่มเติมจากค่าพื้นฐาน ให้สอดคล้องทุกระบบที่เกี่ยวข้อง และบันทึกข้อยกเว้น - ตั้งค่า User ID เฉพาะบุคคลและ MFA บน OS, VPN, อุปกรณ์เครือข่าย, Cloud Console, DB และแอปพลิเคชัน</t>
  </si>
  <si>
    <t xml:space="preserve">ESBIT-IA-02(06)</t>
  </si>
  <si>
    <t xml:space="preserve">IA-02(06)</t>
  </si>
  <si>
    <t xml:space="preserve">Identification and Authentication (Organizational Users) | Access to Accounts - Separate Device</t>
  </si>
  <si>
    <t xml:space="preserve">Enhances IA-02 (Identification and Authentication (Organizational Users)): configure and enforce 'Access to Accounts - Separate Device' in addition to the base setting, keep it consistent across applicable systems and document approved exceptions. Base scope: Configure unique user IDs and MFA on OS, VPN, network devices, cloud consoles, databases and applications</t>
  </si>
  <si>
    <t xml:space="preserve">ส่วนขยายของ IA-02: กำหนดค่าและบังคับใช้ 'Access to Accounts - Separate Device' เพิ่มเติมจากค่าพื้นฐาน ให้สอดคล้องทุกระบบที่เกี่ยวข้อง และบันทึกข้อยกเว้น - ตั้งค่า User ID เฉพาะบุคคลและ MFA บน OS, VPN, อุปกรณ์เครือข่าย, Cloud Console, DB และแอปพลิเคชัน</t>
  </si>
  <si>
    <t xml:space="preserve">ESBIT-IA-02(08)</t>
  </si>
  <si>
    <t xml:space="preserve">IA-02(08)</t>
  </si>
  <si>
    <t xml:space="preserve">Identification and Authentication (Organizational Users) | Access to Accounts - Replay Resistant</t>
  </si>
  <si>
    <t xml:space="preserve">Enhances IA-02 (Identification and Authentication (Organizational Users)): configure and enforce 'Access to Accounts - Replay Resistant' in addition to the base setting, keep it consistent across applicable systems and document approved exceptions. Base scope: Configure unique user IDs and MFA on OS, VPN, network devices, cloud consoles, databases and applications</t>
  </si>
  <si>
    <t xml:space="preserve">ส่วนขยายของ IA-02: กำหนดค่าและบังคับใช้ 'Access to Accounts - Replay Resistant' เพิ่มเติมจากค่าพื้นฐาน ให้สอดคล้องทุกระบบที่เกี่ยวข้อง และบันทึกข้อยกเว้น - ตั้งค่า User ID เฉพาะบุคคลและ MFA บน OS, VPN, อุปกรณ์เครือข่าย, Cloud Console, DB และแอปพลิเคชัน</t>
  </si>
  <si>
    <t xml:space="preserve">ESBIT-IA-02(10)</t>
  </si>
  <si>
    <t xml:space="preserve">IA-02(10)</t>
  </si>
  <si>
    <t xml:space="preserve">Identification and Authentication (Organizational Users) | Single Sign-on</t>
  </si>
  <si>
    <t xml:space="preserve">Enhances IA-02 (Identification and Authentication (Organizational Users)): configure and enforce 'Single Sign-on' in addition to the base setting, keep it consistent across applicable systems and document approved exceptions. Base scope: Configure unique user IDs and MFA on OS, VPN, network devices, cloud consoles, databases and applications</t>
  </si>
  <si>
    <t xml:space="preserve">ส่วนขยายของ IA-02: กำหนดค่าและบังคับใช้ 'Single Sign-on' เพิ่มเติมจากค่าพื้นฐาน ให้สอดคล้องทุกระบบที่เกี่ยวข้อง และบันทึกข้อยกเว้น - ตั้งค่า User ID เฉพาะบุคคลและ MFA บน OS, VPN, อุปกรณ์เครือข่าย, Cloud Console, DB และแอปพลิเคชัน</t>
  </si>
  <si>
    <t xml:space="preserve">ESBIT-IA-02(12)</t>
  </si>
  <si>
    <t xml:space="preserve">IA-02(12)</t>
  </si>
  <si>
    <t xml:space="preserve">Identification and Authentication (Organizational Users) | Acceptance of PIV Credentials</t>
  </si>
  <si>
    <t xml:space="preserve">Enhances IA-02 (Identification and Authentication (Organizational Users)): configure and enforce 'Acceptance of PIV Credentials' in addition to the base setting, keep it consistent across applicable systems and document approved exceptions. Base scope: Configure unique user IDs and MFA on OS, VPN, network devices, cloud consoles, databases and applications</t>
  </si>
  <si>
    <t xml:space="preserve">ส่วนขยายของ IA-02: กำหนดค่าและบังคับใช้ 'Acceptance of PIV Credentials' เพิ่มเติมจากค่าพื้นฐาน ให้สอดคล้องทุกระบบที่เกี่ยวข้อง และบันทึกข้อยกเว้น - ตั้งค่า User ID เฉพาะบุคคลและ MFA บน OS, VPN, อุปกรณ์เครือข่าย, Cloud Console, DB และแอปพลิเคชัน</t>
  </si>
  <si>
    <t xml:space="preserve">ESBIT-IA-02(13)</t>
  </si>
  <si>
    <t xml:space="preserve">IA-02(13)</t>
  </si>
  <si>
    <t xml:space="preserve">Identification and Authentication (Organizational Users) | Out-of-band Authentication</t>
  </si>
  <si>
    <t xml:space="preserve">Enhances IA-02 (Identification and Authentication (Organizational Users)): configure and enforce 'Out-of-band Authentication' in addition to the base setting, keep it consistent across applicable systems and document approved exceptions. Base scope: Configure unique user IDs and MFA on OS, VPN, network devices, cloud consoles, databases and applications</t>
  </si>
  <si>
    <t xml:space="preserve">ส่วนขยายของ IA-02: กำหนดค่าและบังคับใช้ 'Out-of-band Authentication' เพิ่มเติมจากค่าพื้นฐาน ให้สอดคล้องทุกระบบที่เกี่ยวข้อง และบันทึกข้อยกเว้น - ตั้งค่า User ID เฉพาะบุคคลและ MFA บน OS, VPN, อุปกรณ์เครือข่าย, Cloud Console, DB และแอปพลิเคชัน</t>
  </si>
  <si>
    <t xml:space="preserve">ESBIT-IA-03</t>
  </si>
  <si>
    <t xml:space="preserve">IA-03</t>
  </si>
  <si>
    <t xml:space="preserve">Device Identification and Authentication</t>
  </si>
  <si>
    <t xml:space="preserve">Configure device authentication (802.1X, NAC, certificates) before allowing network connection</t>
  </si>
  <si>
    <t xml:space="preserve">ตั้งค่าการพิสูจน์ตัวตนอุปกรณ์ (802.1X, NAC, Certificate) ก่อนอนุญาตเชื่อมต่อเครือข่าย</t>
  </si>
  <si>
    <t xml:space="preserve">ESBIT-IA-03(01)</t>
  </si>
  <si>
    <t xml:space="preserve">IA-03(01)</t>
  </si>
  <si>
    <t xml:space="preserve">Device Identification and Authentication | Cryptographic Bidirectional Authentication</t>
  </si>
  <si>
    <t xml:space="preserve">Enhances IA-03 (Device Identification and Authentication): configure and enforce 'Cryptographic Bidirectional Authentication' in addition to the base setting, keep it consistent across applicable systems and document approved exceptions. Base scope: Configure device authentication (802.1X, NAC, certificates) before allowing network connection</t>
  </si>
  <si>
    <t xml:space="preserve">ส่วนขยายของ IA-03: กำหนดค่าและบังคับใช้ 'Cryptographic Bidirectional Authentication' เพิ่มเติมจากค่าพื้นฐาน ให้สอดคล้องทุกระบบที่เกี่ยวข้อง และบันทึกข้อยกเว้น - ตั้งค่าการพิสูจน์ตัวตนอุปกรณ์ (802.1X, NAC, Certificate) ก่อนอนุญาตเชื่อมต่อเครือข่าย</t>
  </si>
  <si>
    <t xml:space="preserve">ESBIT-IA-03(03)</t>
  </si>
  <si>
    <t xml:space="preserve">IA-03(03)</t>
  </si>
  <si>
    <t xml:space="preserve">Device Identification and Authentication | Dynamic Address Allocation</t>
  </si>
  <si>
    <t xml:space="preserve">Enhances IA-03 (Device Identification and Authentication): configure and enforce 'Dynamic Address Allocation' in addition to the base setting, keep it consistent across applicable systems and document approved exceptions. Base scope: Configure device authentication (802.1X, NAC, certificates) before allowing network connection</t>
  </si>
  <si>
    <t xml:space="preserve">ส่วนขยายของ IA-03: กำหนดค่าและบังคับใช้ 'Dynamic Address Allocation' เพิ่มเติมจากค่าพื้นฐาน ให้สอดคล้องทุกระบบที่เกี่ยวข้อง และบันทึกข้อยกเว้น - ตั้งค่าการพิสูจน์ตัวตนอุปกรณ์ (802.1X, NAC, Certificate) ก่อนอนุญาตเชื่อมต่อเครือข่าย</t>
  </si>
  <si>
    <t xml:space="preserve">ESBIT-IA-03(04)</t>
  </si>
  <si>
    <t xml:space="preserve">IA-03(04)</t>
  </si>
  <si>
    <t xml:space="preserve">Device Identification and Authentication | Device Attestation</t>
  </si>
  <si>
    <t xml:space="preserve">Enhances IA-03 (Device Identification and Authentication): configure and enforce 'Device Attestation' in addition to the base setting, keep it consistent across applicable systems and document approved exceptions. Base scope: Configure device authentication (802.1X, NAC, certificates) before allowing network connection</t>
  </si>
  <si>
    <t xml:space="preserve">ส่วนขยายของ IA-03: กำหนดค่าและบังคับใช้ 'Device Attestation' เพิ่มเติมจากค่าพื้นฐาน ให้สอดคล้องทุกระบบที่เกี่ยวข้อง และบันทึกข้อยกเว้น - ตั้งค่าการพิสูจน์ตัวตนอุปกรณ์ (802.1X, NAC, Certificate) ก่อนอนุญาตเชื่อมต่อเครือข่าย</t>
  </si>
  <si>
    <t xml:space="preserve">ESBIT-IA-04</t>
  </si>
  <si>
    <t xml:space="preserve">IA-04</t>
  </si>
  <si>
    <t xml:space="preserve">Identifier Management</t>
  </si>
  <si>
    <t xml:space="preserve">Configure identifier assignment, uniqueness, reuse prevention and disabling of inactive identifiers</t>
  </si>
  <si>
    <t xml:space="preserve">กำหนดการออก Identifier ความไม่ซ้ำ ป้องกันการใช้ซ้ำ และปิด Identifier ที่ไม่ใช้งาน</t>
  </si>
  <si>
    <t xml:space="preserve">Cloud, Identity</t>
  </si>
  <si>
    <t xml:space="preserve">ESBIT-IA-04(01)</t>
  </si>
  <si>
    <t xml:space="preserve">IA-04(01)</t>
  </si>
  <si>
    <t xml:space="preserve">Identifier Management | Prohibit Account Identifiers as Public Identifiers</t>
  </si>
  <si>
    <t xml:space="preserve">Enhances IA-04 (Identifier Management): configure and enforce 'Prohibit Account Identifiers as Public Identifiers' in addition to the base setting, keep it consistent across applicable systems and document approved exceptions. Base scope: Configure identifier assignment, uniqueness, reuse prevention and disabling of inactive identifiers</t>
  </si>
  <si>
    <t xml:space="preserve">ส่วนขยายของ IA-04: กำหนดค่าและบังคับใช้ 'Prohibit Account Identifiers as Public Identifiers' เพิ่มเติมจากค่าพื้นฐาน ให้สอดคล้องทุกระบบที่เกี่ยวข้อง และบันทึกข้อยกเว้น - กำหนดการออก Identifier ความไม่ซ้ำ ป้องกันการใช้ซ้ำ และปิด Identifier ที่ไม่ใช้งาน</t>
  </si>
  <si>
    <t xml:space="preserve">ESBIT-IA-04(04)</t>
  </si>
  <si>
    <t xml:space="preserve">IA-04(04)</t>
  </si>
  <si>
    <t xml:space="preserve">Identifier Management | Identify User Status</t>
  </si>
  <si>
    <t xml:space="preserve">Enhances IA-04 (Identifier Management): configure and enforce 'Identify User Status' in addition to the base setting, keep it consistent across applicable systems and document approved exceptions. Base scope: Configure identifier assignment, uniqueness, reuse prevention and disabling of inactive identifiers</t>
  </si>
  <si>
    <t xml:space="preserve">ส่วนขยายของ IA-04: กำหนดค่าและบังคับใช้ 'Identify User Status' เพิ่มเติมจากค่าพื้นฐาน ให้สอดคล้องทุกระบบที่เกี่ยวข้อง และบันทึกข้อยกเว้น - กำหนดการออก Identifier ความไม่ซ้ำ ป้องกันการใช้ซ้ำ และปิด Identifier ที่ไม่ใช้งาน</t>
  </si>
  <si>
    <t xml:space="preserve">ESBIT-IA-04(05)</t>
  </si>
  <si>
    <t xml:space="preserve">IA-04(05)</t>
  </si>
  <si>
    <t xml:space="preserve">Identifier Management | Dynamic Management</t>
  </si>
  <si>
    <t xml:space="preserve">Enhances IA-04 (Identifier Management): configure and enforce 'Dynamic Management' in addition to the base setting, keep it consistent across applicable systems and document approved exceptions. Base scope: Configure identifier assignment, uniqueness, reuse prevention and disabling of inactive identifiers</t>
  </si>
  <si>
    <t xml:space="preserve">ส่วนขยายของ IA-04: กำหนดค่าและบังคับใช้ 'Dynamic Management' เพิ่มเติมจากค่าพื้นฐาน ให้สอดคล้องทุกระบบที่เกี่ยวข้อง และบันทึกข้อยกเว้น - กำหนดการออก Identifier ความไม่ซ้ำ ป้องกันการใช้ซ้ำ และปิด Identifier ที่ไม่ใช้งาน</t>
  </si>
  <si>
    <t xml:space="preserve">ESBIT-IA-04(06)</t>
  </si>
  <si>
    <t xml:space="preserve">IA-04(06)</t>
  </si>
  <si>
    <t xml:space="preserve">Identifier Management | Cross-organization Management</t>
  </si>
  <si>
    <t xml:space="preserve">Enhances IA-04 (Identifier Management): configure and enforce 'Cross-organization Management' in addition to the base setting, keep it consistent across applicable systems and document approved exceptions. Base scope: Configure identifier assignment, uniqueness, reuse prevention and disabling of inactive identifiers</t>
  </si>
  <si>
    <t xml:space="preserve">ส่วนขยายของ IA-04: กำหนดค่าและบังคับใช้ 'Cross-organization Management' เพิ่มเติมจากค่าพื้นฐาน ให้สอดคล้องทุกระบบที่เกี่ยวข้อง และบันทึกข้อยกเว้น - กำหนดการออก Identifier ความไม่ซ้ำ ป้องกันการใช้ซ้ำ และปิด Identifier ที่ไม่ใช้งาน</t>
  </si>
  <si>
    <t xml:space="preserve">ESBIT-IA-04(07)</t>
  </si>
  <si>
    <t xml:space="preserve">IA-04(07)</t>
  </si>
  <si>
    <t xml:space="preserve">Identifier Management | In-person Registration</t>
  </si>
  <si>
    <t xml:space="preserve">Enhances IA-04 (Identifier Management): configure and enforce 'In-person Registration' in addition to the base setting, keep it consistent across applicable systems and document approved exceptions. Base scope: Configure identifier assignment, uniqueness, reuse prevention and disabling of inactive identifiers</t>
  </si>
  <si>
    <t xml:space="preserve">ส่วนขยายของ IA-04: กำหนดค่าและบังคับใช้ 'In-person Registration' เพิ่มเติมจากค่าพื้นฐาน ให้สอดคล้องทุกระบบที่เกี่ยวข้อง และบันทึกข้อยกเว้น - กำหนดการออก Identifier ความไม่ซ้ำ ป้องกันการใช้ซ้ำ และปิด Identifier ที่ไม่ใช้งาน</t>
  </si>
  <si>
    <t xml:space="preserve">ESBIT-IA-04(08)</t>
  </si>
  <si>
    <t xml:space="preserve">IA-04(08)</t>
  </si>
  <si>
    <t xml:space="preserve">Identifier Management | Pairwise Pseudonymous Identifiers</t>
  </si>
  <si>
    <t xml:space="preserve">Enhances IA-04 (Identifier Management): configure and enforce 'Pairwise Pseudonymous Identifiers' in addition to the base setting, keep it consistent across applicable systems and document approved exceptions. Base scope: Configure identifier assignment, uniqueness, reuse prevention and disabling of inactive identifiers</t>
  </si>
  <si>
    <t xml:space="preserve">ส่วนขยายของ IA-04: กำหนดค่าและบังคับใช้ 'Pairwise Pseudonymous Identifiers' เพิ่มเติมจากค่าพื้นฐาน ให้สอดคล้องทุกระบบที่เกี่ยวข้อง และบันทึกข้อยกเว้น - กำหนดการออก Identifier ความไม่ซ้ำ ป้องกันการใช้ซ้ำ และปิด Identifier ที่ไม่ใช้งาน</t>
  </si>
  <si>
    <t xml:space="preserve">ESBIT-IA-04(09)</t>
  </si>
  <si>
    <t xml:space="preserve">IA-04(09)</t>
  </si>
  <si>
    <t xml:space="preserve">Identifier Management | Attribute Maintenance and Protection</t>
  </si>
  <si>
    <t xml:space="preserve">Enhances IA-04 (Identifier Management): configure and enforce 'Attribute Maintenance and Protection' in addition to the base setting, keep it consistent across applicable systems and document approved exceptions. Base scope: Configure identifier assignment, uniqueness, reuse prevention and disabling of inactive identifiers</t>
  </si>
  <si>
    <t xml:space="preserve">ส่วนขยายของ IA-04: กำหนดค่าและบังคับใช้ 'Attribute Maintenance and Protection' เพิ่มเติมจากค่าพื้นฐาน ให้สอดคล้องทุกระบบที่เกี่ยวข้อง และบันทึกข้อยกเว้น - กำหนดการออก Identifier ความไม่ซ้ำ ป้องกันการใช้ซ้ำ และปิด Identifier ที่ไม่ใช้งาน</t>
  </si>
  <si>
    <t xml:space="preserve">ESBIT-IA-05</t>
  </si>
  <si>
    <t xml:space="preserve">IA-05</t>
  </si>
  <si>
    <t xml:space="preserve">Authenticator Management</t>
  </si>
  <si>
    <t xml:space="preserve">Configure password policy (length, complexity, history, expiry), secret storage, default credential change and key/certificate handling</t>
  </si>
  <si>
    <t xml:space="preserve">ตั้งค่า Password Policy (ความยาว ความซับซ้อน ประวัติ อายุ) การเก็บ Secret เปลี่ยน Default Credential และจัดการ Key/Certificate</t>
  </si>
  <si>
    <t xml:space="preserve">ESBIT-IA-05(01)</t>
  </si>
  <si>
    <t xml:space="preserve">IA-05(01)</t>
  </si>
  <si>
    <t xml:space="preserve">Authenticator Management | Password-based Authentication</t>
  </si>
  <si>
    <t xml:space="preserve">Enhances IA-05 (Authenticator Management): configure and enforce 'Password-based Authentication'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</si>
  <si>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'Password-based Authentication'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</si>
  <si>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ESBIT-IA-05(02)</t>
  </si>
  <si>
    <t xml:space="preserve">IA-05(02)</t>
  </si>
  <si>
    <t xml:space="preserve">Authenticator Management | Public Key-based Authentication</t>
  </si>
  <si>
    <t xml:space="preserve">Enhances IA-05 (Authenticator Management): configure and enforce 'Public Key-based Authentication'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</si>
  <si>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'Public Key-based Authentication'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</si>
  <si>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ESBIT-IA-05(05)</t>
  </si>
  <si>
    <t xml:space="preserve">IA-05(05)</t>
  </si>
  <si>
    <t xml:space="preserve">Authenticator Management | Change Authenticators Prior to Delivery</t>
  </si>
  <si>
    <t xml:space="preserve">Enhances IA-05 (Authenticator Management): configure and enforce 'Change Authenticators Prior to Delivery'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</si>
  <si>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'Change Authenticators Prior to Delivery'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</si>
  <si>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ESBIT-IA-05(06)</t>
  </si>
  <si>
    <t xml:space="preserve">IA-05(06)</t>
  </si>
  <si>
    <t xml:space="preserve">Authenticator Management | Protection of Authenticators</t>
  </si>
  <si>
    <t xml:space="preserve">Enhances IA-05 (Authenticator Management): configure and enforce 'Protection of Authenticators'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</si>
  <si>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'Protection of Authenticators'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</si>
  <si>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ESBIT-IA-05(07)</t>
  </si>
  <si>
    <t xml:space="preserve">IA-05(07)</t>
  </si>
  <si>
    <t xml:space="preserve">Authenticator Management | No Embedded Unencrypted Static Authenticators</t>
  </si>
  <si>
    <t xml:space="preserve">Enhances IA-05 (Authenticator Management): configure and enforce 'No Embedded Unencrypted Static Authenticators'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</si>
  <si>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'No Embedded Unencrypted Static Authenticators'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</si>
  <si>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ESBIT-IA-05(08)</t>
  </si>
  <si>
    <t xml:space="preserve">IA-05(08)</t>
  </si>
  <si>
    <t xml:space="preserve">Authenticator Management | Multiple System Accounts</t>
  </si>
  <si>
    <t xml:space="preserve">Enhances IA-05 (Authenticator Management): configure and enforce 'Multiple System Accounts'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</si>
  <si>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'Multiple System Accounts'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</si>
  <si>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ESBIT-IA-05(09)</t>
  </si>
  <si>
    <t xml:space="preserve">IA-05(09)</t>
  </si>
  <si>
    <t xml:space="preserve">Authenticator Management | Federated Credential Management</t>
  </si>
  <si>
    <t xml:space="preserve">Enhances IA-05 (Authenticator Management): configure and enforce 'Federated Credential Management'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</si>
  <si>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'Federated Credential Management'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</si>
  <si>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ESBIT-IA-05(10)</t>
  </si>
  <si>
    <t xml:space="preserve">IA-05(10)</t>
  </si>
  <si>
    <t xml:space="preserve">Authenticator Management | Dynamic Credential Binding</t>
  </si>
  <si>
    <t xml:space="preserve">Enhances IA-05 (Authenticator Management): configure and enforce 'Dynamic Credential Binding'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</si>
  <si>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'Dynamic Credential Binding'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</si>
  <si>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ESBIT-IA-05(12)</t>
  </si>
  <si>
    <t xml:space="preserve">IA-05(12)</t>
  </si>
  <si>
    <t xml:space="preserve">Authenticator Management | Biometric Authentication Performance</t>
  </si>
  <si>
    <t xml:space="preserve">Enhances IA-05 (Authenticator Management): configure and enforce 'Biometric Authentication Performance'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</si>
  <si>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'Biometric Authentication Performance'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</si>
  <si>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ESBIT-IA-05(13)</t>
  </si>
  <si>
    <t xml:space="preserve">IA-05(13)</t>
  </si>
  <si>
    <t xml:space="preserve">Authenticator Management | Expiration of Cached Authenticators</t>
  </si>
  <si>
    <t xml:space="preserve">Enhances IA-05 (Authenticator Management): configure and enforce 'Expiration of Cached Authenticators'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</si>
  <si>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'Expiration of Cached Authenticators'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</si>
  <si>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ESBIT-IA-05(14)</t>
  </si>
  <si>
    <t xml:space="preserve">IA-05(14)</t>
  </si>
  <si>
    <t xml:space="preserve">Authenticator Management | Managing Content of PKI Trust Stores</t>
  </si>
  <si>
    <t xml:space="preserve">Enhances IA-05 (Authenticator Management): configure and enforce 'Managing Content of PKI Trust Stores'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</si>
  <si>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'Managing Content of PKI Trust Stores'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</si>
  <si>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ESBIT-IA-05(15)</t>
  </si>
  <si>
    <t xml:space="preserve">IA-05(15)</t>
  </si>
  <si>
    <t xml:space="preserve">Authenticator Management | GSA-approved Products and Services</t>
  </si>
  <si>
    <t xml:space="preserve">Enhances IA-05 (Authenticator Management): configure and enforce 'GSA-approved Products and Services'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</si>
  <si>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'GSA-approved Products and Services'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</si>
  <si>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ESBIT-IA-05(16)</t>
  </si>
  <si>
    <t xml:space="preserve">IA-05(16)</t>
  </si>
  <si>
    <t xml:space="preserve">Authenticator Management | In-person or Trusted External Party Authenticator Issuance</t>
  </si>
  <si>
    <t xml:space="preserve">Enhances IA-05 (Authenticator Management): configure and enforce 'In-person or Trusted External Party Authenticator Issuance'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</si>
  <si>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'In-person or Trusted External Party Authenticator Issuance'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</si>
  <si>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ESBIT-IA-05(17)</t>
  </si>
  <si>
    <t xml:space="preserve">IA-05(17)</t>
  </si>
  <si>
    <t xml:space="preserve">Authenticator Management | Presentation Attack Detection for Biometric Authenticators</t>
  </si>
  <si>
    <t xml:space="preserve">Enhances IA-05 (Authenticator Management): configure and enforce 'Presentation Attack Detection for Biometric Authenticators'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</si>
  <si>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'Presentation Attack Detection for Biometric Authenticators'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</si>
  <si>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ESBIT-IA-05(18)</t>
  </si>
  <si>
    <t xml:space="preserve">IA-05(18)</t>
  </si>
  <si>
    <t xml:space="preserve">Authenticator Management | Password Managers</t>
  </si>
  <si>
    <t xml:space="preserve">Enhances IA-05 (Authenticator Management): configure and enforce 'Password Managers' in addition to the base setting, keep it consistent across applicable systems and document approved exceptions. Base scope: Configure password policy (length, complexity, history, expiry), secret storage, default credential change and key/certificate handling</t>
  </si>
  <si>
    <t xml:space="preserve">ส่วนขยายของ IA-05: กำหนดค่าและบังคับใช้ 'Password Managers' เพิ่มเติมจากค่าพื้นฐาน ให้สอดคล้องทุกระบบที่เกี่ยวข้อง และบันทึกข้อยกเว้น - ตั้งค่า Password Policy (ความยาว ความซับซ้อน ประวัติ อายุ) การเก็บ Secret เปลี่ยน Default Credential และจัดการ Key/Certificate</t>
  </si>
  <si>
    <t xml:space="preserve">ESBIT-IA-06</t>
  </si>
  <si>
    <t xml:space="preserve">IA-06</t>
  </si>
  <si>
    <t xml:space="preserve">Authentication Feedback</t>
  </si>
  <si>
    <t xml:space="preserve">Configure obscured authentication feedback such as masked password input</t>
  </si>
  <si>
    <t xml:space="preserve">ตั้งค่าไม่แสดงข้อมูลตอบกลับการพิสูจน์ตัวตน เช่น ซ่อนรหัสผ่าน</t>
  </si>
  <si>
    <t xml:space="preserve">ESBIT-IA-07</t>
  </si>
  <si>
    <t xml:space="preserve">IA-07</t>
  </si>
  <si>
    <t xml:space="preserve">Cryptographic Module Authentication</t>
  </si>
  <si>
    <t xml:space="preserve">Use validated cryptographic modules (FIPS) for authentication to cryptographic functions</t>
  </si>
  <si>
    <t xml:space="preserve">ใช้ Cryptographic Module ที่ผ่านการรับรอง (FIPS) สำหรับการพิสูจน์ตัวตนต่อฟังก์ชันเข้ารหัส</t>
  </si>
  <si>
    <t xml:space="preserve">ESBIT-IA-08</t>
  </si>
  <si>
    <t xml:space="preserve">IA-08</t>
  </si>
  <si>
    <t xml:space="preserve">Identification and Authentication (Non-organizational Users)</t>
  </si>
  <si>
    <t xml:space="preserve">Configure authentication for external users, partners and federated identities on portals and APIs</t>
  </si>
  <si>
    <t xml:space="preserve">ตั้งค่าการพิสูจน์ตัวตนผู้ใช้ภายนอก พันธมิตร และ Federated Identity บน Portal/API</t>
  </si>
  <si>
    <t xml:space="preserve">ESBIT-IA-08(01)</t>
  </si>
  <si>
    <t xml:space="preserve">IA-08(01)</t>
  </si>
  <si>
    <t xml:space="preserve">Identification and Authentication (Non-organizational Users) | Acceptance of PIV Credentials from Other Agencies</t>
  </si>
  <si>
    <t xml:space="preserve">Enhances IA-08 (Identification and Authentication (Non-organizational Users)): configure and enforce 'Acceptance of PIV Credentials from Other Agencies' in addition to the base setting, keep it consistent across applicable systems and document approved exceptions. Base scope: Configure authentication for external users, partners and federated identities on portals and APIs</t>
  </si>
  <si>
    <t xml:space="preserve">ส่วนขยายของ IA-08: กำหนดค่าและบังคับใช้ 'Acceptance of PIV Credentials from Other Agencies' เพิ่มเติมจากค่าพื้นฐาน ให้สอดคล้องทุกระบบที่เกี่ยวข้อง และบันทึกข้อยกเว้น - ตั้งค่าการพิสูจน์ตัวตนผู้ใช้ภายนอก พันธมิตร และ Federated Identity บน Portal/API</t>
  </si>
  <si>
    <t xml:space="preserve">ESBIT-IA-08(02)</t>
  </si>
  <si>
    <t xml:space="preserve">IA-08(02)</t>
  </si>
  <si>
    <t xml:space="preserve">Identification and Authentication (Non-organizational Users) | Acceptance of External Authenticators</t>
  </si>
  <si>
    <t xml:space="preserve">Enhances IA-08 (Identification and Authentication (Non-organizational Users)): configure and enforce 'Acceptance of External Authenticators' in addition to the base setting, keep it consistent across applicable systems and document approved exceptions. Base scope: Configure authentication for external users, partners and federated identities on portals and APIs</t>
  </si>
  <si>
    <t xml:space="preserve">ส่วนขยายของ IA-08: กำหนดค่าและบังคับใช้ 'Acceptance of External Authenticators' เพิ่มเติมจากค่าพื้นฐาน ให้สอดคล้องทุกระบบที่เกี่ยวข้อง และบันทึกข้อยกเว้น - ตั้งค่าการพิสูจน์ตัวตนผู้ใช้ภายนอก พันธมิตร และ Federated Identity บน Portal/API</t>
  </si>
  <si>
    <t xml:space="preserve">ESBIT-IA-08(03)</t>
  </si>
  <si>
    <t xml:space="preserve">IA-08(03)</t>
  </si>
  <si>
    <t xml:space="preserve">Identification and Authentication (Non-organizational Users) | Use of FICAM-approved Products</t>
  </si>
  <si>
    <t xml:space="preserve">Enhances IA-08 (Identification and Authentication (Non-organizational Users)): configure and enforce 'Use of FICAM-approved Products' in addition to the base setting, keep it consistent across applicable systems and document approved exceptions. Base scope: Configure authentication for external users, partners and federated identities on portals and APIs</t>
  </si>
  <si>
    <t xml:space="preserve">ส่วนขยายของ IA-08: กำหนดค่าและบังคับใช้ 'Use of FICAM-approved Products' เพิ่มเติมจากค่าพื้นฐาน ให้สอดคล้องทุกระบบที่เกี่ยวข้อง และบันทึกข้อยกเว้น - ตั้งค่าการพิสูจน์ตัวตนผู้ใช้ภายนอก พันธมิตร และ Federated Identity บน Portal/API</t>
  </si>
  <si>
    <t xml:space="preserve">ESBIT-IA-08(04)</t>
  </si>
  <si>
    <t xml:space="preserve">IA-08(04)</t>
  </si>
  <si>
    <t xml:space="preserve">Identification and Authentication (Non-organizational Users) | Use of Defined Profiles</t>
  </si>
  <si>
    <t xml:space="preserve">Enhances IA-08 (Identification and Authentication (Non-organizational Users)): configure and enforce 'Use of Defined Profiles' in addition to the base setting, keep it consistent across applicable systems and document approved exceptions. Base scope: Configure authentication for external users, partners and federated identities on portals and APIs</t>
  </si>
  <si>
    <t xml:space="preserve">ส่วนขยายของ IA-08: กำหนดค่าและบังคับใช้ 'Use of Defined Profiles' เพิ่มเติมจากค่าพื้นฐาน ให้สอดคล้องทุกระบบที่เกี่ยวข้อง และบันทึกข้อยกเว้น - ตั้งค่าการพิสูจน์ตัวตนผู้ใช้ภายนอก พันธมิตร และ Federated Identity บน Portal/API</t>
  </si>
  <si>
    <t xml:space="preserve">ESBIT-IA-08(05)</t>
  </si>
  <si>
    <t xml:space="preserve">IA-08(05)</t>
  </si>
  <si>
    <t xml:space="preserve">Identification and Authentication (Non-organizational Users) | Acceptance of PIV-I Credentials</t>
  </si>
  <si>
    <t xml:space="preserve">Enhances IA-08 (Identification and Authentication (Non-organizational Users)): configure and enforce 'Acceptance of PIV-I Credentials' in addition to the base setting, keep it consistent across applicable systems and document approved exceptions. Base scope: Configure authentication for external users, partners and federated identities on portals and APIs</t>
  </si>
  <si>
    <t xml:space="preserve">ส่วนขยายของ IA-08: กำหนดค่าและบังคับใช้ 'Acceptance of PIV-I Credentials' เพิ่มเติมจากค่าพื้นฐาน ให้สอดคล้องทุกระบบที่เกี่ยวข้อง และบันทึกข้อยกเว้น - ตั้งค่าการพิสูจน์ตัวตนผู้ใช้ภายนอก พันธมิตร และ Federated Identity บน Portal/API</t>
  </si>
  <si>
    <t xml:space="preserve">ESBIT-IA-08(06)</t>
  </si>
  <si>
    <t xml:space="preserve">IA-08(06)</t>
  </si>
  <si>
    <t xml:space="preserve">Identification and Authentication (Non-organizational Users) | Disassociability</t>
  </si>
  <si>
    <t xml:space="preserve">Enhances IA-08 (Identification and Authentication (Non-organizational Users)): configure and enforce 'Disassociability' in addition to the base setting, keep it consistent across applicable systems and document approved exceptions. Base scope: Configure authentication for external users, partners and federated identities on portals and APIs</t>
  </si>
  <si>
    <t xml:space="preserve">ส่วนขยายของ IA-08: กำหนดค่าและบังคับใช้ 'Disassociability' เพิ่มเติมจากค่าพื้นฐาน ให้สอดคล้องทุกระบบที่เกี่ยวข้อง และบันทึกข้อยกเว้น - ตั้งค่าการพิสูจน์ตัวตนผู้ใช้ภายนอก พันธมิตร และ Federated Identity บน Portal/API</t>
  </si>
  <si>
    <t xml:space="preserve">ESBIT-IA-09</t>
  </si>
  <si>
    <t xml:space="preserve">IA-09</t>
  </si>
  <si>
    <t xml:space="preserve">Service Identification and Authentication</t>
  </si>
  <si>
    <t xml:space="preserve">Configure service-to-service authentication using certificates, tokens or managed identities</t>
  </si>
  <si>
    <t xml:space="preserve">ตั้งค่าการพิสูจน์ตัวตนระหว่างบริการด้วย Certificate, Token หรือ Managed Identity</t>
  </si>
  <si>
    <t xml:space="preserve">ESBIT-IA-10</t>
  </si>
  <si>
    <t xml:space="preserve">IA-10</t>
  </si>
  <si>
    <t xml:space="preserve">Adaptive Authentication</t>
  </si>
  <si>
    <t xml:space="preserve">Configure risk-based or conditional access policies requiring additional authentication</t>
  </si>
  <si>
    <t xml:space="preserve">ตั้งค่า Conditional Access/Risk-based Authentication ที่ขอการยืนยันเพิ่มเติม</t>
  </si>
  <si>
    <t xml:space="preserve">ESBIT-IA-11</t>
  </si>
  <si>
    <t xml:space="preserve">IA-11</t>
  </si>
  <si>
    <t xml:space="preserve">Re-authentication</t>
  </si>
  <si>
    <t xml:space="preserve">Configure re-authentication triggers such as role change, elevation and session timeout</t>
  </si>
  <si>
    <t xml:space="preserve">ตั้งค่าเงื่อนไขให้ยืนยันตัวตนซ้ำ เช่น เปลี่ยนบทบาท ยกระดับสิทธิ์ หรือ Session หมดเวลา</t>
  </si>
  <si>
    <t xml:space="preserve">ESBIT-IA-12</t>
  </si>
  <si>
    <t xml:space="preserve">IA-12</t>
  </si>
  <si>
    <t xml:space="preserve">Identity Proofing</t>
  </si>
  <si>
    <t xml:space="preserve">PR.AA-02</t>
  </si>
  <si>
    <t xml:space="preserve">Identities are proofed and bound to credentials based on the context of interactions</t>
  </si>
  <si>
    <t xml:space="preserve">Not a direct configuration item - identity proofing before issuing accounts and credentials</t>
  </si>
  <si>
    <t xml:space="preserve">ไม่ใช่การ config โดยตรง - การพิสูจน์ตัวตนก่อนออกบัญชีและ Credential</t>
  </si>
  <si>
    <t xml:space="preserve">Identity</t>
  </si>
  <si>
    <t xml:space="preserve">ESBIT-IA-12(01)</t>
  </si>
  <si>
    <t xml:space="preserve">IA-12(01)</t>
  </si>
  <si>
    <t xml:space="preserve">Identity Proofing | Supervisor Authorization</t>
  </si>
  <si>
    <t xml:space="preserve">Not a direct configuration item - enhancement of IA-12 (Identity Proofing): 'Supervisor Authorization'; identity proofing before issuing accounts and credentials.</t>
  </si>
  <si>
    <t xml:space="preserve">ไม่ใช่การ config โดยตรง - ส่วนขยายของ IA-12: 'Supervisor Authorization' - การพิสูจน์ตัวตนก่อนออกบัญชีและ Credential</t>
  </si>
  <si>
    <t xml:space="preserve">ESBIT-IA-12(02)</t>
  </si>
  <si>
    <t xml:space="preserve">IA-12(02)</t>
  </si>
  <si>
    <t xml:space="preserve">Identity Proofing | Identity Evidence</t>
  </si>
  <si>
    <t xml:space="preserve">Not a direct configuration item - enhancement of IA-12 (Identity Proofing): 'Identity Evidence'; identity proofing before issuing accounts and credentials.</t>
  </si>
  <si>
    <t xml:space="preserve">ไม่ใช่การ config โดยตรง - ส่วนขยายของ IA-12: 'Identity Evidence' - การพิสูจน์ตัวตนก่อนออกบัญชีและ Credential</t>
  </si>
  <si>
    <t xml:space="preserve">ESBIT-IA-12(03)</t>
  </si>
  <si>
    <t xml:space="preserve">IA-12(03)</t>
  </si>
  <si>
    <t xml:space="preserve">Identity Proofing | Identity Evidence Validation and Verification</t>
  </si>
  <si>
    <t xml:space="preserve">Not a direct configuration item - enhancement of IA-12 (Identity Proofing): 'Identity Evidence Validation and Verification'; identity proofing before issuing accounts and credentials.</t>
  </si>
  <si>
    <t xml:space="preserve">ไม่ใช่การ config โดยตรง - ส่วนขยายของ IA-12: 'Identity Evidence Validation and Verification' - การพิสูจน์ตัวตนก่อนออกบัญชีและ Credential</t>
  </si>
  <si>
    <t xml:space="preserve">ESBIT-IA-12(04)</t>
  </si>
  <si>
    <t xml:space="preserve">IA-12(04)</t>
  </si>
  <si>
    <t xml:space="preserve">Identity Proofing | In-person Validation and Verification</t>
  </si>
  <si>
    <t xml:space="preserve">Not a direct configuration item - enhancement of IA-12 (Identity Proofing): 'In-person Validation and Verification'; identity proofing before issuing accounts and credentials.</t>
  </si>
  <si>
    <t xml:space="preserve">ไม่ใช่การ config โดยตรง - ส่วนขยายของ IA-12: 'In-person Validation and Verification' - การพิสูจน์ตัวตนก่อนออกบัญชีและ Credential</t>
  </si>
  <si>
    <t xml:space="preserve">ESBIT-IA-12(05)</t>
  </si>
  <si>
    <t xml:space="preserve">IA-12(05)</t>
  </si>
  <si>
    <t xml:space="preserve">Identity Proofing | Address Confirmation</t>
  </si>
  <si>
    <t xml:space="preserve">Not a direct configuration item - enhancement of IA-12 (Identity Proofing): 'Address Confirmation'; identity proofing before issuing accounts and credentials.</t>
  </si>
  <si>
    <t xml:space="preserve">ไม่ใช่การ config โดยตรง - ส่วนขยายของ IA-12: 'Address Confirmation' - การพิสูจน์ตัวตนก่อนออกบัญชีและ Credential</t>
  </si>
  <si>
    <t xml:space="preserve">ESBIT-IA-12(06)</t>
  </si>
  <si>
    <t xml:space="preserve">IA-12(06)</t>
  </si>
  <si>
    <t xml:space="preserve">Identity Proofing | Accept Externally-proofed Identities</t>
  </si>
  <si>
    <t xml:space="preserve">Not a direct configuration item - enhancement of IA-12 (Identity Proofing): 'Accept Externally-proofed Identities'; identity proofing before issuing accounts and credentials.</t>
  </si>
  <si>
    <t xml:space="preserve">ไม่ใช่การ config โดยตรง - ส่วนขยายของ IA-12: 'Accept Externally-proofed Identities' - การพิสูจน์ตัวตนก่อนออกบัญชีและ Credential</t>
  </si>
  <si>
    <t xml:space="preserve">ESBIT-IA-13</t>
  </si>
  <si>
    <t xml:space="preserve">IA-13</t>
  </si>
  <si>
    <t xml:space="preserve">Identity Providers and Authorization Servers</t>
  </si>
  <si>
    <t xml:space="preserve">PR.AA-04</t>
  </si>
  <si>
    <t xml:space="preserve">Identity assertions are protected, conveyed, and verified</t>
  </si>
  <si>
    <t xml:space="preserve">Configure identity providers and authorization servers with protected keys and token validation</t>
  </si>
  <si>
    <t xml:space="preserve">ตั้งค่า Identity Provider และ Authorization Server พร้อมป้องกัน Key และตรวจสอบ Token</t>
  </si>
  <si>
    <t xml:space="preserve">ESBIT-IA-13(01)</t>
  </si>
  <si>
    <t xml:space="preserve">IA-13(01)</t>
  </si>
  <si>
    <t xml:space="preserve">Identity Providers and Authorization Servers | Protection of Cryptographic Keys</t>
  </si>
  <si>
    <t xml:space="preserve">Enhances IA-13 (Identity Providers and Authorization Servers): configure and enforce 'Protection of Cryptographic Keys' in addition to the base setting, keep it consistent across applicable systems and document approved exceptions. Base scope: Configure identity providers and authorization servers with protected keys and token validation</t>
  </si>
  <si>
    <t xml:space="preserve">ส่วนขยายของ IA-13: กำหนดค่าและบังคับใช้ 'Protection of Cryptographic Keys' เพิ่มเติมจากค่าพื้นฐาน ให้สอดคล้องทุกระบบที่เกี่ยวข้อง และบันทึกข้อยกเว้น - ตั้งค่า Identity Provider และ Authorization Server พร้อมป้องกัน Key และตรวจสอบ Token</t>
  </si>
  <si>
    <t xml:space="preserve">ESBIT-IA-13(02)</t>
  </si>
  <si>
    <t xml:space="preserve">IA-13(02)</t>
  </si>
  <si>
    <t xml:space="preserve">Identity Providers and Authorization Servers | Verification of Identity Assertions and Access Tokens</t>
  </si>
  <si>
    <t xml:space="preserve">Enhances IA-13 (Identity Providers and Authorization Servers): configure and enforce 'Verification of Identity Assertions and Access Tokens' in addition to the base setting, keep it consistent across applicable systems and document approved exceptions. Base scope: Configure identity providers and authorization servers with protected keys and token validation</t>
  </si>
  <si>
    <t xml:space="preserve">ส่วนขยายของ IA-13: กำหนดค่าและบังคับใช้ 'Verification of Identity Assertions and Access Tokens' เพิ่มเติมจากค่าพื้นฐาน ให้สอดคล้องทุกระบบที่เกี่ยวข้อง และบันทึกข้อยกเว้น - ตั้งค่า Identity Provider และ Authorization Server พร้อมป้องกัน Key และตรวจสอบ Token</t>
  </si>
  <si>
    <t xml:space="preserve">ESBIT-IA-13(03)</t>
  </si>
  <si>
    <t xml:space="preserve">IA-13(03)</t>
  </si>
  <si>
    <t xml:space="preserve">Identity Providers and Authorization Servers | Token Management</t>
  </si>
  <si>
    <t xml:space="preserve">Enhances IA-13 (Identity Providers and Authorization Servers): configure and enforce 'Token Management' in addition to the base setting, keep it consistent across applicable systems and document approved exceptions. Base scope: Configure identity providers and authorization servers with protected keys and token validation</t>
  </si>
  <si>
    <t xml:space="preserve">ส่วนขยายของ IA-13: กำหนดค่าและบังคับใช้ 'Token Management' เพิ่มเติมจากค่าพื้นฐาน ให้สอดคล้องทุกระบบที่เกี่ยวข้อง และบันทึกข้อยกเว้น - ตั้งค่า Identity Provider และ Authorization Server พร้อมป้องกัน Key และตรวจสอบ Token</t>
  </si>
  <si>
    <t xml:space="preserve">ESBIT-IR-01</t>
  </si>
  <si>
    <t xml:space="preserve">IR-01</t>
  </si>
  <si>
    <t xml:space="preserve">Incident Response (IR)</t>
  </si>
  <si>
    <t xml:space="preserve">Not a direct configuration item - define, document, review and communicate the Incident Response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</si>
  <si>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และทบทวนนโยบาย/ขั้นตอนของหมวดการตอบสนองเหตุการณ์ เพื่อเป็นฐานในการกำหนดมาตรฐาน Config</t>
  </si>
  <si>
    <t xml:space="preserve">ESBIT-IR-02</t>
  </si>
  <si>
    <t xml:space="preserve">IR-02</t>
  </si>
  <si>
    <t xml:space="preserve">Incident Response Training</t>
  </si>
  <si>
    <t xml:space="preserve">Not a direct configuration item - training for personnel with incident response roles</t>
  </si>
  <si>
    <t xml:space="preserve">ไม่ใช่การ config โดยตรง - การอบรมบุคลากรที่มีบทบาทตอบสนองเหตุการณ์</t>
  </si>
  <si>
    <t xml:space="preserve">ESBIT-IR-02(01)</t>
  </si>
  <si>
    <t xml:space="preserve">IR-02(01)</t>
  </si>
  <si>
    <t xml:space="preserve">Incident Response Training | Simulated Events</t>
  </si>
  <si>
    <t xml:space="preserve">Not a direct configuration item - enhancement of IR-02 (Incident Response Training): 'Simulated Events'; training for personnel with incident response roles.</t>
  </si>
  <si>
    <t xml:space="preserve">ไม่ใช่การ config โดยตรง - ส่วนขยายของ IR-02: 'Simulated Events' - การอบรมบุคลากรที่มีบทบาทตอบสนองเหตุการณ์</t>
  </si>
  <si>
    <t xml:space="preserve">ESBIT-IR-02(02)</t>
  </si>
  <si>
    <t xml:space="preserve">IR-02(02)</t>
  </si>
  <si>
    <t xml:space="preserve">Incident Response Training | Automated Training Environments</t>
  </si>
  <si>
    <t xml:space="preserve">Not a direct configuration item - enhancement of IR-02 (Incident Response Training): 'Automated Training Environments'; training for personnel with incident response roles.</t>
  </si>
  <si>
    <t xml:space="preserve">ไม่ใช่การ config โดยตรง - ส่วนขยายของ IR-02: 'Automated Training Environments' - การอบรมบุคลากรที่มีบทบาทตอบสนองเหตุการณ์</t>
  </si>
  <si>
    <t xml:space="preserve">ESBIT-IR-02(03)</t>
  </si>
  <si>
    <t xml:space="preserve">IR-02(03)</t>
  </si>
  <si>
    <t xml:space="preserve">Incident Response Training | Breach</t>
  </si>
  <si>
    <t xml:space="preserve">Not a direct configuration item - enhancement of IR-02 (Incident Response Training): 'Breach'; training for personnel with incident response roles.</t>
  </si>
  <si>
    <t xml:space="preserve">ไม่ใช่การ config โดยตรง - ส่วนขยายของ IR-02: 'Breach' - การอบรมบุคลากรที่มีบทบาทตอบสนองเหตุการณ์</t>
  </si>
  <si>
    <t xml:space="preserve">ESBIT-IR-03</t>
  </si>
  <si>
    <t xml:space="preserve">IR-03</t>
  </si>
  <si>
    <t xml:space="preserve">Incident Response Testing</t>
  </si>
  <si>
    <t xml:space="preserve">Not a direct configuration item - testing incident response capability through exercises</t>
  </si>
  <si>
    <t xml:space="preserve">ไม่ใช่การ config โดยตรง - การทดสอบขีดความสามารถตอบสนองเหตุการณ์ด้วยการซ้อม</t>
  </si>
  <si>
    <t xml:space="preserve">ESBIT-IR-03(01)</t>
  </si>
  <si>
    <t xml:space="preserve">IR-03(01)</t>
  </si>
  <si>
    <t xml:space="preserve">Incident Response Testing | Automated Testing</t>
  </si>
  <si>
    <t xml:space="preserve">Not a direct configuration item - enhancement of IR-03 (Incident Response Testing): 'Automated Testing'; testing incident response capability through exercises.</t>
  </si>
  <si>
    <t xml:space="preserve">ไม่ใช่การ config โดยตรง - ส่วนขยายของ IR-03: 'Automated Testing' - การทดสอบขีดความสามารถตอบสนองเหตุการณ์ด้วยการซ้อม</t>
  </si>
  <si>
    <t xml:space="preserve">ESBIT-IR-03(02)</t>
  </si>
  <si>
    <t xml:space="preserve">IR-03(02)</t>
  </si>
  <si>
    <t xml:space="preserve">Incident Response Testing | Coordination with Related Plans</t>
  </si>
  <si>
    <t xml:space="preserve">Not a direct configuration item - enhancement of IR-03 (Incident Response Testing): 'Coordination with Related Plans'; testing incident response capability through exercises.</t>
  </si>
  <si>
    <t xml:space="preserve">ไม่ใช่การ config โดยตรง - ส่วนขยายของ IR-03: 'Coordination with Related Plans' - การทดสอบขีดความสามารถตอบสนองเหตุการณ์ด้วยการซ้อม</t>
  </si>
  <si>
    <t xml:space="preserve">ESBIT-IR-03(03)</t>
  </si>
  <si>
    <t xml:space="preserve">IR-03(03)</t>
  </si>
  <si>
    <t xml:space="preserve">Incident Response Testing | Continuous Improvement</t>
  </si>
  <si>
    <t xml:space="preserve">Not a direct configuration item - enhancement of IR-03 (Incident Response Testing): 'Continuous Improvement'; testing incident response capability through exercises.</t>
  </si>
  <si>
    <t xml:space="preserve">ไม่ใช่การ config โดยตรง - ส่วนขยายของ IR-03: 'Continuous Improvement' - การทดสอบขีดความสามารถตอบสนองเหตุการณ์ด้วยการซ้อม</t>
  </si>
  <si>
    <t xml:space="preserve">ESBIT-IR-04</t>
  </si>
  <si>
    <t xml:space="preserve">IR-04</t>
  </si>
  <si>
    <t xml:space="preserve">Incident Handling</t>
  </si>
  <si>
    <t xml:space="preserve">RS.MA - Incident Management</t>
  </si>
  <si>
    <t xml:space="preserve">RS.MA-01</t>
  </si>
  <si>
    <t xml:space="preserve">The incident response plan is executed in coordination with relevant third parties once an incident is declared</t>
  </si>
  <si>
    <t xml:space="preserve">Configure incident handling tooling (SIEM/SOAR, ticketing, containment actions such as isolate host or block IP)</t>
  </si>
  <si>
    <t xml:space="preserve">ตั้งค่าเครื่องมือจัดการเหตุการณ์ (SIEM/SOAR, Ticket, Containment เช่น Isolate Host/Block IP)</t>
  </si>
  <si>
    <t xml:space="preserve">ESBIT-IR-04(01)</t>
  </si>
  <si>
    <t xml:space="preserve">IR-04(01)</t>
  </si>
  <si>
    <t xml:space="preserve">Incident Handling | Automated Incident Handling Processes</t>
  </si>
  <si>
    <t xml:space="preserve">Enhances IR-04 (Incident Handling): configure and enforce 'Automated Incident Handling Processes'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</si>
  <si>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'Automated Incident Handling Processes'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</si>
  <si>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ESBIT-IR-04(02)</t>
  </si>
  <si>
    <t xml:space="preserve">IR-04(02)</t>
  </si>
  <si>
    <t xml:space="preserve">Incident Handling | Dynamic Reconfiguration</t>
  </si>
  <si>
    <t xml:space="preserve">Enhances IR-04 (Incident Handling): configure and enforce 'Dynamic Reconfiguration'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</si>
  <si>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'Dynamic Reconfiguration'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</si>
  <si>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ESBIT-IR-04(03)</t>
  </si>
  <si>
    <t xml:space="preserve">IR-04(03)</t>
  </si>
  <si>
    <t xml:space="preserve">Incident Handling | Continuity of Operations</t>
  </si>
  <si>
    <t xml:space="preserve">Enhances IR-04 (Incident Handling): configure and enforce 'Continuity of Operations'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</si>
  <si>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'Continuity of Operations'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</si>
  <si>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ESBIT-IR-04(04)</t>
  </si>
  <si>
    <t xml:space="preserve">IR-04(04)</t>
  </si>
  <si>
    <t xml:space="preserve">Incident Handling | Information Correlation</t>
  </si>
  <si>
    <t xml:space="preserve">Enhances IR-04 (Incident Handling): configure and enforce 'Information Correlation'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</si>
  <si>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'Information Correlation'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</si>
  <si>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ESBIT-IR-04(05)</t>
  </si>
  <si>
    <t xml:space="preserve">IR-04(05)</t>
  </si>
  <si>
    <t xml:space="preserve">Incident Handling | Automatic Disabling of System</t>
  </si>
  <si>
    <t xml:space="preserve">Enhances IR-04 (Incident Handling): configure and enforce 'Automatic Disabling of System'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</si>
  <si>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'Automatic Disabling of System'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</si>
  <si>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ESBIT-IR-04(06)</t>
  </si>
  <si>
    <t xml:space="preserve">IR-04(06)</t>
  </si>
  <si>
    <t xml:space="preserve">Incident Handling | Insider Threats</t>
  </si>
  <si>
    <t xml:space="preserve">Enhances IR-04 (Incident Handling): configure and enforce 'Insider Threats'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</si>
  <si>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'Insider Threats'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</si>
  <si>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ESBIT-IR-04(07)</t>
  </si>
  <si>
    <t xml:space="preserve">IR-04(07)</t>
  </si>
  <si>
    <t xml:space="preserve">Incident Handling | Insider Threats - Intra-organization Coordination</t>
  </si>
  <si>
    <t xml:space="preserve">Enhances IR-04 (Incident Handling): configure and enforce 'Insider Threats - Intra-organization Coordination'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</si>
  <si>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'Insider Threats - Intra-organization Coordination'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</si>
  <si>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ESBIT-IR-04(08)</t>
  </si>
  <si>
    <t xml:space="preserve">IR-04(08)</t>
  </si>
  <si>
    <t xml:space="preserve">Incident Handling | Correlation with External Organizations</t>
  </si>
  <si>
    <t xml:space="preserve">Enhances IR-04 (Incident Handling): configure and enforce 'Correlation with External Organizations'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</si>
  <si>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'Correlation with External Organizations'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</si>
  <si>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ESBIT-IR-04(09)</t>
  </si>
  <si>
    <t xml:space="preserve">IR-04(09)</t>
  </si>
  <si>
    <t xml:space="preserve">Incident Handling | Dynamic Response Capability</t>
  </si>
  <si>
    <t xml:space="preserve">Enhances IR-04 (Incident Handling): configure and enforce 'Dynamic Response Capability'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</si>
  <si>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'Dynamic Response Capability'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</si>
  <si>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ESBIT-IR-04(10)</t>
  </si>
  <si>
    <t xml:space="preserve">IR-04(10)</t>
  </si>
  <si>
    <t xml:space="preserve">Incident Handling | Supply Chain Coordination</t>
  </si>
  <si>
    <t xml:space="preserve">Enhances IR-04 (Incident Handling): configure and enforce 'Supply Chain Coordination'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</si>
  <si>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'Supply Chain Coordination'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</si>
  <si>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ESBIT-IR-04(11)</t>
  </si>
  <si>
    <t xml:space="preserve">IR-04(11)</t>
  </si>
  <si>
    <t xml:space="preserve">Incident Handling | Integrated Incident Response Team</t>
  </si>
  <si>
    <t xml:space="preserve">Enhances IR-04 (Incident Handling): configure and enforce 'Integrated Incident Response Team'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</si>
  <si>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'Integrated Incident Response Team'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</si>
  <si>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ESBIT-IR-04(12)</t>
  </si>
  <si>
    <t xml:space="preserve">IR-04(12)</t>
  </si>
  <si>
    <t xml:space="preserve">Incident Handling | Malicious Code and Forensic Analysis</t>
  </si>
  <si>
    <t xml:space="preserve">Enhances IR-04 (Incident Handling): configure and enforce 'Malicious Code and Forensic Analysis'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</si>
  <si>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'Malicious Code and Forensic Analysis'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</si>
  <si>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ESBIT-IR-04(13)</t>
  </si>
  <si>
    <t xml:space="preserve">IR-04(13)</t>
  </si>
  <si>
    <t xml:space="preserve">Incident Handling | Behavior Analysis</t>
  </si>
  <si>
    <t xml:space="preserve">Enhances IR-04 (Incident Handling): configure and enforce 'Behavior Analysis'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</si>
  <si>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'Behavior Analysis'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</si>
  <si>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ESBIT-IR-04(14)</t>
  </si>
  <si>
    <t xml:space="preserve">IR-04(14)</t>
  </si>
  <si>
    <t xml:space="preserve">Incident Handling | Security Operations Center</t>
  </si>
  <si>
    <t xml:space="preserve">Enhances IR-04 (Incident Handling): configure and enforce 'Security Operations Center'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</si>
  <si>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'Security Operations Center'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</si>
  <si>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ESBIT-IR-04(15)</t>
  </si>
  <si>
    <t xml:space="preserve">IR-04(15)</t>
  </si>
  <si>
    <t xml:space="preserve">Incident Handling | Public Relations and Reputation Repair</t>
  </si>
  <si>
    <t xml:space="preserve">Enhances IR-04 (Incident Handling): configure and enforce 'Public Relations and Reputation Repair' in addition to the base setting, keep it consistent across applicable systems and document approved exceptions. Base scope: Configure incident handling tooling (SIEM/SOAR, ticketing, containment actions such as isolate host or block IP)</t>
  </si>
  <si>
    <t xml:space="preserve">ส่วนขยายของ IR-04: กำหนดค่าและบังคับใช้ 'Public Relations and Reputation Repair' เพิ่มเติมจากค่าพื้นฐาน ให้สอดคล้องทุกระบบที่เกี่ยวข้อง และบันทึกข้อยกเว้น - ตั้งค่าเครื่องมือจัดการเหตุการณ์ (SIEM/SOAR, Ticket, Containment เช่น Isolate Host/Block IP)</t>
  </si>
  <si>
    <t xml:space="preserve">ESBIT-IR-05</t>
  </si>
  <si>
    <t xml:space="preserve">IR-05</t>
  </si>
  <si>
    <t xml:space="preserve">Incident Monitoring</t>
  </si>
  <si>
    <t xml:space="preserve">DE.AE-08</t>
  </si>
  <si>
    <t xml:space="preserve">Incidents are declared when adverse events meet the defined incident criteria</t>
  </si>
  <si>
    <t xml:space="preserve">Configure tracking and documentation of incidents in a ticketing or case management tool</t>
  </si>
  <si>
    <t xml:space="preserve">ตั้งค่าการติดตามและบันทึกเหตุการณ์ในระบบ Ticket/Case Management</t>
  </si>
  <si>
    <t xml:space="preserve">ESBIT-IR-05(01)</t>
  </si>
  <si>
    <t xml:space="preserve">IR-05(01)</t>
  </si>
  <si>
    <t xml:space="preserve">Incident Monitoring | Automated Tracking, Data Collection, and Analysis</t>
  </si>
  <si>
    <t xml:space="preserve">Enhances IR-05 (Incident Monitoring): configure and enforce 'Automated Tracking, Data Collection, and Analysis' in addition to the base setting, keep it consistent across applicable systems and document approved exceptions. Base scope: Configure tracking and documentation of incidents in a ticketing or case management tool</t>
  </si>
  <si>
    <t xml:space="preserve">ส่วนขยายของ IR-05: กำหนดค่าและบังคับใช้ 'Automated Tracking, Data Collection, and Analysis' เพิ่มเติมจากค่าพื้นฐาน ให้สอดคล้องทุกระบบที่เกี่ยวข้อง และบันทึกข้อยกเว้น - ตั้งค่าการติดตามและบันทึกเหตุการณ์ในระบบ Ticket/Case Management</t>
  </si>
  <si>
    <t xml:space="preserve">ESBIT-IR-06</t>
  </si>
  <si>
    <t xml:space="preserve">IR-06</t>
  </si>
  <si>
    <t xml:space="preserve">Incident Reporting</t>
  </si>
  <si>
    <t xml:space="preserve">RS.CO - Incident Response Reporting and Communication</t>
  </si>
  <si>
    <t xml:space="preserve">RS.CO-02</t>
  </si>
  <si>
    <t xml:space="preserve">Internal and external stakeholders are notified of incidents</t>
  </si>
  <si>
    <t xml:space="preserve">Not a direct configuration item - reporting incidents to designated authorities within required timeframes</t>
  </si>
  <si>
    <t xml:space="preserve">ไม่ใช่การ config โดยตรง - การรายงานเหตุการณ์ต่อหน่วยงานที่กำหนดตามกรอบเวลา</t>
  </si>
  <si>
    <t xml:space="preserve">ESBIT-IR-06(01)</t>
  </si>
  <si>
    <t xml:space="preserve">IR-06(01)</t>
  </si>
  <si>
    <t xml:space="preserve">Incident Reporting | Automated Reporting</t>
  </si>
  <si>
    <t xml:space="preserve">Not a direct configuration item - enhancement of IR-06 (Incident Reporting): 'Automated Reporting'; reporting incidents to designated authorities within required timeframes.</t>
  </si>
  <si>
    <t xml:space="preserve">ไม่ใช่การ config โดยตรง - ส่วนขยายของ IR-06: 'Automated Reporting' - การรายงานเหตุการณ์ต่อหน่วยงานที่กำหนดตามกรอบเวลา</t>
  </si>
  <si>
    <t xml:space="preserve">ESBIT-IR-06(02)</t>
  </si>
  <si>
    <t xml:space="preserve">IR-06(02)</t>
  </si>
  <si>
    <t xml:space="preserve">Incident Reporting | Vulnerabilities Related to Incidents</t>
  </si>
  <si>
    <t xml:space="preserve">Not a direct configuration item - enhancement of IR-06 (Incident Reporting): 'Vulnerabilities Related to Incidents'; reporting incidents to designated authorities within required timeframes.</t>
  </si>
  <si>
    <t xml:space="preserve">ไม่ใช่การ config โดยตรง - ส่วนขยายของ IR-06: 'Vulnerabilities Related to Incidents' - การรายงานเหตุการณ์ต่อหน่วยงานที่กำหนดตามกรอบเวลา</t>
  </si>
  <si>
    <t xml:space="preserve">ESBIT-IR-06(03)</t>
  </si>
  <si>
    <t xml:space="preserve">IR-06(03)</t>
  </si>
  <si>
    <t xml:space="preserve">Incident Reporting | Supply Chain Coordination</t>
  </si>
  <si>
    <t xml:space="preserve">Not a direct configuration item - enhancement of IR-06 (Incident Reporting): 'Supply Chain Coordination'; reporting incidents to designated authorities within required timeframes.</t>
  </si>
  <si>
    <t xml:space="preserve">ไม่ใช่การ config โดยตรง - ส่วนขยายของ IR-06: 'Supply Chain Coordination' - การรายงานเหตุการณ์ต่อหน่วยงานที่กำหนดตามกรอบเวลา</t>
  </si>
  <si>
    <t xml:space="preserve">ESBIT-IR-07</t>
  </si>
  <si>
    <t xml:space="preserve">IR-07</t>
  </si>
  <si>
    <t xml:space="preserve">Incident Response Assistance</t>
  </si>
  <si>
    <t xml:space="preserve">RS.CO-03</t>
  </si>
  <si>
    <t xml:space="preserve">Information is shared with designated internal and external stakeholders</t>
  </si>
  <si>
    <t xml:space="preserve">Not a direct configuration item - providing incident response support resources to users</t>
  </si>
  <si>
    <t xml:space="preserve">ไม่ใช่การ config โดยตรง - การให้ความช่วยเหลือด้านการตอบสนองเหตุการณ์แก่ผู้ใช้</t>
  </si>
  <si>
    <t xml:space="preserve">ESBIT-IR-07(01)</t>
  </si>
  <si>
    <t xml:space="preserve">IR-07(01)</t>
  </si>
  <si>
    <t xml:space="preserve">Incident Response Assistance | Automation Support for Availability of Information and Support</t>
  </si>
  <si>
    <t xml:space="preserve">Not a direct configuration item - enhancement of IR-07 (Incident Response Assistance): 'Automation Support for Availability of Information and Support'; providing incident response support resources to users.</t>
  </si>
  <si>
    <t xml:space="preserve">ไม่ใช่การ config โดยตรง - ส่วนขยายของ IR-07: 'Automation Support for Availability of Information and Support' - การให้ความช่วยเหลือด้านการตอบสนองเหตุการณ์แก่ผู้ใช้</t>
  </si>
  <si>
    <t xml:space="preserve">ESBIT-IR-08</t>
  </si>
  <si>
    <t xml:space="preserve">IR-08</t>
  </si>
  <si>
    <t xml:space="preserve">Incident Response Plan</t>
  </si>
  <si>
    <t xml:space="preserve">ID.IM-04</t>
  </si>
  <si>
    <t xml:space="preserve">Incident response plans and other cybersecurity plans that affect operations are established, communicated, maintained, and improved</t>
  </si>
  <si>
    <t xml:space="preserve">Not a direct configuration item - documented incident response plan and its maintenance</t>
  </si>
  <si>
    <t xml:space="preserve">ไม่ใช่การ config โดยตรง - แผนตอบสนองเหตุการณ์ที่เป็นลายลักษณ์อักษรและการปรับปรุง</t>
  </si>
  <si>
    <t xml:space="preserve">ESBIT-IR-08(01)</t>
  </si>
  <si>
    <t xml:space="preserve">IR-08(01)</t>
  </si>
  <si>
    <t xml:space="preserve">Incident Response Plan | Breaches</t>
  </si>
  <si>
    <t xml:space="preserve">Not a direct configuration item - enhancement of IR-08 (Incident Response Plan): 'Breaches'; documented incident response plan and its maintenance.</t>
  </si>
  <si>
    <t xml:space="preserve">ไม่ใช่การ config โดยตรง - ส่วนขยายของ IR-08: 'Breaches' - แผนตอบสนองเหตุการณ์ที่เป็นลายลักษณ์อักษรและการปรับปรุง</t>
  </si>
  <si>
    <t xml:space="preserve">ESBIT-IR-09</t>
  </si>
  <si>
    <t xml:space="preserve">IR-09</t>
  </si>
  <si>
    <t xml:space="preserve">Information Spillage Response</t>
  </si>
  <si>
    <t xml:space="preserve">RS.MI - Incident Mitigation</t>
  </si>
  <si>
    <t xml:space="preserve">RS.MI-02</t>
  </si>
  <si>
    <t xml:space="preserve">Incidents are eradicated</t>
  </si>
  <si>
    <t xml:space="preserve">Not a direct configuration item - response procedures for information spillage</t>
  </si>
  <si>
    <t xml:space="preserve">ไม่ใช่การ config โดยตรง - ขั้นตอนตอบสนองกรณีข้อมูลรั่วไหลไปยังระบบที่ไม่ได้รับอนุญาต</t>
  </si>
  <si>
    <t xml:space="preserve">ESBIT-IR-09(02)</t>
  </si>
  <si>
    <t xml:space="preserve">IR-09(02)</t>
  </si>
  <si>
    <t xml:space="preserve">Information Spillage Response | Training</t>
  </si>
  <si>
    <t xml:space="preserve">Not a direct configuration item - enhancement of IR-09 (Information Spillage Response): 'Training'; response procedures for information spillage.</t>
  </si>
  <si>
    <t xml:space="preserve">ไม่ใช่การ config โดยตรง - ส่วนขยายของ IR-09: 'Training' - ขั้นตอนตอบสนองกรณีข้อมูลรั่วไหลไปยังระบบที่ไม่ได้รับอนุญาต</t>
  </si>
  <si>
    <t xml:space="preserve">ESBIT-IR-09(03)</t>
  </si>
  <si>
    <t xml:space="preserve">IR-09(03)</t>
  </si>
  <si>
    <t xml:space="preserve">Information Spillage Response | Post-spill Operations</t>
  </si>
  <si>
    <t xml:space="preserve">Not a direct configuration item - enhancement of IR-09 (Information Spillage Response): 'Post-spill Operations'; response procedures for information spillage.</t>
  </si>
  <si>
    <t xml:space="preserve">ไม่ใช่การ config โดยตรง - ส่วนขยายของ IR-09: 'Post-spill Operations' - ขั้นตอนตอบสนองกรณีข้อมูลรั่วไหลไปยังระบบที่ไม่ได้รับอนุญาต</t>
  </si>
  <si>
    <t xml:space="preserve">ESBIT-IR-09(04)</t>
  </si>
  <si>
    <t xml:space="preserve">IR-09(04)</t>
  </si>
  <si>
    <t xml:space="preserve">Information Spillage Response | Exposure to Unauthorized Personnel</t>
  </si>
  <si>
    <t xml:space="preserve">Not a direct configuration item - enhancement of IR-09 (Information Spillage Response): 'Exposure to Unauthorized Personnel'; response procedures for information spillage.</t>
  </si>
  <si>
    <t xml:space="preserve">ไม่ใช่การ config โดยตรง - ส่วนขยายของ IR-09: 'Exposure to Unauthorized Personnel' - ขั้นตอนตอบสนองกรณีข้อมูลรั่วไหลไปยังระบบที่ไม่ได้รับอนุญาต</t>
  </si>
  <si>
    <t xml:space="preserve">ESBIT-MA-01</t>
  </si>
  <si>
    <t xml:space="preserve">MA-01</t>
  </si>
  <si>
    <t xml:space="preserve">Maintenance (MA)</t>
  </si>
  <si>
    <t xml:space="preserve">Not a direct configuration item - define, document, review and communicate the Maintenance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</si>
  <si>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และทบทวนนโยบาย/ขั้นตอนของหมวดการบำรุงรักษา เพื่อเป็นฐานในการกำหนดมาตรฐาน Config</t>
  </si>
  <si>
    <t xml:space="preserve">ESBIT-MA-02</t>
  </si>
  <si>
    <t xml:space="preserve">MA-02</t>
  </si>
  <si>
    <t xml:space="preserve">Controlled Maintenance</t>
  </si>
  <si>
    <t xml:space="preserve">PR.PS-03</t>
  </si>
  <si>
    <t xml:space="preserve">Hardware is maintained, replaced, and removed commensurate with risk</t>
  </si>
  <si>
    <t xml:space="preserve">Configure approval, scheduling and logging of maintenance activities and equipment removal</t>
  </si>
  <si>
    <t xml:space="preserve">ตั้งค่าการอนุมัติ ตารางงาน และบันทึกงานบำรุงรักษาและการนำอุปกรณ์ออก</t>
  </si>
  <si>
    <t xml:space="preserve">Physical</t>
  </si>
  <si>
    <t xml:space="preserve">ESBIT-MA-02(02)</t>
  </si>
  <si>
    <t xml:space="preserve">MA-02(02)</t>
  </si>
  <si>
    <t xml:space="preserve">Controlled Maintenance | Automated Maintenance Activities</t>
  </si>
  <si>
    <t xml:space="preserve">Enhances MA-02 (Controlled Maintenance): configure and enforce 'Automated Maintenance Activities' in addition to the base setting, keep it consistent across applicable systems and document approved exceptions. Base scope: Configure approval, scheduling and logging of maintenance activities and equipment removal</t>
  </si>
  <si>
    <t xml:space="preserve">ส่วนขยายของ MA-02: กำหนดค่าและบังคับใช้ 'Automated Maintenance Activities' เพิ่มเติมจากค่าพื้นฐาน ให้สอดคล้องทุกระบบที่เกี่ยวข้อง และบันทึกข้อยกเว้น - ตั้งค่าการอนุมัติ ตารางงาน และบันทึกงานบำรุงรักษาและการนำอุปกรณ์ออก</t>
  </si>
  <si>
    <t xml:space="preserve">ESBIT-MA-03</t>
  </si>
  <si>
    <t xml:space="preserve">MA-03</t>
  </si>
  <si>
    <t xml:space="preserve">Maintenance Tools</t>
  </si>
  <si>
    <t xml:space="preserve">Inspect and control maintenance tools, diagnostic software and media before use</t>
  </si>
  <si>
    <t xml:space="preserve">ตรวจสอบและควบคุมเครื่องมือบำรุงรักษาและซอฟต์แวร์วินิจฉัยก่อนใช้งาน</t>
  </si>
  <si>
    <t xml:space="preserve">ESBIT-MA-03(01)</t>
  </si>
  <si>
    <t xml:space="preserve">MA-03(01)</t>
  </si>
  <si>
    <t xml:space="preserve">Maintenance Tools | Inspect Tools</t>
  </si>
  <si>
    <t xml:space="preserve">Enhances MA-03 (Maintenance Tools): configure and enforce 'Inspect Tools' in addition to the base setting, keep it consistent across applicable systems and document approved exceptions. Base scope: Inspect and control maintenance tools, diagnostic software and media before use</t>
  </si>
  <si>
    <t xml:space="preserve">ส่วนขยายของ MA-03: กำหนดค่าและบังคับใช้ 'Inspect Tools' เพิ่มเติมจากค่าพื้นฐาน ให้สอดคล้องทุกระบบที่เกี่ยวข้อง และบันทึกข้อยกเว้น - ตรวจสอบและควบคุมเครื่องมือบำรุงรักษาและซอฟต์แวร์วินิจฉัยก่อนใช้งาน</t>
  </si>
  <si>
    <t xml:space="preserve">ESBIT-MA-03(02)</t>
  </si>
  <si>
    <t xml:space="preserve">MA-03(02)</t>
  </si>
  <si>
    <t xml:space="preserve">Maintenance Tools | Inspect Media</t>
  </si>
  <si>
    <t xml:space="preserve">Enhances MA-03 (Maintenance Tools): configure and enforce 'Inspect Media' in addition to the base setting, keep it consistent across applicable systems and document approved exceptions. Base scope: Inspect and control maintenance tools, diagnostic software and media before use</t>
  </si>
  <si>
    <t xml:space="preserve">ส่วนขยายของ MA-03: กำหนดค่าและบังคับใช้ 'Inspect Media' เพิ่มเติมจากค่าพื้นฐาน ให้สอดคล้องทุกระบบที่เกี่ยวข้อง และบันทึกข้อยกเว้น - ตรวจสอบและควบคุมเครื่องมือบำรุงรักษาและซอฟต์แวร์วินิจฉัยก่อนใช้งาน</t>
  </si>
  <si>
    <t xml:space="preserve">ESBIT-MA-03(03)</t>
  </si>
  <si>
    <t xml:space="preserve">MA-03(03)</t>
  </si>
  <si>
    <t xml:space="preserve">Maintenance Tools | Prevent Unauthorized Removal</t>
  </si>
  <si>
    <t xml:space="preserve">Enhances MA-03 (Maintenance Tools): configure and enforce 'Prevent Unauthorized Removal' in addition to the base setting, keep it consistent across applicable systems and document approved exceptions. Base scope: Inspect and control maintenance tools, diagnostic software and media before use</t>
  </si>
  <si>
    <t xml:space="preserve">ส่วนขยายของ MA-03: กำหนดค่าและบังคับใช้ 'Prevent Unauthorized Removal' เพิ่มเติมจากค่าพื้นฐาน ให้สอดคล้องทุกระบบที่เกี่ยวข้อง และบันทึกข้อยกเว้น - ตรวจสอบและควบคุมเครื่องมือบำรุงรักษาและซอฟต์แวร์วินิจฉัยก่อนใช้งาน</t>
  </si>
  <si>
    <t xml:space="preserve">ESBIT-MA-03(04)</t>
  </si>
  <si>
    <t xml:space="preserve">MA-03(04)</t>
  </si>
  <si>
    <t xml:space="preserve">Maintenance Tools | Restricted Tool Use</t>
  </si>
  <si>
    <t xml:space="preserve">Enhances MA-03 (Maintenance Tools): configure and enforce 'Restricted Tool Use' in addition to the base setting, keep it consistent across applicable systems and document approved exceptions. Base scope: Inspect and control maintenance tools, diagnostic software and media before use</t>
  </si>
  <si>
    <t xml:space="preserve">ส่วนขยายของ MA-03: กำหนดค่าและบังคับใช้ 'Restricted Tool Use' เพิ่มเติมจากค่าพื้นฐาน ให้สอดคล้องทุกระบบที่เกี่ยวข้อง และบันทึกข้อยกเว้น - ตรวจสอบและควบคุมเครื่องมือบำรุงรักษาและซอฟต์แวร์วินิจฉัยก่อนใช้งาน</t>
  </si>
  <si>
    <t xml:space="preserve">ESBIT-MA-03(05)</t>
  </si>
  <si>
    <t xml:space="preserve">MA-03(05)</t>
  </si>
  <si>
    <t xml:space="preserve">Maintenance Tools | Execution with Privilege</t>
  </si>
  <si>
    <t xml:space="preserve">Enhances MA-03 (Maintenance Tools): configure and enforce 'Execution with Privilege' in addition to the base setting, keep it consistent across applicable systems and document approved exceptions. Base scope: Inspect and control maintenance tools, diagnostic software and media before use</t>
  </si>
  <si>
    <t xml:space="preserve">ส่วนขยายของ MA-03: กำหนดค่าและบังคับใช้ 'Execution with Privilege' เพิ่มเติมจากค่าพื้นฐาน ให้สอดคล้องทุกระบบที่เกี่ยวข้อง และบันทึกข้อยกเว้น - ตรวจสอบและควบคุมเครื่องมือบำรุงรักษาและซอฟต์แวร์วินิจฉัยก่อนใช้งาน</t>
  </si>
  <si>
    <t xml:space="preserve">ESBIT-MA-03(06)</t>
  </si>
  <si>
    <t xml:space="preserve">MA-03(06)</t>
  </si>
  <si>
    <t xml:space="preserve">Maintenance Tools | Software Updates and Patches</t>
  </si>
  <si>
    <t xml:space="preserve">Enhances MA-03 (Maintenance Tools): configure and enforce 'Software Updates and Patches' in addition to the base setting, keep it consistent across applicable systems and document approved exceptions. Base scope: Inspect and control maintenance tools, diagnostic software and media before use</t>
  </si>
  <si>
    <t xml:space="preserve">ส่วนขยายของ MA-03: กำหนดค่าและบังคับใช้ 'Software Updates and Patches' เพิ่มเติมจากค่าพื้นฐาน ให้สอดคล้องทุกระบบที่เกี่ยวข้อง และบันทึกข้อยกเว้น - ตรวจสอบและควบคุมเครื่องมือบำรุงรักษาและซอฟต์แวร์วินิจฉัยก่อนใช้งาน</t>
  </si>
  <si>
    <t xml:space="preserve">ESBIT-MA-04</t>
  </si>
  <si>
    <t xml:space="preserve">MA-04</t>
  </si>
  <si>
    <t xml:space="preserve">Nonlocal Maintenance</t>
  </si>
  <si>
    <t xml:space="preserve">Configure MFA, encrypted sessions, logging and session termination for remote maintenance and vendor access</t>
  </si>
  <si>
    <t xml:space="preserve">ตั้งค่า MFA เข้ารหัส บันทึกล็อก และตัด Session สำหรับการบำรุงรักษาระยะไกลและ Vendor</t>
  </si>
  <si>
    <t xml:space="preserve">Network, Physical</t>
  </si>
  <si>
    <t xml:space="preserve">ESBIT-MA-04(01)</t>
  </si>
  <si>
    <t xml:space="preserve">MA-04(01)</t>
  </si>
  <si>
    <t xml:space="preserve">Nonlocal Maintenance | Logging and Review</t>
  </si>
  <si>
    <t xml:space="preserve">Enhances MA-04 (Nonlocal Maintenance): configure and enforce 'Logging and Review' in addition to the base setting, keep it consistent across applicable systems and document approved exceptions. Base scope: Configure MFA, encrypted sessions, logging and session termination for remote maintenance and vendor access</t>
  </si>
  <si>
    <t xml:space="preserve">ส่วนขยายของ MA-04: กำหนดค่าและบังคับใช้ 'Logging and Review' เพิ่มเติมจากค่าพื้นฐาน ให้สอดคล้องทุกระบบที่เกี่ยวข้อง และบันทึกข้อยกเว้น - ตั้งค่า MFA เข้ารหัส บันทึกล็อก และตัด Session สำหรับการบำรุงรักษาระยะไกลและ Vendor</t>
  </si>
  <si>
    <t xml:space="preserve">ESBIT-MA-04(03)</t>
  </si>
  <si>
    <t xml:space="preserve">MA-04(03)</t>
  </si>
  <si>
    <t xml:space="preserve">Nonlocal Maintenance | Comparable Security and Sanitization</t>
  </si>
  <si>
    <t xml:space="preserve">Enhances MA-04 (Nonlocal Maintenance): configure and enforce 'Comparable Security and Sanitization' in addition to the base setting, keep it consistent across applicable systems and document approved exceptions. Base scope: Configure MFA, encrypted sessions, logging and session termination for remote maintenance and vendor access</t>
  </si>
  <si>
    <t xml:space="preserve">ส่วนขยายของ MA-04: กำหนดค่าและบังคับใช้ 'Comparable Security and Sanitization' เพิ่มเติมจากค่าพื้นฐาน ให้สอดคล้องทุกระบบที่เกี่ยวข้อง และบันทึกข้อยกเว้น - ตั้งค่า MFA เข้ารหัส บันทึกล็อก และตัด Session สำหรับการบำรุงรักษาระยะไกลและ Vendor</t>
  </si>
  <si>
    <t xml:space="preserve">ESBIT-MA-04(04)</t>
  </si>
  <si>
    <t xml:space="preserve">MA-04(04)</t>
  </si>
  <si>
    <t xml:space="preserve">Nonlocal Maintenance | Authentication and Separation of Maintenance Sessions</t>
  </si>
  <si>
    <t xml:space="preserve">Enhances MA-04 (Nonlocal Maintenance): configure and enforce 'Authentication and Separation of Maintenance Sessions' in addition to the base setting, keep it consistent across applicable systems and document approved exceptions. Base scope: Configure MFA, encrypted sessions, logging and session termination for remote maintenance and vendor access</t>
  </si>
  <si>
    <t xml:space="preserve">ส่วนขยายของ MA-04: กำหนดค่าและบังคับใช้ 'Authentication and Separation of Maintenance Sessions' เพิ่มเติมจากค่าพื้นฐาน ให้สอดคล้องทุกระบบที่เกี่ยวข้อง และบันทึกข้อยกเว้น - ตั้งค่า MFA เข้ารหัส บันทึกล็อก และตัด Session สำหรับการบำรุงรักษาระยะไกลและ Vendor</t>
  </si>
  <si>
    <t xml:space="preserve">ESBIT-MA-04(05)</t>
  </si>
  <si>
    <t xml:space="preserve">MA-04(05)</t>
  </si>
  <si>
    <t xml:space="preserve">Nonlocal Maintenance | Approvals and Notifications</t>
  </si>
  <si>
    <t xml:space="preserve">Enhances MA-04 (Nonlocal Maintenance): configure and enforce 'Approvals and Notifications' in addition to the base setting, keep it consistent across applicable systems and document approved exceptions. Base scope: Configure MFA, encrypted sessions, logging and session termination for remote maintenance and vendor access</t>
  </si>
  <si>
    <t xml:space="preserve">ส่วนขยายของ MA-04: กำหนดค่าและบังคับใช้ 'Approvals and Notifications' เพิ่มเติมจากค่าพื้นฐาน ให้สอดคล้องทุกระบบที่เกี่ยวข้อง และบันทึกข้อยกเว้น - ตั้งค่า MFA เข้ารหัส บันทึกล็อก และตัด Session สำหรับการบำรุงรักษาระยะไกลและ Vendor</t>
  </si>
  <si>
    <t xml:space="preserve">ESBIT-MA-04(06)</t>
  </si>
  <si>
    <t xml:space="preserve">MA-04(06)</t>
  </si>
  <si>
    <t xml:space="preserve">Nonlocal Maintenance | Cryptographic Protection</t>
  </si>
  <si>
    <t xml:space="preserve">Enhances MA-04 (Nonlocal Maintenance): configure and enforce 'Cryptographic Protection' in addition to the base setting, keep it consistent across applicable systems and document approved exceptions. Base scope: Configure MFA, encrypted sessions, logging and session termination for remote maintenance and vendor access</t>
  </si>
  <si>
    <t xml:space="preserve">ส่วนขยายของ MA-04: กำหนดค่าและบังคับใช้ 'Cryptographic Protection' เพิ่มเติมจากค่าพื้นฐาน ให้สอดคล้องทุกระบบที่เกี่ยวข้อง และบันทึกข้อยกเว้น - ตั้งค่า MFA เข้ารหัส บันทึกล็อก และตัด Session สำหรับการบำรุงรักษาระยะไกลและ Vendor</t>
  </si>
  <si>
    <t xml:space="preserve">ESBIT-MA-04(07)</t>
  </si>
  <si>
    <t xml:space="preserve">MA-04(07)</t>
  </si>
  <si>
    <t xml:space="preserve">Nonlocal Maintenance | Disconnect Verification</t>
  </si>
  <si>
    <t xml:space="preserve">Enhances MA-04 (Nonlocal Maintenance): configure and enforce 'Disconnect Verification' in addition to the base setting, keep it consistent across applicable systems and document approved exceptions. Base scope: Configure MFA, encrypted sessions, logging and session termination for remote maintenance and vendor access</t>
  </si>
  <si>
    <t xml:space="preserve">ส่วนขยายของ MA-04: กำหนดค่าและบังคับใช้ 'Disconnect Verification' เพิ่มเติมจากค่าพื้นฐาน ให้สอดคล้องทุกระบบที่เกี่ยวข้อง และบันทึกข้อยกเว้น - ตั้งค่า MFA เข้ารหัส บันทึกล็อก และตัด Session สำหรับการบำรุงรักษาระยะไกลและ Vendor</t>
  </si>
  <si>
    <t xml:space="preserve">ESBIT-MA-05</t>
  </si>
  <si>
    <t xml:space="preserve">MA-05</t>
  </si>
  <si>
    <t xml:space="preserve">Maintenance Personnel</t>
  </si>
  <si>
    <t xml:space="preserve">Not a direct configuration item - authorization and supervision of maintenance personnel</t>
  </si>
  <si>
    <t xml:space="preserve">ไม่ใช่การ config โดยตรง - การอนุญาตและกำกับดูแลบุคลากรบำรุงรักษา</t>
  </si>
  <si>
    <t xml:space="preserve">ESBIT-MA-05(01)</t>
  </si>
  <si>
    <t xml:space="preserve">MA-05(01)</t>
  </si>
  <si>
    <t xml:space="preserve">Maintenance Personnel | Individuals Without Appropriate Access</t>
  </si>
  <si>
    <t xml:space="preserve">Not a direct configuration item - enhancement of MA-05 (Maintenance Personnel): 'Individuals Without Appropriate Access'; authorization and supervision of maintenance personnel.</t>
  </si>
  <si>
    <t xml:space="preserve">ไม่ใช่การ config โดยตรง - ส่วนขยายของ MA-05: 'Individuals Without Appropriate Access' - การอนุญาตและกำกับดูแลบุคลากรบำรุงรักษา</t>
  </si>
  <si>
    <t xml:space="preserve">ESBIT-MA-05(02)</t>
  </si>
  <si>
    <t xml:space="preserve">MA-05(02)</t>
  </si>
  <si>
    <t xml:space="preserve">Maintenance Personnel | Security Clearances for Classified Systems</t>
  </si>
  <si>
    <t xml:space="preserve">Not a direct configuration item - enhancement of MA-05 (Maintenance Personnel): 'Security Clearances for Classified Systems'; authorization and supervision of maintenance personnel.</t>
  </si>
  <si>
    <t xml:space="preserve">ไม่ใช่การ config โดยตรง - ส่วนขยายของ MA-05: 'Security Clearances for Classified Systems' - การอนุญาตและกำกับดูแลบุคลากรบำรุงรักษา</t>
  </si>
  <si>
    <t xml:space="preserve">ESBIT-MA-05(03)</t>
  </si>
  <si>
    <t xml:space="preserve">MA-05(03)</t>
  </si>
  <si>
    <t xml:space="preserve">Maintenance Personnel | Citizenship Requirements for Classified Systems</t>
  </si>
  <si>
    <t xml:space="preserve">Not a direct configuration item - enhancement of MA-05 (Maintenance Personnel): 'Citizenship Requirements for Classified Systems'; authorization and supervision of maintenance personnel.</t>
  </si>
  <si>
    <t xml:space="preserve">ไม่ใช่การ config โดยตรง - ส่วนขยายของ MA-05: 'Citizenship Requirements for Classified Systems' - การอนุญาตและกำกับดูแลบุคลากรบำรุงรักษา</t>
  </si>
  <si>
    <t xml:space="preserve">ESBIT-MA-05(04)</t>
  </si>
  <si>
    <t xml:space="preserve">MA-05(04)</t>
  </si>
  <si>
    <t xml:space="preserve">Maintenance Personnel | Foreign Nationals</t>
  </si>
  <si>
    <t xml:space="preserve">Not a direct configuration item - enhancement of MA-05 (Maintenance Personnel): 'Foreign Nationals'; authorization and supervision of maintenance personnel.</t>
  </si>
  <si>
    <t xml:space="preserve">ไม่ใช่การ config โดยตรง - ส่วนขยายของ MA-05: 'Foreign Nationals' - การอนุญาตและกำกับดูแลบุคลากรบำรุงรักษา</t>
  </si>
  <si>
    <t xml:space="preserve">ESBIT-MA-05(05)</t>
  </si>
  <si>
    <t xml:space="preserve">MA-05(05)</t>
  </si>
  <si>
    <t xml:space="preserve">Maintenance Personnel | Non-system Maintenance</t>
  </si>
  <si>
    <t xml:space="preserve">Not a direct configuration item - enhancement of MA-05 (Maintenance Personnel): 'Non-system Maintenance'; authorization and supervision of maintenance personnel.</t>
  </si>
  <si>
    <t xml:space="preserve">ไม่ใช่การ config โดยตรง - ส่วนขยายของ MA-05: 'Non-system Maintenance' - การอนุญาตและกำกับดูแลบุคลากรบำรุงรักษา</t>
  </si>
  <si>
    <t xml:space="preserve">ESBIT-MA-06</t>
  </si>
  <si>
    <t xml:space="preserve">MA-06</t>
  </si>
  <si>
    <t xml:space="preserve">Timely Maintenance</t>
  </si>
  <si>
    <t xml:space="preserve">Obtain maintenance support and spare parts within defined time for critical components</t>
  </si>
  <si>
    <t xml:space="preserve">จัดให้มีการบำรุงรักษาและอะไหล่ภายในเวลาที่กำหนดสำหรับคอมโพเนนต์สำคัญ</t>
  </si>
  <si>
    <t xml:space="preserve">ESBIT-MA-06(01)</t>
  </si>
  <si>
    <t xml:space="preserve">MA-06(01)</t>
  </si>
  <si>
    <t xml:space="preserve">Timely Maintenance | Preventive Maintenance</t>
  </si>
  <si>
    <t xml:space="preserve">Enhances MA-06 (Timely Maintenance): configure and enforce 'Preventive Maintenance' in addition to the base setting, keep it consistent across applicable systems and document approved exceptions. Base scope: Obtain maintenance support and spare parts within defined time for critical components</t>
  </si>
  <si>
    <t xml:space="preserve">ส่วนขยายของ MA-06: กำหนดค่าและบังคับใช้ 'Preventive Maintenance' เพิ่มเติมจากค่าพื้นฐาน ให้สอดคล้องทุกระบบที่เกี่ยวข้อง และบันทึกข้อยกเว้น - จัดให้มีการบำรุงรักษาและอะไหล่ภายในเวลาที่กำหนดสำหรับคอมโพเนนต์สำคัญ</t>
  </si>
  <si>
    <t xml:space="preserve">ESBIT-MA-06(02)</t>
  </si>
  <si>
    <t xml:space="preserve">MA-06(02)</t>
  </si>
  <si>
    <t xml:space="preserve">Timely Maintenance | Predictive Maintenance</t>
  </si>
  <si>
    <t xml:space="preserve">Enhances MA-06 (Timely Maintenance): configure and enforce 'Predictive Maintenance' in addition to the base setting, keep it consistent across applicable systems and document approved exceptions. Base scope: Obtain maintenance support and spare parts within defined time for critical components</t>
  </si>
  <si>
    <t xml:space="preserve">ส่วนขยายของ MA-06: กำหนดค่าและบังคับใช้ 'Predictive Maintenance' เพิ่มเติมจากค่าพื้นฐาน ให้สอดคล้องทุกระบบที่เกี่ยวข้อง และบันทึกข้อยกเว้น - จัดให้มีการบำรุงรักษาและอะไหล่ภายในเวลาที่กำหนดสำหรับคอมโพเนนต์สำคัญ</t>
  </si>
  <si>
    <t xml:space="preserve">ESBIT-MA-06(03)</t>
  </si>
  <si>
    <t xml:space="preserve">MA-06(03)</t>
  </si>
  <si>
    <t xml:space="preserve">Timely Maintenance | Automated Support for Predictive Maintenance</t>
  </si>
  <si>
    <t xml:space="preserve">Enhances MA-06 (Timely Maintenance): configure and enforce 'Automated Support for Predictive Maintenance' in addition to the base setting, keep it consistent across applicable systems and document approved exceptions. Base scope: Obtain maintenance support and spare parts within defined time for critical components</t>
  </si>
  <si>
    <t xml:space="preserve">ส่วนขยายของ MA-06: กำหนดค่าและบังคับใช้ 'Automated Support for Predictive Maintenance' เพิ่มเติมจากค่าพื้นฐาน ให้สอดคล้องทุกระบบที่เกี่ยวข้อง และบันทึกข้อยกเว้น - จัดให้มีการบำรุงรักษาและอะไหล่ภายในเวลาที่กำหนดสำหรับคอมโพเนนต์สำคัญ</t>
  </si>
  <si>
    <t xml:space="preserve">ESBIT-MA-07</t>
  </si>
  <si>
    <t xml:space="preserve">MA-07</t>
  </si>
  <si>
    <t xml:space="preserve">Field Maintenance</t>
  </si>
  <si>
    <t xml:space="preserve">Restrict or prohibit field maintenance on systems or components in high-risk areas</t>
  </si>
  <si>
    <t xml:space="preserve">จำกัดหรือห้ามบำรุงรักษาภาคสนามในพื้นที่เสี่ยงสูง</t>
  </si>
  <si>
    <t xml:space="preserve">ESBIT-MP-01</t>
  </si>
  <si>
    <t xml:space="preserve">MP-01</t>
  </si>
  <si>
    <t xml:space="preserve">Media Protection (MP)</t>
  </si>
  <si>
    <t xml:space="preserve">Not a direct configuration item - define, document, review and communicate the Media Protection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</si>
  <si>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และทบทวนนโยบาย/ขั้นตอนของหมวดการป้องกันสื่อบันทึกข้อมูล เพื่อเป็นฐานในการกำหนดมาตรฐาน Config</t>
  </si>
  <si>
    <t xml:space="preserve">ESBIT-MP-02</t>
  </si>
  <si>
    <t xml:space="preserve">MP-02</t>
  </si>
  <si>
    <t xml:space="preserve">Media Access</t>
  </si>
  <si>
    <t xml:space="preserve">Restrict access to digital and non-digital media to authorized users; disable USB/removable media ports</t>
  </si>
  <si>
    <t xml:space="preserve">จำกัดการเข้าถึงสื่อบันทึกเฉพาะผู้มีสิทธิ์ และปิดพอร์ต USB/Removable Media</t>
  </si>
  <si>
    <t xml:space="preserve">ESBIT-MP-03</t>
  </si>
  <si>
    <t xml:space="preserve">MP-03</t>
  </si>
  <si>
    <t xml:space="preserve">Media Marking</t>
  </si>
  <si>
    <t xml:space="preserve">Mark media with distribution limitations and data classification</t>
  </si>
  <si>
    <t xml:space="preserve">ติดป้ายสื่อบันทึกตามข้อจำกัดการเผยแพร่และชั้นความลับ</t>
  </si>
  <si>
    <t xml:space="preserve">ESBIT-MP-04</t>
  </si>
  <si>
    <t xml:space="preserve">MP-04</t>
  </si>
  <si>
    <t xml:space="preserve">Media Storage</t>
  </si>
  <si>
    <t xml:space="preserve">Secure storage of media in controlled locations with access restriction</t>
  </si>
  <si>
    <t xml:space="preserve">จัดเก็บสื่อบันทึกในสถานที่ควบคุมและจำกัดการเข้าถึง</t>
  </si>
  <si>
    <t xml:space="preserve">ESBIT-MP-04(02)</t>
  </si>
  <si>
    <t xml:space="preserve">MP-04(02)</t>
  </si>
  <si>
    <t xml:space="preserve">Media Storage | Automated Restricted Access</t>
  </si>
  <si>
    <t xml:space="preserve">Enhances MP-04 (Media Storage): configure and enforce 'Automated Restricted Access' in addition to the base setting, keep it consistent across applicable systems and document approved exceptions. Base scope: Secure storage of media in controlled locations with access restriction</t>
  </si>
  <si>
    <t xml:space="preserve">ส่วนขยายของ MP-04: กำหนดค่าและบังคับใช้ 'Automated Restricted Access' เพิ่มเติมจากค่าพื้นฐาน ให้สอดคล้องทุกระบบที่เกี่ยวข้อง และบันทึกข้อยกเว้น - จัดเก็บสื่อบันทึกในสถานที่ควบคุมและจำกัดการเข้าถึง</t>
  </si>
  <si>
    <t xml:space="preserve">ESBIT-MP-05</t>
  </si>
  <si>
    <t xml:space="preserve">MP-05</t>
  </si>
  <si>
    <t xml:space="preserve">Media Transport</t>
  </si>
  <si>
    <t xml:space="preserve">PR.DS-02</t>
  </si>
  <si>
    <t xml:space="preserve">The confidentiality, integrity, and availability of data-in-transit are protected</t>
  </si>
  <si>
    <t xml:space="preserve">Configure encryption and tracking for media in transport</t>
  </si>
  <si>
    <t xml:space="preserve">ตั้งค่าการเข้ารหัสและติดตามสื่อบันทึกระหว่างขนส่ง</t>
  </si>
  <si>
    <t xml:space="preserve">ESBIT-MP-05(03)</t>
  </si>
  <si>
    <t xml:space="preserve">MP-05(03)</t>
  </si>
  <si>
    <t xml:space="preserve">Media Transport | Custodians</t>
  </si>
  <si>
    <t xml:space="preserve">Enhances MP-05 (Media Transport): configure and enforce 'Custodians' in addition to the base setting, keep it consistent across applicable systems and document approved exceptions. Base scope: Configure encryption and tracking for media in transport</t>
  </si>
  <si>
    <t xml:space="preserve">ส่วนขยายของ MP-05: กำหนดค่าและบังคับใช้ 'Custodians' เพิ่มเติมจากค่าพื้นฐาน ให้สอดคล้องทุกระบบที่เกี่ยวข้อง และบันทึกข้อยกเว้น - ตั้งค่าการเข้ารหัสและติดตามสื่อบันทึกระหว่างขนส่ง</t>
  </si>
  <si>
    <t xml:space="preserve">ESBIT-MP-05(04)</t>
  </si>
  <si>
    <t xml:space="preserve">MP-05(04)</t>
  </si>
  <si>
    <t xml:space="preserve">Media Transport | Cryptographic Protection</t>
  </si>
  <si>
    <t xml:space="preserve">Enhances MP-05 (Media Transport): configure and enforce 'Cryptographic Protection' in addition to the base setting, keep it consistent across applicable systems and document approved exceptions. Base scope: Configure encryption and tracking for media in transport</t>
  </si>
  <si>
    <t xml:space="preserve">ส่วนขยายของ MP-05: กำหนดค่าและบังคับใช้ 'Cryptographic Protection' เพิ่มเติมจากค่าพื้นฐาน ให้สอดคล้องทุกระบบที่เกี่ยวข้อง และบันทึกข้อยกเว้น - ตั้งค่าการเข้ารหัสและติดตามสื่อบันทึกระหว่างขนส่ง</t>
  </si>
  <si>
    <t xml:space="preserve">ESBIT-MP-06</t>
  </si>
  <si>
    <t xml:space="preserve">MP-06</t>
  </si>
  <si>
    <t xml:space="preserve">Media Sanitization</t>
  </si>
  <si>
    <t xml:space="preserve">Configure secure wipe or destruction (NIST 800-88) before reuse or disposal of disks, devices and cloud volumes</t>
  </si>
  <si>
    <t xml:space="preserve">ตั้งค่าการลบข้อมูลอย่างปลอดภัย (NIST 800-88) ก่อนนำ Disk/อุปกรณ์/Cloud Volume กลับมาใช้หรือทิ้ง</t>
  </si>
  <si>
    <t xml:space="preserve">Cloud, Physical</t>
  </si>
  <si>
    <t xml:space="preserve">ESBIT-MP-06(01)</t>
  </si>
  <si>
    <t xml:space="preserve">MP-06(01)</t>
  </si>
  <si>
    <t xml:space="preserve">Media Sanitization | Review, Approve, Track, Document, and Verify</t>
  </si>
  <si>
    <t xml:space="preserve">Enhances MP-06 (Media Sanitization): configure and enforce 'Review, Approve, Track, Document, and Verify' in addition to the base setting, keep it consistent across applicable systems and document approved exceptions. Base scope: Configure secure wipe or destruction (NIST 800-88) before reuse or disposal of disks, devices and cloud volumes</t>
  </si>
  <si>
    <t xml:space="preserve">ส่วนขยายของ MP-06: กำหนดค่าและบังคับใช้ 'Review, Approve, Track, Document, and Verify' เพิ่มเติมจากค่าพื้นฐาน ให้สอดคล้องทุกระบบที่เกี่ยวข้อง และบันทึกข้อยกเว้น - ตั้งค่าการลบข้อมูลอย่างปลอดภัย (NIST 800-88) ก่อนนำ Disk/อุปกรณ์/Cloud Volume กลับมาใช้หรือทิ้ง</t>
  </si>
  <si>
    <t xml:space="preserve">ESBIT-MP-06(02)</t>
  </si>
  <si>
    <t xml:space="preserve">MP-06(02)</t>
  </si>
  <si>
    <t xml:space="preserve">Media Sanitization | Equipment Testing</t>
  </si>
  <si>
    <t xml:space="preserve">Enhances MP-06 (Media Sanitization): configure and enforce 'Equipment Testing' in addition to the base setting, keep it consistent across applicable systems and document approved exceptions. Base scope: Configure secure wipe or destruction (NIST 800-88) before reuse or disposal of disks, devices and cloud volumes</t>
  </si>
  <si>
    <t xml:space="preserve">ส่วนขยายของ MP-06: กำหนดค่าและบังคับใช้ 'Equipment Testing' เพิ่มเติมจากค่าพื้นฐาน ให้สอดคล้องทุกระบบที่เกี่ยวข้อง และบันทึกข้อยกเว้น - ตั้งค่าการลบข้อมูลอย่างปลอดภัย (NIST 800-88) ก่อนนำ Disk/อุปกรณ์/Cloud Volume กลับมาใช้หรือทิ้ง</t>
  </si>
  <si>
    <t xml:space="preserve">ESBIT-MP-06(03)</t>
  </si>
  <si>
    <t xml:space="preserve">MP-06(03)</t>
  </si>
  <si>
    <t xml:space="preserve">Media Sanitization | Nondestructive Techniques</t>
  </si>
  <si>
    <t xml:space="preserve">Enhances MP-06 (Media Sanitization): configure and enforce 'Nondestructive Techniques' in addition to the base setting, keep it consistent across applicable systems and document approved exceptions. Base scope: Configure secure wipe or destruction (NIST 800-88) before reuse or disposal of disks, devices and cloud volumes</t>
  </si>
  <si>
    <t xml:space="preserve">ส่วนขยายของ MP-06: กำหนดค่าและบังคับใช้ 'Nondestructive Techniques' เพิ่มเติมจากค่าพื้นฐาน ให้สอดคล้องทุกระบบที่เกี่ยวข้อง และบันทึกข้อยกเว้น - ตั้งค่าการลบข้อมูลอย่างปลอดภัย (NIST 800-88) ก่อนนำ Disk/อุปกรณ์/Cloud Volume กลับมาใช้หรือทิ้ง</t>
  </si>
  <si>
    <t xml:space="preserve">ESBIT-MP-06(07)</t>
  </si>
  <si>
    <t xml:space="preserve">MP-06(07)</t>
  </si>
  <si>
    <t xml:space="preserve">Media Sanitization | Dual Authorization</t>
  </si>
  <si>
    <t xml:space="preserve">Enhances MP-06 (Media Sanitization): configure and enforce 'Dual Authorization' in addition to the base setting, keep it consistent across applicable systems and document approved exceptions. Base scope: Configure secure wipe or destruction (NIST 800-88) before reuse or disposal of disks, devices and cloud volumes</t>
  </si>
  <si>
    <t xml:space="preserve">ส่วนขยายของ MP-06: กำหนดค่าและบังคับใช้ 'Dual Authorization' เพิ่มเติมจากค่าพื้นฐาน ให้สอดคล้องทุกระบบที่เกี่ยวข้อง และบันทึกข้อยกเว้น - ตั้งค่าการลบข้อมูลอย่างปลอดภัย (NIST 800-88) ก่อนนำ Disk/อุปกรณ์/Cloud Volume กลับมาใช้หรือทิ้ง</t>
  </si>
  <si>
    <t xml:space="preserve">ESBIT-MP-06(08)</t>
  </si>
  <si>
    <t xml:space="preserve">MP-06(08)</t>
  </si>
  <si>
    <t xml:space="preserve">Media Sanitization | Remote Purging or Wiping of Information</t>
  </si>
  <si>
    <t xml:space="preserve">Enhances MP-06 (Media Sanitization): configure and enforce 'Remote Purging or Wiping of Information' in addition to the base setting, keep it consistent across applicable systems and document approved exceptions. Base scope: Configure secure wipe or destruction (NIST 800-88) before reuse or disposal of disks, devices and cloud volumes</t>
  </si>
  <si>
    <t xml:space="preserve">ส่วนขยายของ MP-06: กำหนดค่าและบังคับใช้ 'Remote Purging or Wiping of Information' เพิ่มเติมจากค่าพื้นฐาน ให้สอดคล้องทุกระบบที่เกี่ยวข้อง และบันทึกข้อยกเว้น - ตั้งค่าการลบข้อมูลอย่างปลอดภัย (NIST 800-88) ก่อนนำ Disk/อุปกรณ์/Cloud Volume กลับมาใช้หรือทิ้ง</t>
  </si>
  <si>
    <t xml:space="preserve">ESBIT-MP-07</t>
  </si>
  <si>
    <t xml:space="preserve">MP-07</t>
  </si>
  <si>
    <t xml:space="preserve">Media Use</t>
  </si>
  <si>
    <t xml:space="preserve">Configure endpoint controls restricting use of removable media</t>
  </si>
  <si>
    <t xml:space="preserve">ตั้งค่า Endpoint Control จำกัดการใช้ Removable Media</t>
  </si>
  <si>
    <t xml:space="preserve">ESBIT-MP-08</t>
  </si>
  <si>
    <t xml:space="preserve">MP-08</t>
  </si>
  <si>
    <t xml:space="preserve">Media Downgrading</t>
  </si>
  <si>
    <t xml:space="preserve">Downgrade media in accordance with classification and sanitization procedures</t>
  </si>
  <si>
    <t xml:space="preserve">ลดชั้นความลับของสื่อตามขั้นตอนการลบข้อมูลที่กำหนด</t>
  </si>
  <si>
    <t xml:space="preserve">ESBIT-MP-08(01)</t>
  </si>
  <si>
    <t xml:space="preserve">MP-08(01)</t>
  </si>
  <si>
    <t xml:space="preserve">Media Downgrading | Documentation of Process</t>
  </si>
  <si>
    <t xml:space="preserve">Enhances MP-08 (Media Downgrading): configure and enforce 'Documentation of Process' in addition to the base setting, keep it consistent across applicable systems and document approved exceptions. Base scope: Downgrade media in accordance with classification and sanitization procedures</t>
  </si>
  <si>
    <t xml:space="preserve">ส่วนขยายของ MP-08: กำหนดค่าและบังคับใช้ 'Documentation of Process' เพิ่มเติมจากค่าพื้นฐาน ให้สอดคล้องทุกระบบที่เกี่ยวข้อง และบันทึกข้อยกเว้น - ลดชั้นความลับของสื่อตามขั้นตอนการลบข้อมูลที่กำหนด</t>
  </si>
  <si>
    <t xml:space="preserve">ESBIT-MP-08(02)</t>
  </si>
  <si>
    <t xml:space="preserve">MP-08(02)</t>
  </si>
  <si>
    <t xml:space="preserve">Media Downgrading | Equipment Testing</t>
  </si>
  <si>
    <t xml:space="preserve">Enhances MP-08 (Media Downgrading): configure and enforce 'Equipment Testing' in addition to the base setting, keep it consistent across applicable systems and document approved exceptions. Base scope: Downgrade media in accordance with classification and sanitization procedures</t>
  </si>
  <si>
    <t xml:space="preserve">ส่วนขยายของ MP-08: กำหนดค่าและบังคับใช้ 'Equipment Testing' เพิ่มเติมจากค่าพื้นฐาน ให้สอดคล้องทุกระบบที่เกี่ยวข้อง และบันทึกข้อยกเว้น - ลดชั้นความลับของสื่อตามขั้นตอนการลบข้อมูลที่กำหนด</t>
  </si>
  <si>
    <t xml:space="preserve">ESBIT-MP-08(03)</t>
  </si>
  <si>
    <t xml:space="preserve">MP-08(03)</t>
  </si>
  <si>
    <t xml:space="preserve">Media Downgrading | Controlled Unclassified Information</t>
  </si>
  <si>
    <t xml:space="preserve">Enhances MP-08 (Media Downgrading): configure and enforce 'Controlled Unclassified Information' in addition to the base setting, keep it consistent across applicable systems and document approved exceptions. Base scope: Downgrade media in accordance with classification and sanitization procedures</t>
  </si>
  <si>
    <t xml:space="preserve">ส่วนขยายของ MP-08: กำหนดค่าและบังคับใช้ 'Controlled Unclassified Information' เพิ่มเติมจากค่าพื้นฐาน ให้สอดคล้องทุกระบบที่เกี่ยวข้อง และบันทึกข้อยกเว้น - ลดชั้นความลับของสื่อตามขั้นตอนการลบข้อมูลที่กำหนด</t>
  </si>
  <si>
    <t xml:space="preserve">ESBIT-MP-08(04)</t>
  </si>
  <si>
    <t xml:space="preserve">MP-08(04)</t>
  </si>
  <si>
    <t xml:space="preserve">Media Downgrading | Classified Information</t>
  </si>
  <si>
    <t xml:space="preserve">Enhances MP-08 (Media Downgrading): configure and enforce 'Classified Information' in addition to the base setting, keep it consistent across applicable systems and document approved exceptions. Base scope: Downgrade media in accordance with classification and sanitization procedures</t>
  </si>
  <si>
    <t xml:space="preserve">ส่วนขยายของ MP-08: กำหนดค่าและบังคับใช้ 'Classified Information' เพิ่มเติมจากค่าพื้นฐาน ให้สอดคล้องทุกระบบที่เกี่ยวข้อง และบันทึกข้อยกเว้น - ลดชั้นความลับของสื่อตามขั้นตอนการลบข้อมูลที่กำหนด</t>
  </si>
  <si>
    <t xml:space="preserve">ESBIT-PE-01</t>
  </si>
  <si>
    <t xml:space="preserve">PE-01</t>
  </si>
  <si>
    <t xml:space="preserve">Physical and Environmental Protection (PE)</t>
  </si>
  <si>
    <t xml:space="preserve">Not a direct configuration item - define, document, review and communicate the Physical and Environmental Protection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</si>
  <si>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และทบทวนนโยบาย/ขั้นตอนของหมวดการรักษาความปลอดภัยทางกายภาพและสิ่งแวดล้อม เพื่อเป็นฐานในการกำหนดมาตรฐาน Config</t>
  </si>
  <si>
    <t xml:space="preserve">ESBIT-PE-02</t>
  </si>
  <si>
    <t xml:space="preserve">PE-02</t>
  </si>
  <si>
    <t xml:space="preserve">Physical Access Authorizations</t>
  </si>
  <si>
    <t xml:space="preserve">PR.AA-06</t>
  </si>
  <si>
    <t xml:space="preserve">Physical access to assets is managed, monitored, and enforced commensurate with risk</t>
  </si>
  <si>
    <t xml:space="preserve">Not a direct configuration item - authorized physical access lists and credentials for facilities</t>
  </si>
  <si>
    <t xml:space="preserve">ไม่ใช่การ config โดยตรง - รายชื่อผู้มีสิทธิ์เข้าสถานที่และ Credential</t>
  </si>
  <si>
    <t xml:space="preserve">ESBIT-PE-02(01)</t>
  </si>
  <si>
    <t xml:space="preserve">PE-02(01)</t>
  </si>
  <si>
    <t xml:space="preserve">Physical Access Authorizations | Access by Position or Role</t>
  </si>
  <si>
    <t xml:space="preserve">Not a direct configuration item - enhancement of PE-02 (Physical Access Authorizations): 'Access by Position or Role'; authorized physical access lists and credentials for facilities.</t>
  </si>
  <si>
    <t xml:space="preserve">ไม่ใช่การ config โดยตรง - ส่วนขยายของ PE-02: 'Access by Position or Role' - รายชื่อผู้มีสิทธิ์เข้าสถานที่และ Credential</t>
  </si>
  <si>
    <t xml:space="preserve">ESBIT-PE-02(02)</t>
  </si>
  <si>
    <t xml:space="preserve">PE-02(02)</t>
  </si>
  <si>
    <t xml:space="preserve">Physical Access Authorizations | Two Forms of Identification</t>
  </si>
  <si>
    <t xml:space="preserve">Not a direct configuration item - enhancement of PE-02 (Physical Access Authorizations): 'Two Forms of Identification'; authorized physical access lists and credentials for facilities.</t>
  </si>
  <si>
    <t xml:space="preserve">ไม่ใช่การ config โดยตรง - ส่วนขยายของ PE-02: 'Two Forms of Identification' - รายชื่อผู้มีสิทธิ์เข้าสถานที่และ Credential</t>
  </si>
  <si>
    <t xml:space="preserve">ESBIT-PE-02(03)</t>
  </si>
  <si>
    <t xml:space="preserve">PE-02(03)</t>
  </si>
  <si>
    <t xml:space="preserve">Physical Access Authorizations | Restrict Unescorted Access</t>
  </si>
  <si>
    <t xml:space="preserve">Not a direct configuration item - enhancement of PE-02 (Physical Access Authorizations): 'Restrict Unescorted Access'; authorized physical access lists and credentials for facilities.</t>
  </si>
  <si>
    <t xml:space="preserve">ไม่ใช่การ config โดยตรง - ส่วนขยายของ PE-02: 'Restrict Unescorted Access' - รายชื่อผู้มีสิทธิ์เข้าสถานที่และ Credential</t>
  </si>
  <si>
    <t xml:space="preserve">ESBIT-PE-03</t>
  </si>
  <si>
    <t xml:space="preserve">PE-03</t>
  </si>
  <si>
    <t xml:space="preserve">Physical Access Control</t>
  </si>
  <si>
    <t xml:space="preserve">Configure badge/biometric access control, logs and locks for data centers and network rooms</t>
  </si>
  <si>
    <t xml:space="preserve">ตั้งค่าระบบ Badge/Biometric บันทึกการเข้าออก และกุญแจสำหรับ Data Center/ห้อง Network</t>
  </si>
  <si>
    <t xml:space="preserve">ESBIT-PE-03(01)</t>
  </si>
  <si>
    <t xml:space="preserve">PE-03(01)</t>
  </si>
  <si>
    <t xml:space="preserve">Physical Access Control | System Access</t>
  </si>
  <si>
    <t xml:space="preserve">Enhances PE-03 (Physical Access Control): configure and enforce 'System Access' in addition to the base setting, keep it consistent across applicable systems and document approved exceptions. Base scope: Configure badge/biometric access control, logs and locks for data centers and network rooms</t>
  </si>
  <si>
    <t xml:space="preserve">ส่วนขยายของ PE-03: กำหนดค่าและบังคับใช้ 'System Access' เพิ่มเติมจากค่าพื้นฐาน ให้สอดคล้องทุกระบบที่เกี่ยวข้อง และบันทึกข้อยกเว้น - ตั้งค่าระบบ Badge/Biometric บันทึกการเข้าออก และกุญแจสำหรับ Data Center/ห้อง Network</t>
  </si>
  <si>
    <t xml:space="preserve">ESBIT-PE-03(02)</t>
  </si>
  <si>
    <t xml:space="preserve">PE-03(02)</t>
  </si>
  <si>
    <t xml:space="preserve">Physical Access Control | Facility and Systems</t>
  </si>
  <si>
    <t xml:space="preserve">Enhances PE-03 (Physical Access Control): configure and enforce 'Facility and Systems' in addition to the base setting, keep it consistent across applicable systems and document approved exceptions. Base scope: Configure badge/biometric access control, logs and locks for data centers and network rooms</t>
  </si>
  <si>
    <t xml:space="preserve">ส่วนขยายของ PE-03: กำหนดค่าและบังคับใช้ 'Facility and Systems' เพิ่มเติมจากค่าพื้นฐาน ให้สอดคล้องทุกระบบที่เกี่ยวข้อง และบันทึกข้อยกเว้น - ตั้งค่าระบบ Badge/Biometric บันทึกการเข้าออก และกุญแจสำหรับ Data Center/ห้อง Network</t>
  </si>
  <si>
    <t xml:space="preserve">ESBIT-PE-03(03)</t>
  </si>
  <si>
    <t xml:space="preserve">PE-03(03)</t>
  </si>
  <si>
    <t xml:space="preserve">Physical Access Control | Continuous Guards</t>
  </si>
  <si>
    <t xml:space="preserve">Enhances PE-03 (Physical Access Control): configure and enforce 'Continuous Guards' in addition to the base setting, keep it consistent across applicable systems and document approved exceptions. Base scope: Configure badge/biometric access control, logs and locks for data centers and network rooms</t>
  </si>
  <si>
    <t xml:space="preserve">ส่วนขยายของ PE-03: กำหนดค่าและบังคับใช้ 'Continuous Guards' เพิ่มเติมจากค่าพื้นฐาน ให้สอดคล้องทุกระบบที่เกี่ยวข้อง และบันทึกข้อยกเว้น - ตั้งค่าระบบ Badge/Biometric บันทึกการเข้าออก และกุญแจสำหรับ Data Center/ห้อง Network</t>
  </si>
  <si>
    <t xml:space="preserve">ESBIT-PE-03(04)</t>
  </si>
  <si>
    <t xml:space="preserve">PE-03(04)</t>
  </si>
  <si>
    <t xml:space="preserve">Physical Access Control | Lockable Casings</t>
  </si>
  <si>
    <t xml:space="preserve">Enhances PE-03 (Physical Access Control): configure and enforce 'Lockable Casings' in addition to the base setting, keep it consistent across applicable systems and document approved exceptions. Base scope: Configure badge/biometric access control, logs and locks for data centers and network rooms</t>
  </si>
  <si>
    <t xml:space="preserve">ส่วนขยายของ PE-03: กำหนดค่าและบังคับใช้ 'Lockable Casings' เพิ่มเติมจากค่าพื้นฐาน ให้สอดคล้องทุกระบบที่เกี่ยวข้อง และบันทึกข้อยกเว้น - ตั้งค่าระบบ Badge/Biometric บันทึกการเข้าออก และกุญแจสำหรับ Data Center/ห้อง Network</t>
  </si>
  <si>
    <t xml:space="preserve">ESBIT-PE-03(05)</t>
  </si>
  <si>
    <t xml:space="preserve">PE-03(05)</t>
  </si>
  <si>
    <t xml:space="preserve">Physical Access Control | Tamper Protection</t>
  </si>
  <si>
    <t xml:space="preserve">Enhances PE-03 (Physical Access Control): configure and enforce 'Tamper Protection' in addition to the base setting, keep it consistent across applicable systems and document approved exceptions. Base scope: Configure badge/biometric access control, logs and locks for data centers and network rooms</t>
  </si>
  <si>
    <t xml:space="preserve">ส่วนขยายของ PE-03: กำหนดค่าและบังคับใช้ 'Tamper Protection' เพิ่มเติมจากค่าพื้นฐาน ให้สอดคล้องทุกระบบที่เกี่ยวข้อง และบันทึกข้อยกเว้น - ตั้งค่าระบบ Badge/Biometric บันทึกการเข้าออก และกุญแจสำหรับ Data Center/ห้อง Network</t>
  </si>
  <si>
    <t xml:space="preserve">ESBIT-PE-03(08)</t>
  </si>
  <si>
    <t xml:space="preserve">PE-03(08)</t>
  </si>
  <si>
    <t xml:space="preserve">Physical Access Control | Access Control Vestibules</t>
  </si>
  <si>
    <t xml:space="preserve">Enhances PE-03 (Physical Access Control): configure and enforce 'Access Control Vestibules' in addition to the base setting, keep it consistent across applicable systems and document approved exceptions. Base scope: Configure badge/biometric access control, logs and locks for data centers and network rooms</t>
  </si>
  <si>
    <t xml:space="preserve">ส่วนขยายของ PE-03: กำหนดค่าและบังคับใช้ 'Access Control Vestibules' เพิ่มเติมจากค่าพื้นฐาน ให้สอดคล้องทุกระบบที่เกี่ยวข้อง และบันทึกข้อยกเว้น - ตั้งค่าระบบ Badge/Biometric บันทึกการเข้าออก และกุญแจสำหรับ Data Center/ห้อง Network</t>
  </si>
  <si>
    <t xml:space="preserve">ESBIT-PE-04</t>
  </si>
  <si>
    <t xml:space="preserve">PE-04</t>
  </si>
  <si>
    <t xml:space="preserve">Access Control for Transmission</t>
  </si>
  <si>
    <t xml:space="preserve">Protect network cabling and distribution lines with physical controls</t>
  </si>
  <si>
    <t xml:space="preserve">ป้องกันสายเครือข่ายและช่องทางส่งสัญญาณด้วยมาตรการทางกายภาพ</t>
  </si>
  <si>
    <t xml:space="preserve">ESBIT-PE-05</t>
  </si>
  <si>
    <t xml:space="preserve">PE-05</t>
  </si>
  <si>
    <t xml:space="preserve">Access Control for Output Devices</t>
  </si>
  <si>
    <t xml:space="preserve">Restrict physical access to printers, monitors and output devices</t>
  </si>
  <si>
    <t xml:space="preserve">จำกัดการเข้าถึงอุปกรณ์แสดงผล/พิมพ์</t>
  </si>
  <si>
    <t xml:space="preserve">ESBIT-PE-05(02)</t>
  </si>
  <si>
    <t xml:space="preserve">PE-05(02)</t>
  </si>
  <si>
    <t xml:space="preserve">Access Control for Output Devices | Link to Individual Identity</t>
  </si>
  <si>
    <t xml:space="preserve">Enhances PE-05 (Access Control for Output Devices): configure and enforce 'Link to Individual Identity' in addition to the base setting, keep it consistent across applicable systems and document approved exceptions. Base scope: Restrict physical access to printers, monitors and output devices</t>
  </si>
  <si>
    <t xml:space="preserve">ส่วนขยายของ PE-05: กำหนดค่าและบังคับใช้ 'Link to Individual Identity' เพิ่มเติมจากค่าพื้นฐาน ให้สอดคล้องทุกระบบที่เกี่ยวข้อง และบันทึกข้อยกเว้น - จำกัดการเข้าถึงอุปกรณ์แสดงผล/พิมพ์</t>
  </si>
  <si>
    <t xml:space="preserve">ESBIT-PE-06</t>
  </si>
  <si>
    <t xml:space="preserve">PE-06</t>
  </si>
  <si>
    <t xml:space="preserve">Monitoring Physical Access</t>
  </si>
  <si>
    <t xml:space="preserve">DE.CM-02</t>
  </si>
  <si>
    <t xml:space="preserve">The physical environment is monitored to find potentially adverse events</t>
  </si>
  <si>
    <t xml:space="preserve">Configure CCTV, intrusion alarms and physical access log review</t>
  </si>
  <si>
    <t xml:space="preserve">ตั้งค่า CCTV สัญญาณเตือนบุกรุก และการทบทวนบันทึกการเข้าออก</t>
  </si>
  <si>
    <t xml:space="preserve">ESBIT-PE-06(01)</t>
  </si>
  <si>
    <t xml:space="preserve">PE-06(01)</t>
  </si>
  <si>
    <t xml:space="preserve">Monitoring Physical Access | Intrusion Alarms and Surveillance Equipment</t>
  </si>
  <si>
    <t xml:space="preserve">Enhances PE-06 (Monitoring Physical Access): configure and enforce 'Intrusion Alarms and Surveillance Equipment' in addition to the base setting, keep it consistent across applicable systems and document approved exceptions. Base scope: Configure CCTV, intrusion alarms and physical access log review</t>
  </si>
  <si>
    <t xml:space="preserve">ส่วนขยายของ PE-06: กำหนดค่าและบังคับใช้ 'Intrusion Alarms and Surveillance Equipment' เพิ่มเติมจากค่าพื้นฐาน ให้สอดคล้องทุกระบบที่เกี่ยวข้อง และบันทึกข้อยกเว้น - ตั้งค่า CCTV สัญญาณเตือนบุกรุก และการทบทวนบันทึกการเข้าออก</t>
  </si>
  <si>
    <t xml:space="preserve">ESBIT-PE-06(02)</t>
  </si>
  <si>
    <t xml:space="preserve">PE-06(02)</t>
  </si>
  <si>
    <t xml:space="preserve">Monitoring Physical Access | Automated Intrusion Recognition and Responses</t>
  </si>
  <si>
    <t xml:space="preserve">Enhances PE-06 (Monitoring Physical Access): configure and enforce 'Automated Intrusion Recognition and Responses' in addition to the base setting, keep it consistent across applicable systems and document approved exceptions. Base scope: Configure CCTV, intrusion alarms and physical access log review</t>
  </si>
  <si>
    <t xml:space="preserve">ส่วนขยายของ PE-06: กำหนดค่าและบังคับใช้ 'Automated Intrusion Recognition and Responses' เพิ่มเติมจากค่าพื้นฐาน ให้สอดคล้องทุกระบบที่เกี่ยวข้อง และบันทึกข้อยกเว้น - ตั้งค่า CCTV สัญญาณเตือนบุกรุก และการทบทวนบันทึกการเข้าออก</t>
  </si>
  <si>
    <t xml:space="preserve">ESBIT-PE-06(03)</t>
  </si>
  <si>
    <t xml:space="preserve">PE-06(03)</t>
  </si>
  <si>
    <t xml:space="preserve">Monitoring Physical Access | Video Surveillance</t>
  </si>
  <si>
    <t xml:space="preserve">Enhances PE-06 (Monitoring Physical Access): configure and enforce 'Video Surveillance' in addition to the base setting, keep it consistent across applicable systems and document approved exceptions. Base scope: Configure CCTV, intrusion alarms and physical access log review</t>
  </si>
  <si>
    <t xml:space="preserve">ส่วนขยายของ PE-06: กำหนดค่าและบังคับใช้ 'Video Surveillance' เพิ่มเติมจากค่าพื้นฐาน ให้สอดคล้องทุกระบบที่เกี่ยวข้อง และบันทึกข้อยกเว้น - ตั้งค่า CCTV สัญญาณเตือนบุกรุก และการทบทวนบันทึกการเข้าออก</t>
  </si>
  <si>
    <t xml:space="preserve">ESBIT-PE-06(04)</t>
  </si>
  <si>
    <t xml:space="preserve">PE-06(04)</t>
  </si>
  <si>
    <t xml:space="preserve">Monitoring Physical Access | Monitoring Physical Access to Systems</t>
  </si>
  <si>
    <t xml:space="preserve">Enhances PE-06 (Monitoring Physical Access): configure and enforce 'Monitoring Physical Access to Systems' in addition to the base setting, keep it consistent across applicable systems and document approved exceptions. Base scope: Configure CCTV, intrusion alarms and physical access log review</t>
  </si>
  <si>
    <t xml:space="preserve">ส่วนขยายของ PE-06: กำหนดค่าและบังคับใช้ 'Monitoring Physical Access to Systems' เพิ่มเติมจากค่าพื้นฐาน ให้สอดคล้องทุกระบบที่เกี่ยวข้อง และบันทึกข้อยกเว้น - ตั้งค่า CCTV สัญญาณเตือนบุกรุก และการทบทวนบันทึกการเข้าออก</t>
  </si>
  <si>
    <t xml:space="preserve">ESBIT-PE-08</t>
  </si>
  <si>
    <t xml:space="preserve">PE-08</t>
  </si>
  <si>
    <t xml:space="preserve">Visitor Access Records</t>
  </si>
  <si>
    <t xml:space="preserve">Not a direct configuration item - maintaining visitor access records</t>
  </si>
  <si>
    <t xml:space="preserve">ไม่ใช่การ config โดยตรง - การเก็บบันทึกผู้เยี่ยมชม</t>
  </si>
  <si>
    <t xml:space="preserve">ESBIT-PE-08(01)</t>
  </si>
  <si>
    <t xml:space="preserve">PE-08(01)</t>
  </si>
  <si>
    <t xml:space="preserve">Visitor Access Records | Automated Records Maintenance and Review</t>
  </si>
  <si>
    <t xml:space="preserve">Not a direct configuration item - enhancement of PE-08 (Visitor Access Records): 'Automated Records Maintenance and Review'; maintaining visitor access records.</t>
  </si>
  <si>
    <t xml:space="preserve">ไม่ใช่การ config โดยตรง - ส่วนขยายของ PE-08: 'Automated Records Maintenance and Review' - การเก็บบันทึกผู้เยี่ยมชม</t>
  </si>
  <si>
    <t xml:space="preserve">ESBIT-PE-08(03)</t>
  </si>
  <si>
    <t xml:space="preserve">PE-08(03)</t>
  </si>
  <si>
    <t xml:space="preserve">Visitor Access Records | Limit Personally Identifiable Information Elements</t>
  </si>
  <si>
    <t xml:space="preserve">Not a direct configuration item - enhancement of PE-08 (Visitor Access Records): 'Limit Personally Identifiable Information Elements'; maintaining visitor access records.</t>
  </si>
  <si>
    <t xml:space="preserve">ไม่ใช่การ config โดยตรง - ส่วนขยายของ PE-08: 'Limit Personally Identifiable Information Elements' - การเก็บบันทึกผู้เยี่ยมชม</t>
  </si>
  <si>
    <t xml:space="preserve">ESBIT-PE-09</t>
  </si>
  <si>
    <t xml:space="preserve">PE-09</t>
  </si>
  <si>
    <t xml:space="preserve">Power Equipment and Cabling</t>
  </si>
  <si>
    <t xml:space="preserve">PR.IR-02</t>
  </si>
  <si>
    <t xml:space="preserve">The organization's technology assets are protected from environmental threats</t>
  </si>
  <si>
    <t xml:space="preserve">Protect power equipment and cabling from damage and tampering</t>
  </si>
  <si>
    <t xml:space="preserve">ป้องกันอุปกรณ์ไฟฟ้าและสายไฟจากความเสียหายและการแก้ไข</t>
  </si>
  <si>
    <t xml:space="preserve">ESBIT-PE-09(01)</t>
  </si>
  <si>
    <t xml:space="preserve">PE-09(01)</t>
  </si>
  <si>
    <t xml:space="preserve">Power Equipment and Cabling | Redundant Cabling</t>
  </si>
  <si>
    <t xml:space="preserve">Enhances PE-09 (Power Equipment and Cabling): configure and enforce 'Redundant Cabling' in addition to the base setting, keep it consistent across applicable systems and document approved exceptions. Base scope: Protect power equipment and cabling from damage and tampering</t>
  </si>
  <si>
    <t xml:space="preserve">ส่วนขยายของ PE-09: กำหนดค่าและบังคับใช้ 'Redundant Cabling' เพิ่มเติมจากค่าพื้นฐาน ให้สอดคล้องทุกระบบที่เกี่ยวข้อง และบันทึกข้อยกเว้น - ป้องกันอุปกรณ์ไฟฟ้าและสายไฟจากความเสียหายและการแก้ไข</t>
  </si>
  <si>
    <t xml:space="preserve">ESBIT-PE-09(02)</t>
  </si>
  <si>
    <t xml:space="preserve">PE-09(02)</t>
  </si>
  <si>
    <t xml:space="preserve">Power Equipment and Cabling | Automatic Voltage Controls</t>
  </si>
  <si>
    <t xml:space="preserve">Enhances PE-09 (Power Equipment and Cabling): configure and enforce 'Automatic Voltage Controls' in addition to the base setting, keep it consistent across applicable systems and document approved exceptions. Base scope: Protect power equipment and cabling from damage and tampering</t>
  </si>
  <si>
    <t xml:space="preserve">ส่วนขยายของ PE-09: กำหนดค่าและบังคับใช้ 'Automatic Voltage Controls' เพิ่มเติมจากค่าพื้นฐาน ให้สอดคล้องทุกระบบที่เกี่ยวข้อง และบันทึกข้อยกเว้น - ป้องกันอุปกรณ์ไฟฟ้าและสายไฟจากความเสียหายและการแก้ไข</t>
  </si>
  <si>
    <t xml:space="preserve">ESBIT-PE-10</t>
  </si>
  <si>
    <t xml:space="preserve">PE-10</t>
  </si>
  <si>
    <t xml:space="preserve">Emergency Shutoff</t>
  </si>
  <si>
    <t xml:space="preserve">Provide emergency power shutoff capability with protection from accidental activation</t>
  </si>
  <si>
    <t xml:space="preserve">จัดให้มีสวิตช์ตัดไฟฉุกเฉินพร้อมป้องกันการกดโดยไม่ตั้งใจ</t>
  </si>
  <si>
    <t xml:space="preserve">ESBIT-PE-11</t>
  </si>
  <si>
    <t xml:space="preserve">PE-11</t>
  </si>
  <si>
    <t xml:space="preserve">Emergency Power</t>
  </si>
  <si>
    <t xml:space="preserve">Configure UPS and generator for transition to long-term alternate power</t>
  </si>
  <si>
    <t xml:space="preserve">ตั้งค่า UPS และเครื่องกำเนิดไฟฟ้าเพื่อรองรับไฟสำรองระยะยาว</t>
  </si>
  <si>
    <t xml:space="preserve">ESBIT-PE-11(01)</t>
  </si>
  <si>
    <t xml:space="preserve">PE-11(01)</t>
  </si>
  <si>
    <t xml:space="preserve">Emergency Power | Alternate Power Supply - Minimal Operational Capability</t>
  </si>
  <si>
    <t xml:space="preserve">Enhances PE-11 (Emergency Power): configure and enforce 'Alternate Power Supply - Minimal Operational Capability' in addition to the base setting, keep it consistent across applicable systems and document approved exceptions. Base scope: Configure UPS and generator for transition to long-term alternate power</t>
  </si>
  <si>
    <t xml:space="preserve">ส่วนขยายของ PE-11: กำหนดค่าและบังคับใช้ 'Alternate Power Supply - Minimal Operational Capability' เพิ่มเติมจากค่าพื้นฐาน ให้สอดคล้องทุกระบบที่เกี่ยวข้อง และบันทึกข้อยกเว้น - ตั้งค่า UPS และเครื่องกำเนิดไฟฟ้าเพื่อรองรับไฟสำรองระยะยาว</t>
  </si>
  <si>
    <t xml:space="preserve">ESBIT-PE-11(02)</t>
  </si>
  <si>
    <t xml:space="preserve">PE-11(02)</t>
  </si>
  <si>
    <t xml:space="preserve">Emergency Power | Alternate Power Supply - Self-contained</t>
  </si>
  <si>
    <t xml:space="preserve">Enhances PE-11 (Emergency Power): configure and enforce 'Alternate Power Supply - Self-contained' in addition to the base setting, keep it consistent across applicable systems and document approved exceptions. Base scope: Configure UPS and generator for transition to long-term alternate power</t>
  </si>
  <si>
    <t xml:space="preserve">ส่วนขยายของ PE-11: กำหนดค่าและบังคับใช้ 'Alternate Power Supply - Self-contained' เพิ่มเติมจากค่าพื้นฐาน ให้สอดคล้องทุกระบบที่เกี่ยวข้อง และบันทึกข้อยกเว้น - ตั้งค่า UPS และเครื่องกำเนิดไฟฟ้าเพื่อรองรับไฟสำรองระยะยาว</t>
  </si>
  <si>
    <t xml:space="preserve">ESBIT-PE-12</t>
  </si>
  <si>
    <t xml:space="preserve">PE-12</t>
  </si>
  <si>
    <t xml:space="preserve">Emergency Lighting</t>
  </si>
  <si>
    <t xml:space="preserve">Provide automatic emergency lighting during power outage</t>
  </si>
  <si>
    <t xml:space="preserve">จัดให้มีไฟฉุกเฉินอัตโนมัติเมื่อไฟดับ</t>
  </si>
  <si>
    <t xml:space="preserve">ESBIT-PE-12(01)</t>
  </si>
  <si>
    <t xml:space="preserve">PE-12(01)</t>
  </si>
  <si>
    <t xml:space="preserve">Emergency Lighting | Essential Mission and Business Functions</t>
  </si>
  <si>
    <t xml:space="preserve">Enhances PE-12 (Emergency Lighting): configure and enforce 'Essential Mission and Business Functions' in addition to the base setting, keep it consistent across applicable systems and document approved exceptions. Base scope: Provide automatic emergency lighting during power outage</t>
  </si>
  <si>
    <t xml:space="preserve">ส่วนขยายของ PE-12: กำหนดค่าและบังคับใช้ 'Essential Mission and Business Functions' เพิ่มเติมจากค่าพื้นฐาน ให้สอดคล้องทุกระบบที่เกี่ยวข้อง และบันทึกข้อยกเว้น - จัดให้มีไฟฉุกเฉินอัตโนมัติเมื่อไฟดับ</t>
  </si>
  <si>
    <t xml:space="preserve">ESBIT-PE-13</t>
  </si>
  <si>
    <t xml:space="preserve">PE-13</t>
  </si>
  <si>
    <t xml:space="preserve">Fire Protection</t>
  </si>
  <si>
    <t xml:space="preserve">Configure fire detection and suppression systems for facilities</t>
  </si>
  <si>
    <t xml:space="preserve">ตั้งค่าระบบตรวจจับและดับเพลิงสำหรับสถานที่</t>
  </si>
  <si>
    <t xml:space="preserve">ESBIT-PE-13(01)</t>
  </si>
  <si>
    <t xml:space="preserve">PE-13(01)</t>
  </si>
  <si>
    <t xml:space="preserve">Fire Protection | Detection Systems - Automatic Activation and Notification</t>
  </si>
  <si>
    <t xml:space="preserve">Enhances PE-13 (Fire Protection): configure and enforce 'Detection Systems - Automatic Activation and Notification' in addition to the base setting, keep it consistent across applicable systems and document approved exceptions. Base scope: Configure fire detection and suppression systems for facilities</t>
  </si>
  <si>
    <t xml:space="preserve">ส่วนขยายของ PE-13: กำหนดค่าและบังคับใช้ 'Detection Systems - Automatic Activation and Notification' เพิ่มเติมจากค่าพื้นฐาน ให้สอดคล้องทุกระบบที่เกี่ยวข้อง และบันทึกข้อยกเว้น - ตั้งค่าระบบตรวจจับและดับเพลิงสำหรับสถานที่</t>
  </si>
  <si>
    <t xml:space="preserve">ESBIT-PE-13(04)</t>
  </si>
  <si>
    <t xml:space="preserve">PE-13(04)</t>
  </si>
  <si>
    <t xml:space="preserve">Fire Protection | Inspections</t>
  </si>
  <si>
    <t xml:space="preserve">Enhances PE-13 (Fire Protection): configure and enforce 'Inspections' in addition to the base setting, keep it consistent across applicable systems and document approved exceptions. Base scope: Configure fire detection and suppression systems for facilities</t>
  </si>
  <si>
    <t xml:space="preserve">ส่วนขยายของ PE-13: กำหนดค่าและบังคับใช้ 'Inspections' เพิ่มเติมจากค่าพื้นฐาน ให้สอดคล้องทุกระบบที่เกี่ยวข้อง และบันทึกข้อยกเว้น - ตั้งค่าระบบตรวจจับและดับเพลิงสำหรับสถานที่</t>
  </si>
  <si>
    <t xml:space="preserve">ESBIT-PE-14</t>
  </si>
  <si>
    <t xml:space="preserve">PE-14</t>
  </si>
  <si>
    <t xml:space="preserve">Environmental Controls</t>
  </si>
  <si>
    <t xml:space="preserve">Configure temperature and humidity monitoring and control in equipment rooms</t>
  </si>
  <si>
    <t xml:space="preserve">ตั้งค่าการควบคุมและเฝ้าระวังอุณหภูมิและความชื้นในห้องอุปกรณ์</t>
  </si>
  <si>
    <t xml:space="preserve">ESBIT-PE-14(01)</t>
  </si>
  <si>
    <t xml:space="preserve">PE-14(01)</t>
  </si>
  <si>
    <t xml:space="preserve">Environmental Controls | Automatic Controls</t>
  </si>
  <si>
    <t xml:space="preserve">Enhances PE-14 (Environmental Controls): configure and enforce 'Automatic Controls' in addition to the base setting, keep it consistent across applicable systems and document approved exceptions. Base scope: Configure temperature and humidity monitoring and control in equipment rooms</t>
  </si>
  <si>
    <t xml:space="preserve">ส่วนขยายของ PE-14: กำหนดค่าและบังคับใช้ 'Automatic Controls' เพิ่มเติมจากค่าพื้นฐาน ให้สอดคล้องทุกระบบที่เกี่ยวข้อง และบันทึกข้อยกเว้น - ตั้งค่าการควบคุมและเฝ้าระวังอุณหภูมิและความชื้นในห้องอุปกรณ์</t>
  </si>
  <si>
    <t xml:space="preserve">ESBIT-PE-14(02)</t>
  </si>
  <si>
    <t xml:space="preserve">PE-14(02)</t>
  </si>
  <si>
    <t xml:space="preserve">Environmental Controls | Monitoring with Alarms and Notifications</t>
  </si>
  <si>
    <t xml:space="preserve">Enhances PE-14 (Environmental Controls): configure and enforce 'Monitoring with Alarms and Notifications' in addition to the base setting, keep it consistent across applicable systems and document approved exceptions. Base scope: Configure temperature and humidity monitoring and control in equipment rooms</t>
  </si>
  <si>
    <t xml:space="preserve">ส่วนขยายของ PE-14: กำหนดค่าและบังคับใช้ 'Monitoring with Alarms and Notifications' เพิ่มเติมจากค่าพื้นฐาน ให้สอดคล้องทุกระบบที่เกี่ยวข้อง และบันทึกข้อยกเว้น - ตั้งค่าการควบคุมและเฝ้าระวังอุณหภูมิและความชื้นในห้องอุปกรณ์</t>
  </si>
  <si>
    <t xml:space="preserve">ESBIT-PE-15</t>
  </si>
  <si>
    <t xml:space="preserve">PE-15</t>
  </si>
  <si>
    <t xml:space="preserve">Water Damage Protection</t>
  </si>
  <si>
    <t xml:space="preserve">Provide water leak detection and master shutoff valves</t>
  </si>
  <si>
    <t xml:space="preserve">จัดให้มีเซนเซอร์ตรวจน้ำรั่วและวาล์วปิดหลัก</t>
  </si>
  <si>
    <t xml:space="preserve">ESBIT-PE-15(01)</t>
  </si>
  <si>
    <t xml:space="preserve">PE-15(01)</t>
  </si>
  <si>
    <t xml:space="preserve">Water Damage Protection | Automation Support</t>
  </si>
  <si>
    <t xml:space="preserve">Enhances PE-15 (Water Damage Protection): configure and enforce 'Automation Support' in addition to the base setting, keep it consistent across applicable systems and document approved exceptions. Base scope: Provide water leak detection and master shutoff valves</t>
  </si>
  <si>
    <t xml:space="preserve">ส่วนขยายของ PE-15: กำหนดค่าและบังคับใช้ 'Automation Support' เพิ่มเติมจากค่าพื้นฐาน ให้สอดคล้องทุกระบบที่เกี่ยวข้อง และบันทึกข้อยกเว้น - จัดให้มีเซนเซอร์ตรวจน้ำรั่วและวาล์วปิดหลัก</t>
  </si>
  <si>
    <t xml:space="preserve">ESBIT-PE-16</t>
  </si>
  <si>
    <t xml:space="preserve">PE-16</t>
  </si>
  <si>
    <t xml:space="preserve">Delivery and Removal</t>
  </si>
  <si>
    <t xml:space="preserve">Not a direct configuration item - control of equipment delivery and removal from facilities</t>
  </si>
  <si>
    <t xml:space="preserve">ไม่ใช่การ config โดยตรง - การควบคุมการนำอุปกรณ์เข้า-ออกสถานที่</t>
  </si>
  <si>
    <t xml:space="preserve">ESBIT-PE-17</t>
  </si>
  <si>
    <t xml:space="preserve">PE-17</t>
  </si>
  <si>
    <t xml:space="preserve">Alternate Work Site</t>
  </si>
  <si>
    <t xml:space="preserve">Not a direct configuration item - security controls at alternate work sites</t>
  </si>
  <si>
    <t xml:space="preserve">ไม่ใช่การ config โดยตรง - มาตรการความปลอดภัยที่สถานที่ทำงานสำรอง</t>
  </si>
  <si>
    <t xml:space="preserve">ESBIT-PE-18</t>
  </si>
  <si>
    <t xml:space="preserve">PE-18</t>
  </si>
  <si>
    <t xml:space="preserve">Location of System Components</t>
  </si>
  <si>
    <t xml:space="preserve">Not a direct configuration item - positioning system components to reduce physical and environmental risk</t>
  </si>
  <si>
    <t xml:space="preserve">ไม่ใช่การ config โดยตรง - การจัดวางอุปกรณ์เพื่อลดความเสี่ยงทางกายภาพและสิ่งแวดล้อม</t>
  </si>
  <si>
    <t xml:space="preserve">ESBIT-PE-18(01)</t>
  </si>
  <si>
    <t xml:space="preserve">PE-18(01)</t>
  </si>
  <si>
    <t xml:space="preserve">Location of System Components | Facility Site</t>
  </si>
  <si>
    <t xml:space="preserve">Not a direct configuration item - enhancement of PE-18 (Location of System Components): 'Facility Site'; positioning system components to reduce physical and environmental risk.</t>
  </si>
  <si>
    <t xml:space="preserve">ไม่ใช่การ config โดยตรง - ส่วนขยายของ PE-18: 'Facility Site' - การจัดวางอุปกรณ์เพื่อลดความเสี่ยงทางกายภาพและสิ่งแวดล้อม</t>
  </si>
  <si>
    <t xml:space="preserve">ESBIT-PE-19</t>
  </si>
  <si>
    <t xml:space="preserve">PE-19</t>
  </si>
  <si>
    <t xml:space="preserve">Information Leakage</t>
  </si>
  <si>
    <t xml:space="preserve">Protect systems from information leakage due to electromagnetic signals</t>
  </si>
  <si>
    <t xml:space="preserve">ป้องกันข้อมูลรั่วไหลจากสัญญาณแม่เหล็กไฟฟ้า</t>
  </si>
  <si>
    <t xml:space="preserve">ESBIT-PE-19(01)</t>
  </si>
  <si>
    <t xml:space="preserve">PE-19(01)</t>
  </si>
  <si>
    <t xml:space="preserve">Information Leakage | National Emissions Policies and Procedures</t>
  </si>
  <si>
    <t xml:space="preserve">Enhances PE-19 (Information Leakage): configure and enforce 'National Emissions Policies and Procedures' in addition to the base setting, keep it consistent across applicable systems and document approved exceptions. Base scope: Protect systems from information leakage due to electromagnetic signals</t>
  </si>
  <si>
    <t xml:space="preserve">ส่วนขยายของ PE-19: กำหนดค่าและบังคับใช้ 'National Emissions Policies and Procedures' เพิ่มเติมจากค่าพื้นฐาน ให้สอดคล้องทุกระบบที่เกี่ยวข้อง และบันทึกข้อยกเว้น - ป้องกันข้อมูลรั่วไหลจากสัญญาณแม่เหล็กไฟฟ้า</t>
  </si>
  <si>
    <t xml:space="preserve">ESBIT-PE-20</t>
  </si>
  <si>
    <t xml:space="preserve">PE-20</t>
  </si>
  <si>
    <t xml:space="preserve">Asset Monitoring and Tracking</t>
  </si>
  <si>
    <t xml:space="preserve">ID.AM-08</t>
  </si>
  <si>
    <t xml:space="preserve">Systems, hardware, software, services, and data are managed throughout their life cycles</t>
  </si>
  <si>
    <t xml:space="preserve">Configure asset tracking tags and location monitoring for critical assets</t>
  </si>
  <si>
    <t xml:space="preserve">ตั้งค่า Asset Tag และการติดตามตำแหน่งสินทรัพย์สำคัญ</t>
  </si>
  <si>
    <t xml:space="preserve">Application, Physical</t>
  </si>
  <si>
    <t xml:space="preserve">ESBIT-PE-21</t>
  </si>
  <si>
    <t xml:space="preserve">PE-21</t>
  </si>
  <si>
    <t xml:space="preserve">Electromagnetic Pulse Protection</t>
  </si>
  <si>
    <t xml:space="preserve">Not a direct configuration item - EMP protection for critical systems</t>
  </si>
  <si>
    <t xml:space="preserve">ไม่ใช่การ config โดยตรง - การป้องกัน EMP สำหรับระบบสำคัญ</t>
  </si>
  <si>
    <t xml:space="preserve">ESBIT-PE-22</t>
  </si>
  <si>
    <t xml:space="preserve">PE-22</t>
  </si>
  <si>
    <t xml:space="preserve">Component Marking</t>
  </si>
  <si>
    <t xml:space="preserve">Not a direct configuration item - marking hardware components with handling and distribution information</t>
  </si>
  <si>
    <t xml:space="preserve">ไม่ใช่การ config โดยตรง - การติดป้ายฮาร์ดแวร์ตามการจัดการและการเผยแพร่</t>
  </si>
  <si>
    <t xml:space="preserve">ESBIT-PE-23</t>
  </si>
  <si>
    <t xml:space="preserve">PE-23</t>
  </si>
  <si>
    <t xml:space="preserve">Facility Location</t>
  </si>
  <si>
    <t xml:space="preserve">Not a direct configuration item - assessing facility location for physical and environmental hazards</t>
  </si>
  <si>
    <t xml:space="preserve">ไม่ใช่การ config โดยตรง - การประเมินที่ตั้งสถานที่ต่อภัยทางกายภาพและสิ่งแวดล้อม</t>
  </si>
  <si>
    <t xml:space="preserve">ESBIT-PL-01</t>
  </si>
  <si>
    <t xml:space="preserve">PL-01</t>
  </si>
  <si>
    <t xml:space="preserve">Planning (PL)</t>
  </si>
  <si>
    <t xml:space="preserve">Not a direct configuration item - define, document, review and communicate the Planning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</si>
  <si>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และทบทวนนโยบาย/ขั้นตอนของหมวดการวางแผนความปลอดภัย เพื่อเป็นฐานในการกำหนดมาตรฐาน Config</t>
  </si>
  <si>
    <t xml:space="preserve">ESBIT-PL-02</t>
  </si>
  <si>
    <t xml:space="preserve">PL-02</t>
  </si>
  <si>
    <t xml:space="preserve">System Security and Privacy Plans</t>
  </si>
  <si>
    <t xml:space="preserve">Not a direct configuration item - documented system security and privacy plans</t>
  </si>
  <si>
    <t xml:space="preserve">ไม่ใช่การ config โดยตรง - แผนความมั่นคงปลอดภัยและความเป็นส่วนตัวของระบบ</t>
  </si>
  <si>
    <t xml:space="preserve">ESBIT-PL-04</t>
  </si>
  <si>
    <t xml:space="preserve">PL-04</t>
  </si>
  <si>
    <t xml:space="preserve">Rules of Behavior</t>
  </si>
  <si>
    <t xml:space="preserve">Not a direct configuration item - rules of behavior acknowledged by users</t>
  </si>
  <si>
    <t xml:space="preserve">ไม่ใช่การ config โดยตรง - กฎการใช้งานที่ผู้ใช้ต้องรับทราบ</t>
  </si>
  <si>
    <t xml:space="preserve">ESBIT-PL-04(01)</t>
  </si>
  <si>
    <t xml:space="preserve">PL-04(01)</t>
  </si>
  <si>
    <t xml:space="preserve">Rules of Behavior | Social Media and External Site/Application Usage Restrictions</t>
  </si>
  <si>
    <t xml:space="preserve">Not a direct configuration item - enhancement of PL-04 (Rules of Behavior): 'Social Media and External Site/Application Usage Restrictions'; rules of behavior acknowledged by users.</t>
  </si>
  <si>
    <t xml:space="preserve">ไม่ใช่การ config โดยตรง - ส่วนขยายของ PL-04: 'Social Media and External Site/Application Usage Restrictions' - กฎการใช้งานที่ผู้ใช้ต้องรับทราบ</t>
  </si>
  <si>
    <t xml:space="preserve">ESBIT-PL-07</t>
  </si>
  <si>
    <t xml:space="preserve">PL-07</t>
  </si>
  <si>
    <t xml:space="preserve">Concept of Operations</t>
  </si>
  <si>
    <t xml:space="preserve">Not a direct configuration item - concept of operations for security of the system</t>
  </si>
  <si>
    <t xml:space="preserve">ไม่ใช่การ config โดยตรง - แนวคิดการปฏิบัติการด้านความมั่นคงปลอดภัยของระบบ</t>
  </si>
  <si>
    <t xml:space="preserve">ESBIT-PL-08</t>
  </si>
  <si>
    <t xml:space="preserve">PL-08</t>
  </si>
  <si>
    <t xml:space="preserve">Security and Privacy Architectures</t>
  </si>
  <si>
    <t xml:space="preserve">Design and document security architecture including zoning, defense in depth and segmentation that drives baseline configuration</t>
  </si>
  <si>
    <t xml:space="preserve">ออกแบบสถาปัตยกรรมความปลอดภัย (Zoning, Defense in Depth, Segmentation) เป็นฐานของ Baseline Config</t>
  </si>
  <si>
    <t xml:space="preserve">ESBIT-PL-08(01)</t>
  </si>
  <si>
    <t xml:space="preserve">PL-08(01)</t>
  </si>
  <si>
    <t xml:space="preserve">Security and Privacy Architectures | Defense in Depth</t>
  </si>
  <si>
    <t xml:space="preserve">Enhances PL-08 (Security and Privacy Architectures): configure and enforce 'Defense in Depth' in addition to the base setting, keep it consistent across applicable systems and document approved exceptions. Base scope: Design and document security architecture including zoning, defense in depth and segmentation that drives baseline configuration</t>
  </si>
  <si>
    <t xml:space="preserve">ส่วนขยายของ PL-08: กำหนดค่าและบังคับใช้ 'Defense in Depth' เพิ่มเติมจากค่าพื้นฐาน ให้สอดคล้องทุกระบบที่เกี่ยวข้อง และบันทึกข้อยกเว้น - ออกแบบสถาปัตยกรรมความปลอดภัย (Zoning, Defense in Depth, Segmentation) เป็นฐานของ Baseline Config</t>
  </si>
  <si>
    <t xml:space="preserve">ESBIT-PL-08(02)</t>
  </si>
  <si>
    <t xml:space="preserve">PL-08(02)</t>
  </si>
  <si>
    <t xml:space="preserve">Security and Privacy Architectures | Supplier Diversity</t>
  </si>
  <si>
    <t xml:space="preserve">Enhances PL-08 (Security and Privacy Architectures): configure and enforce 'Supplier Diversity' in addition to the base setting, keep it consistent across applicable systems and document approved exceptions. Base scope: Design and document security architecture including zoning, defense in depth and segmentation that drives baseline configuration</t>
  </si>
  <si>
    <t xml:space="preserve">ส่วนขยายของ PL-08: กำหนดค่าและบังคับใช้ 'Supplier Diversity' เพิ่มเติมจากค่าพื้นฐาน ให้สอดคล้องทุกระบบที่เกี่ยวข้อง และบันทึกข้อยกเว้น - ออกแบบสถาปัตยกรรมความปลอดภัย (Zoning, Defense in Depth, Segmentation) เป็นฐานของ Baseline Config</t>
  </si>
  <si>
    <t xml:space="preserve">ESBIT-PL-09</t>
  </si>
  <si>
    <t xml:space="preserve">PL-09</t>
  </si>
  <si>
    <t xml:space="preserve">Central Management</t>
  </si>
  <si>
    <t xml:space="preserve">Centrally manage security controls, configuration and logging</t>
  </si>
  <si>
    <t xml:space="preserve">บริหารจัดการมาตรการ Config และ Log แบบศูนย์กลาง</t>
  </si>
  <si>
    <t xml:space="preserve">Cloud, Monitoring, Application</t>
  </si>
  <si>
    <t xml:space="preserve">ESBIT-PL-10</t>
  </si>
  <si>
    <t xml:space="preserve">PL-10</t>
  </si>
  <si>
    <t xml:space="preserve">Baseline Selection</t>
  </si>
  <si>
    <t xml:space="preserve">Not a direct configuration item - selecting the control baseline for the system</t>
  </si>
  <si>
    <t xml:space="preserve">ไม่ใช่การ config โดยตรง - การเลือก Control Baseline ของระบบ</t>
  </si>
  <si>
    <t xml:space="preserve">ESBIT-PL-11</t>
  </si>
  <si>
    <t xml:space="preserve">PL-11</t>
  </si>
  <si>
    <t xml:space="preserve">Baseline Tailoring</t>
  </si>
  <si>
    <t xml:space="preserve">Not a direct configuration item - tailoring the selected control baseline to organizational needs</t>
  </si>
  <si>
    <t xml:space="preserve">ไม่ใช่การ config โดยตรง - การปรับแต่ง Baseline ให้เหมาะสมกับองค์กร</t>
  </si>
  <si>
    <t xml:space="preserve">ESBIT-PM-01</t>
  </si>
  <si>
    <t xml:space="preserve">PM-01</t>
  </si>
  <si>
    <t xml:space="preserve">Program Management (PM)</t>
  </si>
  <si>
    <t xml:space="preserve">Information Security Program Plan</t>
  </si>
  <si>
    <t xml:space="preserve">Not a direct configuration item - enterprise information security program plan</t>
  </si>
  <si>
    <t xml:space="preserve">ไม่ใช่การ config โดยตรง - แผนโปรแกรมความมั่นคงปลอดภัยระดับองค์กร</t>
  </si>
  <si>
    <t xml:space="preserve">ESBIT-PM-02</t>
  </si>
  <si>
    <t xml:space="preserve">PM-02</t>
  </si>
  <si>
    <t xml:space="preserve">Information Security Program Leadership Role</t>
  </si>
  <si>
    <t xml:space="preserve">GV.RR - Roles, Responsibilities, and Authorities</t>
  </si>
  <si>
    <t xml:space="preserve">GV.RR-01</t>
  </si>
  <si>
    <t xml:space="preserve">Organizational leadership is responsible and accountable for cybersecurity risk and fosters a culture that is risk-aware, ethical, and continually improving</t>
  </si>
  <si>
    <t xml:space="preserve">Not a direct configuration item - senior leadership role for the security program</t>
  </si>
  <si>
    <t xml:space="preserve">ไม่ใช่การ config โดยตรง - บทบาทผู้นำอาวุโสด้านความมั่นคงปลอดภัย</t>
  </si>
  <si>
    <t xml:space="preserve">ESBIT-PM-03</t>
  </si>
  <si>
    <t xml:space="preserve">PM-03</t>
  </si>
  <si>
    <t xml:space="preserve">Information Security and Privacy Resources</t>
  </si>
  <si>
    <t xml:space="preserve">GV.RR-03</t>
  </si>
  <si>
    <t xml:space="preserve">Adequate resources are allocated commensurate with the cybersecurity risk strategy, roles, responsibilities, and policies</t>
  </si>
  <si>
    <t xml:space="preserve">Not a direct configuration item - resources allocated to security and privacy</t>
  </si>
  <si>
    <t xml:space="preserve">ไม่ใช่การ config โดยตรง - การจัดสรรทรัพยากรด้านความมั่นคงปลอดภัยและความเป็นส่วนตัว</t>
  </si>
  <si>
    <t xml:space="preserve">ESBIT-PM-04</t>
  </si>
  <si>
    <t xml:space="preserve">PM-04</t>
  </si>
  <si>
    <t xml:space="preserve">Plan of Action and Milestones Process</t>
  </si>
  <si>
    <t xml:space="preserve">Not a direct configuration item - process for POA&amp;M across the organization</t>
  </si>
  <si>
    <t xml:space="preserve">ไม่ใช่การ config โดยตรง - กระบวนการ POA&amp;M ระดับองค์กร</t>
  </si>
  <si>
    <t xml:space="preserve">ESBIT-PM-05</t>
  </si>
  <si>
    <t xml:space="preserve">PM-05</t>
  </si>
  <si>
    <t xml:space="preserve">System Inventory</t>
  </si>
  <si>
    <t xml:space="preserve">ID.AM-02</t>
  </si>
  <si>
    <t xml:space="preserve">Inventories of software, services, and systems managed by the organization are maintained</t>
  </si>
  <si>
    <t xml:space="preserve">Not a direct configuration item - organization-wide system inventory</t>
  </si>
  <si>
    <t xml:space="preserve">ไม่ใช่การ config โดยตรง - บัญชีระบบระดับองค์กร</t>
  </si>
  <si>
    <t xml:space="preserve">ESBIT-PM-05(01)</t>
  </si>
  <si>
    <t xml:space="preserve">PM-05(01)</t>
  </si>
  <si>
    <t xml:space="preserve">System Inventory | Inventory of Personally Identifiable Information</t>
  </si>
  <si>
    <t xml:space="preserve">Not a direct configuration item - enhancement of PM-05 (System Inventory): 'Inventory of Personally Identifiable Information'; organization-wide system inventory.</t>
  </si>
  <si>
    <t xml:space="preserve">ไม่ใช่การ config โดยตรง - ส่วนขยายของ PM-05: 'Inventory of Personally Identifiable Information' - บัญชีระบบระดับองค์กร</t>
  </si>
  <si>
    <t xml:space="preserve">ESBIT-PM-06</t>
  </si>
  <si>
    <t xml:space="preserve">PM-06</t>
  </si>
  <si>
    <t xml:space="preserve">Measures of Performance</t>
  </si>
  <si>
    <t xml:space="preserve">GV.OV-03</t>
  </si>
  <si>
    <t xml:space="preserve">Organizational cybersecurity risk management performance is evaluated and reviewed for adjustments needed</t>
  </si>
  <si>
    <t xml:space="preserve">Not a direct configuration item - security and privacy performance measures</t>
  </si>
  <si>
    <t xml:space="preserve">ไม่ใช่การ config โดยตรง - ตัวชี้วัดประสิทธิภาพด้านความมั่นคงปลอดภัย</t>
  </si>
  <si>
    <t xml:space="preserve">ESBIT-PM-07</t>
  </si>
  <si>
    <t xml:space="preserve">PM-07</t>
  </si>
  <si>
    <t xml:space="preserve">Enterprise Architecture</t>
  </si>
  <si>
    <t xml:space="preserve">GV.RM - Risk Management Strategy</t>
  </si>
  <si>
    <t xml:space="preserve">GV.RM-04</t>
  </si>
  <si>
    <t xml:space="preserve">Strategic direction that describes appropriate risk response options is established and communicated</t>
  </si>
  <si>
    <t xml:space="preserve">Not a direct configuration item - security integrated into enterprise architecture</t>
  </si>
  <si>
    <t xml:space="preserve">ไม่ใช่การ config โดยตรง - การผนวกความมั่นคงปลอดภัยในสถาปัตยกรรมองค์กร</t>
  </si>
  <si>
    <t xml:space="preserve">ESBIT-PM-07(01)</t>
  </si>
  <si>
    <t xml:space="preserve">PM-07(01)</t>
  </si>
  <si>
    <t xml:space="preserve">Enterprise Architecture | Offloading</t>
  </si>
  <si>
    <t xml:space="preserve">Not a direct configuration item - enhancement of PM-07 (Enterprise Architecture): 'Offloading'; security integrated into enterprise architecture.</t>
  </si>
  <si>
    <t xml:space="preserve">ไม่ใช่การ config โดยตรง - ส่วนขยายของ PM-07: 'Offloading' - การผนวกความมั่นคงปลอดภัยในสถาปัตยกรรมองค์กร</t>
  </si>
  <si>
    <t xml:space="preserve">ESBIT-PM-08</t>
  </si>
  <si>
    <t xml:space="preserve">PM-08</t>
  </si>
  <si>
    <t xml:space="preserve">Critical Infrastructure Plan</t>
  </si>
  <si>
    <t xml:space="preserve">GV.OC - Organizational Context</t>
  </si>
  <si>
    <t xml:space="preserve">GV.OC-04</t>
  </si>
  <si>
    <t xml:space="preserve">Critical objectives, capabilities, and services that external stakeholders depend on or expect from the organization are understood and communicated</t>
  </si>
  <si>
    <t xml:space="preserve">Not a direct configuration item - critical infrastructure and key resources protection plan</t>
  </si>
  <si>
    <t xml:space="preserve">ไม่ใช่การ config โดยตรง - แผนป้องกันโครงสร้างพื้นฐานสำคัญ</t>
  </si>
  <si>
    <t xml:space="preserve">ESBIT-PM-09</t>
  </si>
  <si>
    <t xml:space="preserve">PM-09</t>
  </si>
  <si>
    <t xml:space="preserve">Risk Management Strategy</t>
  </si>
  <si>
    <t xml:space="preserve">GV.RM-03</t>
  </si>
  <si>
    <t xml:space="preserve">Cybersecurity risk management activities and outcomes are included in enterprise risk management processes</t>
  </si>
  <si>
    <t xml:space="preserve">Not a direct configuration item - organization-wide risk management strategy</t>
  </si>
  <si>
    <t xml:space="preserve">ไม่ใช่การ config โดยตรง - กลยุทธ์บริหารความเสี่ยงระดับองค์กร</t>
  </si>
  <si>
    <t xml:space="preserve">ESBIT-PM-10</t>
  </si>
  <si>
    <t xml:space="preserve">PM-10</t>
  </si>
  <si>
    <t xml:space="preserve">Authorization Process</t>
  </si>
  <si>
    <t xml:space="preserve">GV.RR-02</t>
  </si>
  <si>
    <t xml:space="preserve">Roles, responsibilities, and authorities related to cybersecurity risk management are established, communicated, understood, and enforced</t>
  </si>
  <si>
    <t xml:space="preserve">Not a direct configuration item - authorization process for systems and common controls</t>
  </si>
  <si>
    <t xml:space="preserve">ไม่ใช่การ config โดยตรง - กระบวนการอนุมัติระบบและมาตรการร่วม</t>
  </si>
  <si>
    <t xml:space="preserve">ESBIT-PM-11</t>
  </si>
  <si>
    <t xml:space="preserve">PM-11</t>
  </si>
  <si>
    <t xml:space="preserve">Mission and Business Process Definition</t>
  </si>
  <si>
    <t xml:space="preserve">GV.OC-01</t>
  </si>
  <si>
    <t xml:space="preserve">The organizational mission is understood and informs cybersecurity risk management</t>
  </si>
  <si>
    <t xml:space="preserve">Not a direct configuration item - defining mission processes and protection needs</t>
  </si>
  <si>
    <t xml:space="preserve">ไม่ใช่การ config โดยตรง - การกำหนดกระบวนการหลักและความต้องการป้องกัน</t>
  </si>
  <si>
    <t xml:space="preserve">ESBIT-PM-12</t>
  </si>
  <si>
    <t xml:space="preserve">PM-12</t>
  </si>
  <si>
    <t xml:space="preserve">Insider Threat Program</t>
  </si>
  <si>
    <t xml:space="preserve">GV.RR-04</t>
  </si>
  <si>
    <t xml:space="preserve">Cybersecurity is included in human resources practices</t>
  </si>
  <si>
    <t xml:space="preserve">Not a direct configuration item - insider threat program</t>
  </si>
  <si>
    <t xml:space="preserve">ไม่ใช่การ config โดยตรง - โปรแกรมป้องกันภัยคุกคามจากบุคลากรภายใน</t>
  </si>
  <si>
    <t xml:space="preserve">ESBIT-PM-13</t>
  </si>
  <si>
    <t xml:space="preserve">PM-13</t>
  </si>
  <si>
    <t xml:space="preserve">Security and Privacy Workforce</t>
  </si>
  <si>
    <t xml:space="preserve">Not a direct configuration item - security and privacy workforce development</t>
  </si>
  <si>
    <t xml:space="preserve">ไม่ใช่การ config โดยตรง - การพัฒนากำลังคนด้านความมั่นคงปลอดภัย</t>
  </si>
  <si>
    <t xml:space="preserve">ESBIT-PM-14</t>
  </si>
  <si>
    <t xml:space="preserve">PM-14</t>
  </si>
  <si>
    <t xml:space="preserve">Testing, Training, and Monitoring</t>
  </si>
  <si>
    <t xml:space="preserve">Not a direct configuration item - organization-wide testing, training and monitoring program</t>
  </si>
  <si>
    <t xml:space="preserve">ไม่ใช่การ config โดยตรง - โปรแกรมทดสอบ อบรม และเฝ้าระวังระดับองค์กร</t>
  </si>
  <si>
    <t xml:space="preserve">ESBIT-PM-15</t>
  </si>
  <si>
    <t xml:space="preserve">PM-15</t>
  </si>
  <si>
    <t xml:space="preserve">Security and Privacy Groups and Associations</t>
  </si>
  <si>
    <t xml:space="preserve">ID.RA-02</t>
  </si>
  <si>
    <t xml:space="preserve">Cyber threat intelligence is received from information sharing forums and sources</t>
  </si>
  <si>
    <t xml:space="preserve">Not a direct configuration item - contact with security groups and associations</t>
  </si>
  <si>
    <t xml:space="preserve">ไม่ใช่การ config โดยตรง - การติดต่อกลุ่ม/สมาคมด้านความมั่นคงปลอดภัย</t>
  </si>
  <si>
    <t xml:space="preserve">ESBIT-PM-16</t>
  </si>
  <si>
    <t xml:space="preserve">PM-16</t>
  </si>
  <si>
    <t xml:space="preserve">Threat Awareness Program</t>
  </si>
  <si>
    <t xml:space="preserve">Not a direct configuration item - threat awareness and intelligence sharing program</t>
  </si>
  <si>
    <t xml:space="preserve">ไม่ใช่การ config โดยตรง - โปรแกรมตระหนักรู้ภัยคุกคามและแลกเปลี่ยนข่าวกรอง</t>
  </si>
  <si>
    <t xml:space="preserve">ESBIT-PM-16(01)</t>
  </si>
  <si>
    <t xml:space="preserve">PM-16(01)</t>
  </si>
  <si>
    <t xml:space="preserve">Threat Awareness Program | Automated Means for Sharing Threat Intelligence</t>
  </si>
  <si>
    <t xml:space="preserve">Not a direct configuration item - enhancement of PM-16 (Threat Awareness Program): 'Automated Means for Sharing Threat Intelligence'; threat awareness and intelligence sharing program.</t>
  </si>
  <si>
    <t xml:space="preserve">ไม่ใช่การ config โดยตรง - ส่วนขยายของ PM-16: 'Automated Means for Sharing Threat Intelligence' - โปรแกรมตระหนักรู้ภัยคุกคามและแลกเปลี่ยนข่าวกรอง</t>
  </si>
  <si>
    <t xml:space="preserve">ESBIT-PM-17</t>
  </si>
  <si>
    <t xml:space="preserve">PM-17</t>
  </si>
  <si>
    <t xml:space="preserve">Protecting Controlled Unclassified Information on External Systems</t>
  </si>
  <si>
    <t xml:space="preserve">GV.SC - Cybersecurity Supply Chain Risk Management</t>
  </si>
  <si>
    <t xml:space="preserve">GV.SC-05</t>
  </si>
  <si>
    <t xml:space="preserve">Requirements to address cybersecurity risks in supply chains are established, prioritized, and integrated into contracts and other types of agreements with suppliers and other relevant third parties</t>
  </si>
  <si>
    <t xml:space="preserve">Not a direct configuration item - protecting controlled information on external systems</t>
  </si>
  <si>
    <t xml:space="preserve">ไม่ใช่การ config โดยตรง - การป้องกันข้อมูลควบคุมบนระบบภายนอก</t>
  </si>
  <si>
    <t xml:space="preserve">ESBIT-PM-18</t>
  </si>
  <si>
    <t xml:space="preserve">PM-18</t>
  </si>
  <si>
    <t xml:space="preserve">Privacy Program Plan</t>
  </si>
  <si>
    <t xml:space="preserve">Not a direct configuration item - privacy program plan</t>
  </si>
  <si>
    <t xml:space="preserve">ไม่ใช่การ config โดยตรง - แผนโปรแกรมความเป็นส่วนตัว</t>
  </si>
  <si>
    <t xml:space="preserve">ESBIT-PM-19</t>
  </si>
  <si>
    <t xml:space="preserve">PM-19</t>
  </si>
  <si>
    <t xml:space="preserve">Privacy Program Leadership Role</t>
  </si>
  <si>
    <t xml:space="preserve">Not a direct configuration item - privacy program leadership role</t>
  </si>
  <si>
    <t xml:space="preserve">ไม่ใช่การ config โดยตรง - บทบาทผู้นำโปรแกรมความเป็นส่วนตัว</t>
  </si>
  <si>
    <t xml:space="preserve">ESBIT-PM-20</t>
  </si>
  <si>
    <t xml:space="preserve">PM-20</t>
  </si>
  <si>
    <t xml:space="preserve">Dissemination of Privacy Program Information</t>
  </si>
  <si>
    <t xml:space="preserve">Not a direct configuration item - public dissemination of privacy program information</t>
  </si>
  <si>
    <t xml:space="preserve">ไม่ใช่การ config โดยตรง - การเผยแพร่ข้อมูลโปรแกรมความเป็นส่วนตัว</t>
  </si>
  <si>
    <t xml:space="preserve">ESBIT-PM-20(01)</t>
  </si>
  <si>
    <t xml:space="preserve">PM-20(01)</t>
  </si>
  <si>
    <t xml:space="preserve">Dissemination of Privacy Program Information | Privacy Policies on Websites, Applications, and Digital Services</t>
  </si>
  <si>
    <t xml:space="preserve">Not a direct configuration item - enhancement of PM-20 (Dissemination of Privacy Program Information): 'Privacy Policies on Websites, Applications, and Digital Services'; public dissemination of privacy program information.</t>
  </si>
  <si>
    <t xml:space="preserve">ไม่ใช่การ config โดยตรง - ส่วนขยายของ PM-20: 'Privacy Policies on Websites, Applications, and Digital Services' - การเผยแพร่ข้อมูลโปรแกรมความเป็นส่วนตัว</t>
  </si>
  <si>
    <t xml:space="preserve">ESBIT-PM-21</t>
  </si>
  <si>
    <t xml:space="preserve">PM-21</t>
  </si>
  <si>
    <t xml:space="preserve">Accounting of Disclosures</t>
  </si>
  <si>
    <t xml:space="preserve">GV.OC-03</t>
  </si>
  <si>
    <t xml:space="preserve">Legal, regulatory, and contractual requirements regarding cybersecurity, including privacy and civil liberties obligations, are understood and managed</t>
  </si>
  <si>
    <t xml:space="preserve">Not a direct configuration item - accounting of PII disclosures</t>
  </si>
  <si>
    <t xml:space="preserve">ไม่ใช่การ config โดยตรง - การบันทึกการเปิดเผย PII</t>
  </si>
  <si>
    <t xml:space="preserve">ESBIT-PM-22</t>
  </si>
  <si>
    <t xml:space="preserve">PM-22</t>
  </si>
  <si>
    <t xml:space="preserve">Personally Identifiable Information Quality Management</t>
  </si>
  <si>
    <t xml:space="preserve">Not a direct configuration item - PII quality and integrity management</t>
  </si>
  <si>
    <t xml:space="preserve">ไม่ใช่การ config โดยตรง - การบริหารคุณภาพ PII</t>
  </si>
  <si>
    <t xml:space="preserve">ESBIT-PM-23</t>
  </si>
  <si>
    <t xml:space="preserve">PM-23</t>
  </si>
  <si>
    <t xml:space="preserve">Data Governance Body</t>
  </si>
  <si>
    <t xml:space="preserve">GV.OV-01</t>
  </si>
  <si>
    <t xml:space="preserve">Cybersecurity risk management strategy outcomes are reviewed to inform and adjust strategy and direction</t>
  </si>
  <si>
    <t xml:space="preserve">Not a direct configuration item - data governance body</t>
  </si>
  <si>
    <t xml:space="preserve">ไม่ใช่การ config โดยตรง - คณะกรรมการกำกับดูแลข้อมูล</t>
  </si>
  <si>
    <t xml:space="preserve">ESBIT-PM-24</t>
  </si>
  <si>
    <t xml:space="preserve">PM-24</t>
  </si>
  <si>
    <t xml:space="preserve">Data Integrity Board</t>
  </si>
  <si>
    <t xml:space="preserve">Not a direct configuration item - data integrity board oversight</t>
  </si>
  <si>
    <t xml:space="preserve">ไม่ใช่การ config โดยตรง - คณะกรรมการดูแลความถูกต้องข้อมูล</t>
  </si>
  <si>
    <t xml:space="preserve">ESBIT-PM-25</t>
  </si>
  <si>
    <t xml:space="preserve">PM-25</t>
  </si>
  <si>
    <t xml:space="preserve">Minimization of Personally Identifiable Information Used in Testing, Training, and Research</t>
  </si>
  <si>
    <t xml:space="preserve">Not a direct configuration item - minimizing PII in test, training and research</t>
  </si>
  <si>
    <t xml:space="preserve">ไม่ใช่การ config โดยตรง - การลด PII ที่ใช้ในการทดสอบ อบรม และวิจัย</t>
  </si>
  <si>
    <t xml:space="preserve">ESBIT-PM-26</t>
  </si>
  <si>
    <t xml:space="preserve">PM-26</t>
  </si>
  <si>
    <t xml:space="preserve">Complaint Management</t>
  </si>
  <si>
    <t xml:space="preserve">Not a direct configuration item - privacy complaint management</t>
  </si>
  <si>
    <t xml:space="preserve">ไม่ใช่การ config โดยตรง - การจัดการข้อร้องเรียนด้านความเป็นส่วนตัว</t>
  </si>
  <si>
    <t xml:space="preserve">ESBIT-PM-27</t>
  </si>
  <si>
    <t xml:space="preserve">PM-27</t>
  </si>
  <si>
    <t xml:space="preserve">Privacy Reporting</t>
  </si>
  <si>
    <t xml:space="preserve">Not a direct configuration item - privacy reporting to oversight bodies</t>
  </si>
  <si>
    <t xml:space="preserve">ไม่ใช่การ config โดยตรง - การรายงานความเป็นส่วนตัวต่อผู้กำกับดูแล</t>
  </si>
  <si>
    <t xml:space="preserve">ESBIT-PM-28</t>
  </si>
  <si>
    <t xml:space="preserve">PM-28</t>
  </si>
  <si>
    <t xml:space="preserve">Risk Framing</t>
  </si>
  <si>
    <t xml:space="preserve">GV.RM-02</t>
  </si>
  <si>
    <t xml:space="preserve">Risk appetite and risk tolerance statements are established, communicated, and maintained</t>
  </si>
  <si>
    <t xml:space="preserve">Not a direct configuration item - risk framing, assumptions and tolerance</t>
  </si>
  <si>
    <t xml:space="preserve">ไม่ใช่การ config โดยตรง - การกำหนดกรอบความเสี่ยง สมมติฐาน และระดับที่ยอมรับได้</t>
  </si>
  <si>
    <t xml:space="preserve">ESBIT-PM-29</t>
  </si>
  <si>
    <t xml:space="preserve">PM-29</t>
  </si>
  <si>
    <t xml:space="preserve">Risk Management Program Leadership Roles</t>
  </si>
  <si>
    <t xml:space="preserve">Not a direct configuration item - risk management program leadership roles</t>
  </si>
  <si>
    <t xml:space="preserve">ไม่ใช่การ config โดยตรง - บทบาทผู้นำโปรแกรมบริหารความเสี่ยง</t>
  </si>
  <si>
    <t xml:space="preserve">ESBIT-PM-30</t>
  </si>
  <si>
    <t xml:space="preserve">PM-30</t>
  </si>
  <si>
    <t xml:space="preserve">Supply Chain Risk Management Strategy</t>
  </si>
  <si>
    <t xml:space="preserve">GV.SC-01</t>
  </si>
  <si>
    <t xml:space="preserve">A cybersecurity supply chain risk management program, strategy, objectives, policies, and processes are established and agreed to by organizational stakeholders</t>
  </si>
  <si>
    <t xml:space="preserve">Not a direct configuration item - supply chain risk management strategy</t>
  </si>
  <si>
    <t xml:space="preserve">ไม่ใช่การ config โดยตรง - กลยุทธ์บริหารความเสี่ยงห่วงโซ่อุปทาน</t>
  </si>
  <si>
    <t xml:space="preserve">ESBIT-PM-30(01)</t>
  </si>
  <si>
    <t xml:space="preserve">PM-30(01)</t>
  </si>
  <si>
    <t xml:space="preserve">Supply Chain Risk Management Strategy | Suppliers of Critical or Mission-essential Items</t>
  </si>
  <si>
    <t xml:space="preserve">Not a direct configuration item - enhancement of PM-30 (Supply Chain Risk Management Strategy): 'Suppliers of Critical or Mission-essential Items'; supply chain risk management strategy.</t>
  </si>
  <si>
    <t xml:space="preserve">ไม่ใช่การ config โดยตรง - ส่วนขยายของ PM-30: 'Suppliers of Critical or Mission-essential Items' - กลยุทธ์บริหารความเสี่ยงห่วงโซ่อุปทาน</t>
  </si>
  <si>
    <t xml:space="preserve">ESBIT-PM-31</t>
  </si>
  <si>
    <t xml:space="preserve">PM-31</t>
  </si>
  <si>
    <t xml:space="preserve">Continuous Monitoring Strategy</t>
  </si>
  <si>
    <t xml:space="preserve">Not a direct configuration item - organization-wide continuous monitoring strategy</t>
  </si>
  <si>
    <t xml:space="preserve">ไม่ใช่การ config โดยตรง - กลยุทธ์การเฝ้าระวังต่อเนื่องระดับองค์กร</t>
  </si>
  <si>
    <t xml:space="preserve">ESBIT-PM-32</t>
  </si>
  <si>
    <t xml:space="preserve">PM-32</t>
  </si>
  <si>
    <t xml:space="preserve">Purposing</t>
  </si>
  <si>
    <t xml:space="preserve">Not a direct configuration item - ensuring systems are used only for intended purposes</t>
  </si>
  <si>
    <t xml:space="preserve">ไม่ใช่การ config โดยตรง - การใช้ระบบตามวัตถุประสงค์ที่กำหนด</t>
  </si>
  <si>
    <t xml:space="preserve">ESBIT-PS-01</t>
  </si>
  <si>
    <t xml:space="preserve">PS-01</t>
  </si>
  <si>
    <t xml:space="preserve">Personnel Security (PS)</t>
  </si>
  <si>
    <t xml:space="preserve">Not a direct configuration item - define, document, review and communicate the Personnel Security policy and procedures that drive the technical configuration standards.</t>
  </si>
  <si>
    <t xml:space="preserve">ไม่ใช่การ config โดยตรง - กำหนด จัดทำเอกสาร และทบทวนนโยบาย/ขั้นตอนของหมวดความมั่นคงปลอดภัยด้านบุคลากร เพื่อเป็นฐานในการกำหนดมาตรฐาน Config</t>
  </si>
  <si>
    <t xml:space="preserve">ESBIT-PS-02</t>
  </si>
  <si>
    <t xml:space="preserve">PS-02</t>
  </si>
  <si>
    <t xml:space="preserve">Position Risk Designation</t>
  </si>
  <si>
    <t xml:space="preserve">Not a direct configuration item - risk designation of positions</t>
  </si>
  <si>
    <t xml:space="preserve">ไม่ใช่การ config โดยตรง - การกำหนดระดับความเสี่ยงของตำแหน่งงาน</t>
  </si>
  <si>
    <t xml:space="preserve">ESBIT-PS-03</t>
  </si>
  <si>
    <t xml:space="preserve">PS-03</t>
  </si>
  <si>
    <t xml:space="preserve">Personnel Screening</t>
  </si>
  <si>
    <t xml:space="preserve">Not a direct configuration item - background screening before granting access</t>
  </si>
  <si>
    <t xml:space="preserve">ไม่ใช่การ config โดยตรง - การตรวจสอบประวัติก่อนให้สิทธิ์</t>
  </si>
  <si>
    <t xml:space="preserve">ESBIT-PS-03(01)</t>
  </si>
  <si>
    <t xml:space="preserve">PS-03(01)</t>
  </si>
  <si>
    <t xml:space="preserve">Personnel Screening | Classified Information</t>
  </si>
  <si>
    <t xml:space="preserve">Not a direct configuration item - enhancement of PS-03 (Personnel Screening): 'Classified Information'; background screening before granting access.</t>
  </si>
  <si>
    <t xml:space="preserve">ไม่ใช่การ config โดยตรง - ส่วนขยายของ PS-03: 'Classified Information' - การตรวจสอบประวัติก่อนให้สิทธิ์</t>
  </si>
  <si>
    <t xml:space="preserve">ESBIT-PS-03(02)</t>
  </si>
  <si>
    <t xml:space="preserve">PS-03(02)</t>
  </si>
  <si>
    <t xml:space="preserve">Personnel Screening | Formal Indoctrination</t>
  </si>
  <si>
    <t xml:space="preserve">Not a direct configuration item - enhancement of PS-03 (Personnel Screening): 'Formal Indoctrination'; background screening before granting access.</t>
  </si>
  <si>
    <t xml:space="preserve">ไม่ใช่การ config โดยตรง - ส่วนขยายของ PS-03: 'Formal Indoctrination' - การตรวจสอบประวัติก่อนให้สิทธิ์</t>
  </si>
  <si>
    <t xml:space="preserve">ESBIT-PS-03(03)</t>
  </si>
  <si>
    <t xml:space="preserve">PS-03(03)</t>
  </si>
  <si>
    <t xml:space="preserve">Personnel Screening | Information Requiring Special Protective Measures</t>
  </si>
  <si>
    <t xml:space="preserve">Not a direct configuration item - enhancement of PS-03 (Personnel Screening): 'Information Requiring Special Protective Measures'; background screening before granting access.</t>
  </si>
  <si>
    <t xml:space="preserve">ไม่ใช่การ config โดยตรง - ส่วนขยายของ PS-03: 'Information Requiring Special Protective Measures' - การตรวจสอบประวัติก่อนให้สิทธิ์</t>
  </si>
  <si>
    <t xml:space="preserve">ESBIT-PS-03(04)</t>
  </si>
  <si>
    <t xml:space="preserve">PS-03(04)</t>
  </si>
  <si>
    <t xml:space="preserve">Personnel Screening | Citizenship Requirements</t>
  </si>
  <si>
    <t xml:space="preserve">Not a direct configuration item - enhancement of PS-03 (Personnel Screening): 'Citizenship Requirements'; background screening before granting access.</t>
  </si>
  <si>
    <t xml:space="preserve">ไม่ใช่การ config โดยตรง - ส่วนขยายของ PS-03: 'Citizenship Requirements' - การตรวจสอบประวัติก่อนให้สิทธิ์</t>
  </si>
  <si>
    <t xml:space="preserve">ESBIT-PS-04</t>
  </si>
  <si>
    <t xml:space="preserve">PS-04</t>
  </si>
  <si>
    <t xml:space="preserve">Personnel Termination</t>
  </si>
  <si>
    <t xml:space="preserve">Configure prompt disabling of accounts and revocation of access and tokens on termination</t>
  </si>
  <si>
    <t xml:space="preserve">ตั้งค่าปิดบัญชีและเพิกถอนสิทธิ์/Token ทันทีเมื่อสิ้นสุดการจ้าง</t>
  </si>
  <si>
    <t xml:space="preserve">ESBIT-PS-04(01)</t>
  </si>
  <si>
    <t xml:space="preserve">PS-04(01)</t>
  </si>
  <si>
    <t xml:space="preserve">Personnel Termination | Post-employment Requirements</t>
  </si>
  <si>
    <t xml:space="preserve">Enhances PS-04 (Personnel Termination): configure and enforce 'Post-employment Requirements' in addition to the base setting, keep it consistent across applicable systems and document approved exceptions. Base scope: Configure prompt disabling of accounts and revocation of access and tokens on termination</t>
  </si>
  <si>
    <t xml:space="preserve">ส่วนขยายของ PS-04: กำหนดค่าและบังคับใช้ 'Post-employment Requirements' เพิ่มเติมจากค่าพื้นฐาน ให้สอดคล้องทุกระบบที่เกี่ยวข้อง และบันทึกข้อยกเว้น - ตั้งค่าปิดบัญชีและเพิกถอนสิทธิ์/Token ทันทีเมื่อสิ้นสุดการจ้าง</t>
  </si>
  <si>
    <t xml:space="preserve">ESBIT-PS-04(02)</t>
  </si>
  <si>
    <t xml:space="preserve">PS-04(02)</t>
  </si>
  <si>
    <t xml:space="preserve">Personnel Termination | Automated Actions</t>
  </si>
  <si>
    <t xml:space="preserve">Enhances PS-04 (Personnel Termination): configure and enforce 'Automated Actions' in addition to the base setting, keep it consistent across applicable systems and document approved exceptions. Base scope: Configure prompt disabling of accounts and revocation of access and tokens on termination</t>
  </si>
  <si>
    <t xml:space="preserve">ส่วนขยายของ PS-04: กำหนดค่าและบังคับใช้ 'Automated Actions' เพิ่มเติมจากค่าพื้นฐาน ให้สอดคล้องทุกระบบที่เกี่ยวข้อง และบันทึกข้อยกเว้น - ตั้งค่าปิดบัญชีและเพิกถอนสิทธิ์/Token ทันทีเมื่อสิ้นสุดการจ้าง</t>
  </si>
  <si>
    <t xml:space="preserve">ESBIT-PS-05</t>
  </si>
  <si>
    <t xml:space="preserve">PS-05</t>
  </si>
  <si>
    <t xml:space="preserve">Personnel Transfer</t>
  </si>
  <si>
    <t xml:space="preserve">Configure review and adjustment of access on personnel transfer</t>
  </si>
  <si>
    <t xml:space="preserve">ตั้งค่าการทบทวนและปรับสิทธิ์เมื่อโยกย้ายบุคลากร</t>
  </si>
  <si>
    <t xml:space="preserve">ESBIT-PS-06</t>
  </si>
  <si>
    <t xml:space="preserve">PS-06</t>
  </si>
  <si>
    <t xml:space="preserve">Access Agreements</t>
  </si>
  <si>
    <t xml:space="preserve">Not a direct configuration item - signed access agreements</t>
  </si>
  <si>
    <t xml:space="preserve">ไม่ใช่การ config โดยตรง - ข้อตกลงการเข้าถึงที่ลงนามแล้ว</t>
  </si>
  <si>
    <t xml:space="preserve">ESBIT-PS-06(02)</t>
  </si>
  <si>
    <t xml:space="preserve">PS-06(02)</t>
  </si>
  <si>
    <t xml:space="preserve">Access Agreements | Classified Information</t>
  </si>
  <si>
    <t xml:space="preserve">Not a direct configuration item - enhancement of PS-06 (Access Agreements): 'Classified Information'; signed access agreements.</t>
  </si>
  <si>
    <t xml:space="preserve">ไม่ใช่การ config โดยตรง - ส่วนขยายของ PS-06: 'Classified Information' - ข้อตกลงการเข้าถึงที่ลงนามแล้ว</t>
  </si>
  <si>
    <t xml:space="preserve">ESBIT-PS-06(03)</t>
  </si>
  <si>
    <t xml:space="preserve">PS-06(03)</t>
  </si>
  <si>
    <t xml:space="preserve">Access Agreements | Post-employment Requirements</t>
  </si>
  <si>
    <t xml:space="preserve">Not a direct configuration item - enhancement of PS-06 (Access Agreements): 'Post-employment Requirements'; signed access agreements.</t>
  </si>
  <si>
    <t xml:space="preserve">ไม่ใช่การ config โดยตรง - ส่วนขยายของ PS-06: 'Post-employment Requirements' - ข้อตกลงการเข้าถึงที่ลงนามแล้ว</t>
  </si>
  <si>
    <t xml:space="preserve">ESBIT-PS-07</t>
  </si>
  <si>
    <t xml:space="preserve">PS-07</t>
  </si>
  <si>
    <t xml:space="preserve">External Personnel Security</t>
  </si>
  <si>
    <t xml:space="preserve">Not a direct configuration item - security requirements for external personnel</t>
  </si>
  <si>
    <t xml:space="preserve">ไม่ใช่การ config โดยตรง - ข้อกำหนดด้านความปลอดภัยสำหรับบุคลากรภายนอก</t>
  </si>
  <si>
    <t xml:space="preserve">ESBIT-PS-08</t>
  </si>
  <si>
    <t xml:space="preserve">PS-08</t>
  </si>
  <si>
    <t xml:space="preserve">Personnel Sanctions</t>
  </si>
  <si>
    <t xml:space="preserve">Not a direct configuration item - formal sanctions for policy violations</t>
  </si>
  <si>
    <t xml:space="preserve">ไม่ใช่การ config โดยตรง - มาตรการลงโทษเมื่อฝ่าฝืนนโยบาย</t>
  </si>
  <si>
    <t xml:space="preserve">ESBIT-PS-09</t>
  </si>
  <si>
    <t xml:space="preserve">PS-09</t>
  </si>
  <si>
    <t xml:space="preserve">Position Descriptions</t>
  </si>
  <si>
    <t xml:space="preserve">Not a direct configuration item - security roles in position descriptions</t>
  </si>
  <si>
    <t xml:space="preserve">ไม่ใช่การ config โดยตรง - การระบุบทบาทด้านความมั่นคงปลอดภัยในคำบรรยายตำแหน่ง</t>
  </si>
  <si>
    <t xml:space="preserve">ESBIT-PT-01</t>
  </si>
  <si>
    <t xml:space="preserve">PT-01</t>
  </si>
  <si>
    <t xml:space="preserve">PII Processing and Transparency (PT)</t>
  </si>
  <si>
    <t xml:space="preserve">Not a direct configuration item - define, document, review and communicate the PII Processing and Transparency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</si>
  <si>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และทบทวนนโยบาย/ขั้นตอนของหมวดการประมวลผล PII และความโปร่งใส เพื่อเป็นฐานในการกำหนดมาตรฐาน Config</t>
  </si>
  <si>
    <t xml:space="preserve">ESBIT-PT-02</t>
  </si>
  <si>
    <t xml:space="preserve">PT-02</t>
  </si>
  <si>
    <t xml:space="preserve">Authority to Process Personally Identifiable Information</t>
  </si>
  <si>
    <t xml:space="preserve">Not a direct configuration item - legal authority to process PII</t>
  </si>
  <si>
    <t xml:space="preserve">ไม่ใช่การ config โดยตรง - อำนาจตามกฎหมายในการประมวลผล PII</t>
  </si>
  <si>
    <t xml:space="preserve">ESBIT-PT-02(01)</t>
  </si>
  <si>
    <t xml:space="preserve">PT-02(01)</t>
  </si>
  <si>
    <t xml:space="preserve">Authority to Process Personally Identifiable Information | Data Tagging</t>
  </si>
  <si>
    <t xml:space="preserve">Not a direct configuration item - enhancement of PT-02 (Authority to Process Personally Identifiable Information): 'Data Tagging'; legal authority to process PII.</t>
  </si>
  <si>
    <t xml:space="preserve">ไม่ใช่การ config โดยตรง - ส่วนขยายของ PT-02: 'Data Tagging' - อำนาจตามกฎหมายในการประมวลผล PII</t>
  </si>
  <si>
    <t xml:space="preserve">ESBIT-PT-02(02)</t>
  </si>
  <si>
    <t xml:space="preserve">PT-02(02)</t>
  </si>
  <si>
    <t xml:space="preserve">Authority to Process Personally Identifiable Information | Automation</t>
  </si>
  <si>
    <t xml:space="preserve">Not a direct configuration item - enhancement of PT-02 (Authority to Process Personally Identifiable Information): 'Automation'; legal authority to process PII.</t>
  </si>
  <si>
    <t xml:space="preserve">ไม่ใช่การ config โดยตรง - ส่วนขยายของ PT-02: 'Automation' - อำนาจตามกฎหมายในการประมวลผล PII</t>
  </si>
  <si>
    <t xml:space="preserve">ESBIT-PT-03</t>
  </si>
  <si>
    <t xml:space="preserve">PT-03</t>
  </si>
  <si>
    <t xml:space="preserve">Personally Identifiable Information Processing Purposes</t>
  </si>
  <si>
    <t xml:space="preserve">Not a direct configuration item - documenting purposes of PII processing</t>
  </si>
  <si>
    <t xml:space="preserve">ไม่ใช่การ config โดยตรง - การบันทึกวัตถุประสงค์การประมวลผล PII</t>
  </si>
  <si>
    <t xml:space="preserve">ESBIT-PT-03(01)</t>
  </si>
  <si>
    <t xml:space="preserve">PT-03(01)</t>
  </si>
  <si>
    <t xml:space="preserve">Personally Identifiable Information Processing Purposes | Data Tagging</t>
  </si>
  <si>
    <t xml:space="preserve">Not a direct configuration item - enhancement of PT-03 (Personally Identifiable Information Processing Purposes): 'Data Tagging'; documenting purposes of PII processing.</t>
  </si>
  <si>
    <t xml:space="preserve">ไม่ใช่การ config โดยตรง - ส่วนขยายของ PT-03: 'Data Tagging' - การบันทึกวัตถุประสงค์การประมวลผล PII</t>
  </si>
  <si>
    <t xml:space="preserve">ESBIT-PT-03(02)</t>
  </si>
  <si>
    <t xml:space="preserve">PT-03(02)</t>
  </si>
  <si>
    <t xml:space="preserve">Personally Identifiable Information Processing Purposes | Automation</t>
  </si>
  <si>
    <t xml:space="preserve">Not a direct configuration item - enhancement of PT-03 (Personally Identifiable Information Processing Purposes): 'Automation'; documenting purposes of PII processing.</t>
  </si>
  <si>
    <t xml:space="preserve">ไม่ใช่การ config โดยตรง - ส่วนขยายของ PT-03: 'Automation' - การบันทึกวัตถุประสงค์การประมวลผล PII</t>
  </si>
  <si>
    <t xml:space="preserve">ESBIT-PT-04</t>
  </si>
  <si>
    <t xml:space="preserve">PT-04</t>
  </si>
  <si>
    <t xml:space="preserve">Consent</t>
  </si>
  <si>
    <t xml:space="preserve">Not a direct configuration item - consent mechanisms for PII processing</t>
  </si>
  <si>
    <t xml:space="preserve">ไม่ใช่การ config โดยตรง - กลไกขอความยินยอมในการประมวลผล PII</t>
  </si>
  <si>
    <t xml:space="preserve">ESBIT-PT-04(01)</t>
  </si>
  <si>
    <t xml:space="preserve">PT-04(01)</t>
  </si>
  <si>
    <t xml:space="preserve">Consent | Tailored Consent</t>
  </si>
  <si>
    <t xml:space="preserve">Not a direct configuration item - enhancement of PT-04 (Consent): 'Tailored Consent'; consent mechanisms for PII processing.</t>
  </si>
  <si>
    <t xml:space="preserve">ไม่ใช่การ config โดยตรง - ส่วนขยายของ PT-04: 'Tailored Consent' - กลไกขอความยินยอมในการประมวลผล PII</t>
  </si>
  <si>
    <t xml:space="preserve">ESBIT-PT-04(02)</t>
  </si>
  <si>
    <t xml:space="preserve">PT-04(02)</t>
  </si>
  <si>
    <t xml:space="preserve">Consent | Just-in-time Consent</t>
  </si>
  <si>
    <t xml:space="preserve">Not a direct configuration item - enhancement of PT-04 (Consent): 'Just-in-time Consent'; consent mechanisms for PII processing.</t>
  </si>
  <si>
    <t xml:space="preserve">ไม่ใช่การ config โดยตรง - ส่วนขยายของ PT-04: 'Just-in-time Consent' - กลไกขอความยินยอมในการประมวลผล PII</t>
  </si>
  <si>
    <t xml:space="preserve">ESBIT-PT-04(03)</t>
  </si>
  <si>
    <t xml:space="preserve">PT-04(03)</t>
  </si>
  <si>
    <t xml:space="preserve">Consent | Revocation</t>
  </si>
  <si>
    <t xml:space="preserve">Not a direct configuration item - enhancement of PT-04 (Consent): 'Revocation'; consent mechanisms for PII processing.</t>
  </si>
  <si>
    <t xml:space="preserve">ไม่ใช่การ config โดยตรง - ส่วนขยายของ PT-04: 'Revocation' - กลไกขอความยินยอมในการประมวลผล PII</t>
  </si>
  <si>
    <t xml:space="preserve">ESBIT-PT-05</t>
  </si>
  <si>
    <t xml:space="preserve">PT-05</t>
  </si>
  <si>
    <t xml:space="preserve">Privacy Notice</t>
  </si>
  <si>
    <t xml:space="preserve">Not a direct configuration item - privacy notices to individuals</t>
  </si>
  <si>
    <t xml:space="preserve">ไม่ใช่การ config โดยตรง - ประกาศความเป็นส่วนตัวถึงเจ้าของข้อมูล</t>
  </si>
  <si>
    <t xml:space="preserve">ESBIT-PT-05(01)</t>
  </si>
  <si>
    <t xml:space="preserve">PT-05(01)</t>
  </si>
  <si>
    <t xml:space="preserve">Privacy Notice | Just-in-time Notice</t>
  </si>
  <si>
    <t xml:space="preserve">Not a direct configuration item - enhancement of PT-05 (Privacy Notice): 'Just-in-time Notice'; privacy notices to individuals.</t>
  </si>
  <si>
    <t xml:space="preserve">ไม่ใช่การ config โดยตรง - ส่วนขยายของ PT-05: 'Just-in-time Notice' - ประกาศความเป็นส่วนตัวถึงเจ้าของข้อมูล</t>
  </si>
  <si>
    <t xml:space="preserve">ESBIT-PT-05(02)</t>
  </si>
  <si>
    <t xml:space="preserve">PT-05(02)</t>
  </si>
  <si>
    <t xml:space="preserve">Privacy Notice | Privacy Act Statements</t>
  </si>
  <si>
    <t xml:space="preserve">Not a direct configuration item - enhancement of PT-05 (Privacy Notice): 'Privacy Act Statements'; privacy notices to individuals.</t>
  </si>
  <si>
    <t xml:space="preserve">ไม่ใช่การ config โดยตรง - ส่วนขยายของ PT-05: 'Privacy Act Statements' - ประกาศความเป็นส่วนตัวถึงเจ้าของข้อมูล</t>
  </si>
  <si>
    <t xml:space="preserve">ESBIT-PT-06</t>
  </si>
  <si>
    <t xml:space="preserve">PT-06</t>
  </si>
  <si>
    <t xml:space="preserve">System of Records Notice</t>
  </si>
  <si>
    <t xml:space="preserve">Not a direct configuration item - system of records notice publication</t>
  </si>
  <si>
    <t xml:space="preserve">ไม่ใช่การ config โดยตรง - การประกาศระบบทะเบียนข้อมูลส่วนบุคคล</t>
  </si>
  <si>
    <t xml:space="preserve">ESBIT-PT-06(01)</t>
  </si>
  <si>
    <t xml:space="preserve">PT-06(01)</t>
  </si>
  <si>
    <t xml:space="preserve">System of Records Notice | Publication</t>
  </si>
  <si>
    <t xml:space="preserve">Not a direct configuration item - enhancement of PT-06 (System of Records Notice): 'Publication'; system of records notice publication.</t>
  </si>
  <si>
    <t xml:space="preserve">ไม่ใช่การ config โดยตรง - ส่วนขยายของ PT-06: 'Publication' - การประกาศระบบทะเบียนข้อมูลส่วนบุคคล</t>
  </si>
  <si>
    <t xml:space="preserve">ESBIT-PT-06(02)</t>
  </si>
  <si>
    <t xml:space="preserve">PT-06(02)</t>
  </si>
  <si>
    <t xml:space="preserve">System of Records Notice | Review</t>
  </si>
  <si>
    <t xml:space="preserve">Not a direct configuration item - enhancement of PT-06 (System of Records Notice): 'Review'; system of records notice publication.</t>
  </si>
  <si>
    <t xml:space="preserve">ไม่ใช่การ config โดยตรง - ส่วนขยายของ PT-06: 'Review' - การประกาศระบบทะเบียนข้อมูลส่วนบุคคล</t>
  </si>
  <si>
    <t xml:space="preserve">ESBIT-PT-07</t>
  </si>
  <si>
    <t xml:space="preserve">PT-07</t>
  </si>
  <si>
    <t xml:space="preserve">Specific Categories of Personally Identifiable Information</t>
  </si>
  <si>
    <t xml:space="preserve">Not a direct configuration item - handling special categories of PII</t>
  </si>
  <si>
    <t xml:space="preserve">ไม่ใช่การ config โดยตรง - การจัดการข้อมูลส่วนบุคคลประเภทพิเศษ</t>
  </si>
  <si>
    <t xml:space="preserve">ESBIT-PT-07(01)</t>
  </si>
  <si>
    <t xml:space="preserve">PT-07(01)</t>
  </si>
  <si>
    <t xml:space="preserve">Specific Categories of Personally Identifiable Information | Social Security Numbers</t>
  </si>
  <si>
    <t xml:space="preserve">Not a direct configuration item - enhancement of PT-07 (Specific Categories of Personally Identifiable Information): 'Social Security Numbers'; handling special categories of PII.</t>
  </si>
  <si>
    <t xml:space="preserve">ไม่ใช่การ config โดยตรง - ส่วนขยายของ PT-07: 'Social Security Numbers' - การจัดการข้อมูลส่วนบุคคลประเภทพิเศษ</t>
  </si>
  <si>
    <t xml:space="preserve">ESBIT-PT-07(02)</t>
  </si>
  <si>
    <t xml:space="preserve">PT-07(02)</t>
  </si>
  <si>
    <t xml:space="preserve">Specific Categories of Personally Identifiable Information | First Amendment Information</t>
  </si>
  <si>
    <t xml:space="preserve">Not a direct configuration item - enhancement of PT-07 (Specific Categories of Personally Identifiable Information): 'First Amendment Information'; handling special categories of PII.</t>
  </si>
  <si>
    <t xml:space="preserve">ไม่ใช่การ config โดยตรง - ส่วนขยายของ PT-07: 'First Amendment Information' - การจัดการข้อมูลส่วนบุคคลประเภทพิเศษ</t>
  </si>
  <si>
    <t xml:space="preserve">ESBIT-PT-08</t>
  </si>
  <si>
    <t xml:space="preserve">PT-08</t>
  </si>
  <si>
    <t xml:space="preserve">Computer Matching Requirements</t>
  </si>
  <si>
    <t xml:space="preserve">Not a direct configuration item - computer matching agreements and reviews</t>
  </si>
  <si>
    <t xml:space="preserve">ไม่ใช่การ config โดยตรง - ข้อตกลงและการทบทวนการจับคู่ข้อมูลด้วยคอมพิวเตอร์</t>
  </si>
  <si>
    <t xml:space="preserve">ESBIT-RA-01</t>
  </si>
  <si>
    <t xml:space="preserve">RA-01</t>
  </si>
  <si>
    <t xml:space="preserve">Risk Assessment (RA)</t>
  </si>
  <si>
    <t xml:space="preserve">Not a direct configuration item - define, document, review and communicate the Risk Assessment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</si>
  <si>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และทบทวนนโยบาย/ขั้นตอนของหมวดการประเมินความเสี่ยง เพื่อเป็นฐานในการกำหนดมาตรฐาน Config</t>
  </si>
  <si>
    <t xml:space="preserve">ESBIT-RA-02</t>
  </si>
  <si>
    <t xml:space="preserve">RA-02</t>
  </si>
  <si>
    <t xml:space="preserve">Security Categorization</t>
  </si>
  <si>
    <t xml:space="preserve">ID.AM-05</t>
  </si>
  <si>
    <t xml:space="preserve">Assets are prioritized based on classification, criticality, resources, and impact on the mission</t>
  </si>
  <si>
    <t xml:space="preserve">Not a direct configuration item - categorizing systems and data by impact level</t>
  </si>
  <si>
    <t xml:space="preserve">ไม่ใช่การ config โดยตรง - การจัดชั้นระบบและข้อมูลตามระดับผลกระทบ</t>
  </si>
  <si>
    <t xml:space="preserve">ESBIT-RA-02(01)</t>
  </si>
  <si>
    <t xml:space="preserve">RA-02(01)</t>
  </si>
  <si>
    <t xml:space="preserve">Security Categorization | Impact-level Prioritization</t>
  </si>
  <si>
    <t xml:space="preserve">Not a direct configuration item - enhancement of RA-02 (Security Categorization): 'Impact-level Prioritization'; categorizing systems and data by impact level.</t>
  </si>
  <si>
    <t xml:space="preserve">ไม่ใช่การ config โดยตรง - ส่วนขยายของ RA-02: 'Impact-level Prioritization' - การจัดชั้นระบบและข้อมูลตามระดับผลกระทบ</t>
  </si>
  <si>
    <t xml:space="preserve">ESBIT-RA-03</t>
  </si>
  <si>
    <t xml:space="preserve">RA-03</t>
  </si>
  <si>
    <t xml:space="preserve">Risk Assessment</t>
  </si>
  <si>
    <t xml:space="preserve">ID.RA-05</t>
  </si>
  <si>
    <t xml:space="preserve">Threats, vulnerabilities, likelihoods, and impacts are used to understand inherent risk and inform risk response prioritization</t>
  </si>
  <si>
    <t xml:space="preserve">Not a direct configuration item - periodic risk assessment of threats and vulnerabilities</t>
  </si>
  <si>
    <t xml:space="preserve">ไม่ใช่การ config โดยตรง - การประเมินความเสี่ยงเป็นระยะ</t>
  </si>
  <si>
    <t xml:space="preserve">ESBIT-RA-03(01)</t>
  </si>
  <si>
    <t xml:space="preserve">RA-03(01)</t>
  </si>
  <si>
    <t xml:space="preserve">Risk Assessment | Supply Chain Risk Assessment</t>
  </si>
  <si>
    <t xml:space="preserve">Not a direct configuration item - enhancement of RA-03 (Risk Assessment): 'Supply Chain Risk Assessment'; periodic risk assessment of threats and vulnerabilities.</t>
  </si>
  <si>
    <t xml:space="preserve">ไม่ใช่การ config โดยตรง - ส่วนขยายของ RA-03: 'Supply Chain Risk Assessment' - การประเมินความเสี่ยงเป็นระยะ</t>
  </si>
  <si>
    <t xml:space="preserve">ESBIT-RA-03(02)</t>
  </si>
  <si>
    <t xml:space="preserve">RA-03(02)</t>
  </si>
  <si>
    <t xml:space="preserve">Risk Assessment | Use of All-source Intelligence</t>
  </si>
  <si>
    <t xml:space="preserve">Not a direct configuration item - enhancement of RA-03 (Risk Assessment): 'Use of All-source Intelligence'; periodic risk assessment of threats and vulnerabilities.</t>
  </si>
  <si>
    <t xml:space="preserve">ไม่ใช่การ config โดยตรง - ส่วนขยายของ RA-03: 'Use of All-source Intelligence' - การประเมินความเสี่ยงเป็นระยะ</t>
  </si>
  <si>
    <t xml:space="preserve">ESBIT-RA-03(03)</t>
  </si>
  <si>
    <t xml:space="preserve">RA-03(03)</t>
  </si>
  <si>
    <t xml:space="preserve">Risk Assessment | Dynamic Threat Awareness</t>
  </si>
  <si>
    <t xml:space="preserve">Not a direct configuration item - enhancement of RA-03 (Risk Assessment): 'Dynamic Threat Awareness'; periodic risk assessment of threats and vulnerabilities.</t>
  </si>
  <si>
    <t xml:space="preserve">ไม่ใช่การ config โดยตรง - ส่วนขยายของ RA-03: 'Dynamic Threat Awareness' - การประเมินความเสี่ยงเป็นระยะ</t>
  </si>
  <si>
    <t xml:space="preserve">ESBIT-RA-03(04)</t>
  </si>
  <si>
    <t xml:space="preserve">RA-03(04)</t>
  </si>
  <si>
    <t xml:space="preserve">Risk Assessment | Predictive Cyber Analytics</t>
  </si>
  <si>
    <t xml:space="preserve">Not a direct configuration item - enhancement of RA-03 (Risk Assessment): 'Predictive Cyber Analytics'; periodic risk assessment of threats and vulnerabilities.</t>
  </si>
  <si>
    <t xml:space="preserve">ไม่ใช่การ config โดยตรง - ส่วนขยายของ RA-03: 'Predictive Cyber Analytics' - การประเมินความเสี่ยงเป็นระยะ</t>
  </si>
  <si>
    <t xml:space="preserve">ESBIT-RA-05</t>
  </si>
  <si>
    <t xml:space="preserve">RA-05</t>
  </si>
  <si>
    <t xml:space="preserve">Vulnerability Monitoring and Scanning</t>
  </si>
  <si>
    <t xml:space="preserve">Configure authenticated vulnerability scanners, scan scope and frequency, and remediation SLA tracking for servers, network, apps and cloud</t>
  </si>
  <si>
    <t xml:space="preserve">ตั้งค่า Vulnerability Scanner แบบ Authenticated ขอบเขต ความถี่ และ SLA การแก้ไขสำหรับเซิร์ฟเวอร์ เครือข่าย แอป และ Cloud</t>
  </si>
  <si>
    <t xml:space="preserve">ESBIT-RA-05(02)</t>
  </si>
  <si>
    <t xml:space="preserve">RA-05(02)</t>
  </si>
  <si>
    <t xml:space="preserve">Vulnerability Monitoring and Scanning | Update Vulnerabilities to Be Scanned</t>
  </si>
  <si>
    <t xml:space="preserve">Enhances RA-05 (Vulnerability Monitoring and Scanning): configure and enforce 'Update Vulnerabilities to Be Scanned' in addition to the base setting, keep it consistent across applicable systems and document approved exceptions. Base scope: Configure authenticated vulnerability scanners, scan scope and frequency, and remediation SLA tracking for servers, network, apps and cloud</t>
  </si>
  <si>
    <t xml:space="preserve">ส่วนขยายของ RA-05: กำหนดค่าและบังคับใช้ 'Update Vulnerabilities to Be Scanned' เพิ่มเติมจากค่าพื้นฐาน ให้สอดคล้องทุกระบบที่เกี่ยวข้อง และบันทึกข้อยกเว้น - ตั้งค่า Vulnerability Scanner แบบ Authenticated ขอบเขต ความถี่ และ SLA การแก้ไขสำหรับเซิร์ฟเวอร์ เครือข่าย แอป และ Cloud</t>
  </si>
  <si>
    <t xml:space="preserve">ESBIT-RA-05(03)</t>
  </si>
  <si>
    <t xml:space="preserve">RA-05(03)</t>
  </si>
  <si>
    <t xml:space="preserve">Vulnerability Monitoring and Scanning | Breadth and Depth of Coverage</t>
  </si>
  <si>
    <t xml:space="preserve">Enhances RA-05 (Vulnerability Monitoring and Scanning): configure and enforce 'Breadth and Depth of Coverage' in addition to the base setting, keep it consistent across applicable systems and document approved exceptions. Base scope: Configure authenticated vulnerability scanners, scan scope and frequency, and remediation SLA tracking for servers, network, apps and cloud</t>
  </si>
  <si>
    <t xml:space="preserve">ส่วนขยายของ RA-05: กำหนดค่าและบังคับใช้ 'Breadth and Depth of Coverage' เพิ่มเติมจากค่าพื้นฐาน ให้สอดคล้องทุกระบบที่เกี่ยวข้อง และบันทึกข้อยกเว้น - ตั้งค่า Vulnerability Scanner แบบ Authenticated ขอบเขต ความถี่ และ SLA การแก้ไขสำหรับเซิร์ฟเวอร์ เครือข่าย แอป และ Cloud</t>
  </si>
  <si>
    <t xml:space="preserve">ESBIT-RA-05(04)</t>
  </si>
  <si>
    <t xml:space="preserve">RA-05(04)</t>
  </si>
  <si>
    <t xml:space="preserve">Vulnerability Monitoring and Scanning | Discoverable Information</t>
  </si>
  <si>
    <t xml:space="preserve">Enhances RA-05 (Vulnerability Monitoring and Scanning): configure and enforce 'Discoverable Information' in addition to the base setting, keep it consistent across applicable systems and document approved exceptions. Base scope: Configure authenticated vulnerability scanners, scan scope and frequency, and remediation SLA tracking for servers, network, apps and cloud</t>
  </si>
  <si>
    <t xml:space="preserve">ส่วนขยายของ RA-05: กำหนดค่าและบังคับใช้ 'Discoverable Information' เพิ่มเติมจากค่าพื้นฐาน ให้สอดคล้องทุกระบบที่เกี่ยวข้อง และบันทึกข้อยกเว้น - ตั้งค่า Vulnerability Scanner แบบ Authenticated ขอบเขต ความถี่ และ SLA การแก้ไขสำหรับเซิร์ฟเวอร์ เครือข่าย แอป และ Cloud</t>
  </si>
  <si>
    <t xml:space="preserve">ESBIT-RA-05(05)</t>
  </si>
  <si>
    <t xml:space="preserve">RA-05(05)</t>
  </si>
  <si>
    <t xml:space="preserve">Vulnerability Monitoring and Scanning | Privileged Access</t>
  </si>
  <si>
    <t xml:space="preserve">Enhances RA-05 (Vulnerability Monitoring and Scanning): configure and enforce 'Privileged Access' in addition to the base setting, keep it consistent across applicable systems and document approved exceptions. Base scope: Configure authenticated vulnerability scanners, scan scope and frequency, and remediation SLA tracking for servers, network, apps and cloud</t>
  </si>
  <si>
    <t xml:space="preserve">ส่วนขยายของ RA-05: กำหนดค่าและบังคับใช้ 'Privileged Access' เพิ่มเติมจากค่าพื้นฐาน ให้สอดคล้องทุกระบบที่เกี่ยวข้อง และบันทึกข้อยกเว้น - ตั้งค่า Vulnerability Scanner แบบ Authenticated ขอบเขต ความถี่ และ SLA การแก้ไขสำหรับเซิร์ฟเวอร์ เครือข่าย แอป และ Cloud</t>
  </si>
  <si>
    <t xml:space="preserve">ESBIT-RA-05(06)</t>
  </si>
  <si>
    <t xml:space="preserve">RA-05(06)</t>
  </si>
  <si>
    <t xml:space="preserve">Vulnerability Monitoring and Scanning | Automated Trend Analyses</t>
  </si>
  <si>
    <t xml:space="preserve">Enhances RA-05 (Vulnerability Monitoring and Scanning): configure and enforce 'Automated Trend Analyses' in addition to the base setting, keep it consistent across applicable systems and document approved exceptions. Base scope: Configure authenticated vulnerability scanners, scan scope and frequency, and remediation SLA tracking for servers, network, apps and cloud</t>
  </si>
  <si>
    <t xml:space="preserve">ส่วนขยายของ RA-05: กำหนดค่าและบังคับใช้ 'Automated Trend Analyses' เพิ่มเติมจากค่าพื้นฐาน ให้สอดคล้องทุกระบบที่เกี่ยวข้อง และบันทึกข้อยกเว้น - ตั้งค่า Vulnerability Scanner แบบ Authenticated ขอบเขต ความถี่ และ SLA การแก้ไขสำหรับเซิร์ฟเวอร์ เครือข่าย แอป และ Cloud</t>
  </si>
  <si>
    <t xml:space="preserve">ESBIT-RA-05(08)</t>
  </si>
  <si>
    <t xml:space="preserve">RA-05(08)</t>
  </si>
  <si>
    <t xml:space="preserve">Vulnerability Monitoring and Scanning | Review Historic Audit Logs</t>
  </si>
  <si>
    <t xml:space="preserve">Enhances RA-05 (Vulnerability Monitoring and Scanning): configure and enforce 'Review Historic Audit Logs' in addition to the base setting, keep it consistent across applicable systems and document approved exceptions. Base scope: Configure authenticated vulnerability scanners, scan scope and frequency, and remediation SLA tracking for servers, network, apps and cloud</t>
  </si>
  <si>
    <t xml:space="preserve">ส่วนขยายของ RA-05: กำหนดค่าและบังคับใช้ 'Review Historic Audit Logs' เพิ่มเติมจากค่าพื้นฐาน ให้สอดคล้องทุกระบบที่เกี่ยวข้อง และบันทึกข้อยกเว้น - ตั้งค่า Vulnerability Scanner แบบ Authenticated ขอบเขต ความถี่ และ SLA การแก้ไขสำหรับเซิร์ฟเวอร์ เครือข่าย แอป และ Cloud</t>
  </si>
  <si>
    <t xml:space="preserve">ESBIT-RA-05(10)</t>
  </si>
  <si>
    <t xml:space="preserve">RA-05(10)</t>
  </si>
  <si>
    <t xml:space="preserve">Vulnerability Monitoring and Scanning | Correlate Scanning Information</t>
  </si>
  <si>
    <t xml:space="preserve">Enhances RA-05 (Vulnerability Monitoring and Scanning): configure and enforce 'Correlate Scanning Information' in addition to the base setting, keep it consistent across applicable systems and document approved exceptions. Base scope: Configure authenticated vulnerability scanners, scan scope and frequency, and remediation SLA tracking for servers, network, apps and cloud</t>
  </si>
  <si>
    <t xml:space="preserve">ส่วนขยายของ RA-05: กำหนดค่าและบังคับใช้ 'Correlate Scanning Information' เพิ่มเติมจากค่าพื้นฐาน ให้สอดคล้องทุกระบบที่เกี่ยวข้อง และบันทึกข้อยกเว้น - ตั้งค่า Vulnerability Scanner แบบ Authenticated ขอบเขต ความถี่ และ SLA การแก้ไขสำหรับเซิร์ฟเวอร์ เครือข่าย แอป และ Cloud</t>
  </si>
  <si>
    <t xml:space="preserve">ESBIT-RA-05(11)</t>
  </si>
  <si>
    <t xml:space="preserve">RA-05(11)</t>
  </si>
  <si>
    <t xml:space="preserve">Vulnerability Monitoring and Scanning | Public Disclosure Program</t>
  </si>
  <si>
    <t xml:space="preserve">Enhances RA-05 (Vulnerability Monitoring and Scanning): configure and enforce 'Public Disclosure Program' in addition to the base setting, keep it consistent across applicable systems and document approved exceptions. Base scope: Configure authenticated vulnerability scanners, scan scope and frequency, and remediation SLA tracking for servers, network, apps and cloud</t>
  </si>
  <si>
    <t xml:space="preserve">ส่วนขยายของ RA-05: กำหนดค่าและบังคับใช้ 'Public Disclosure Program' เพิ่มเติมจากค่าพื้นฐาน ให้สอดคล้องทุกระบบที่เกี่ยวข้อง และบันทึกข้อยกเว้น - ตั้งค่า Vulnerability Scanner แบบ Authenticated ขอบเขต ความถี่ และ SLA การแก้ไขสำหรับเซิร์ฟเวอร์ เครือข่าย แอป และ Cloud</t>
  </si>
  <si>
    <t xml:space="preserve">ESBIT-RA-06</t>
  </si>
  <si>
    <t xml:space="preserve">RA-06</t>
  </si>
  <si>
    <t xml:space="preserve">Technical Surveillance Countermeasures Survey</t>
  </si>
  <si>
    <t xml:space="preserve">Not a direct configuration item - surveys to detect technical surveillance devices</t>
  </si>
  <si>
    <t xml:space="preserve">ไม่ใช่การ config โดยตรง - การสำรวจเพื่อตรวจจับอุปกรณ์แอบดักข้อมูล</t>
  </si>
  <si>
    <t xml:space="preserve">ESBIT-RA-07</t>
  </si>
  <si>
    <t xml:space="preserve">RA-07</t>
  </si>
  <si>
    <t xml:space="preserve">Risk Response</t>
  </si>
  <si>
    <t xml:space="preserve">Not a direct configuration item - responding to assessed risk findings</t>
  </si>
  <si>
    <t xml:space="preserve">ไม่ใช่การ config โดยตรง - การตอบสนองต่อความเสี่ยงที่ประเมินได้</t>
  </si>
  <si>
    <t xml:space="preserve">ESBIT-RA-08</t>
  </si>
  <si>
    <t xml:space="preserve">RA-08</t>
  </si>
  <si>
    <t xml:space="preserve">Privacy Impact Assessments</t>
  </si>
  <si>
    <t xml:space="preserve">ID.RA-04</t>
  </si>
  <si>
    <t xml:space="preserve">Potential impacts and likelihoods of threats exploiting vulnerabilities are identified and recorded</t>
  </si>
  <si>
    <t xml:space="preserve">Not a direct configuration item - privacy impact assessments</t>
  </si>
  <si>
    <t xml:space="preserve">ไม่ใช่การ config โดยตรง - การประเมินผลกระทบด้านความเป็นส่วนตัว</t>
  </si>
  <si>
    <t xml:space="preserve">ESBIT-RA-09</t>
  </si>
  <si>
    <t xml:space="preserve">RA-09</t>
  </si>
  <si>
    <t xml:space="preserve">Criticality Analysis</t>
  </si>
  <si>
    <t xml:space="preserve">Not a direct configuration item - criticality analysis of systems and components</t>
  </si>
  <si>
    <t xml:space="preserve">ไม่ใช่การ config โดยตรง - การวิเคราะห์ความสำคัญของระบบและคอมโพเนนต์</t>
  </si>
  <si>
    <t xml:space="preserve">ESBIT-RA-10</t>
  </si>
  <si>
    <t xml:space="preserve">RA-10</t>
  </si>
  <si>
    <t xml:space="preserve">Threat Hunting</t>
  </si>
  <si>
    <t xml:space="preserve">Configure telemetry, EDR and search tooling to support proactive threat hunting</t>
  </si>
  <si>
    <t xml:space="preserve">ตั้งค่า Telemetry EDR และเครื่องมือค้นหาเพื่อรองรับ Threat Hunting</t>
  </si>
  <si>
    <t xml:space="preserve">ESBIT-SA-01</t>
  </si>
  <si>
    <t xml:space="preserve">SA-01</t>
  </si>
  <si>
    <t xml:space="preserve">System and Services Acquisition (SA)</t>
  </si>
  <si>
    <t xml:space="preserve">Not a direct configuration item - define, document, review and communicate the System and Services Acquisition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</si>
  <si>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และทบทวนนโยบาย/ขั้นตอนของหมวดการจัดหาระบบและบริการ เพื่อเป็นฐานในการกำหนดมาตรฐาน Config</t>
  </si>
  <si>
    <t xml:space="preserve">ESBIT-SA-02</t>
  </si>
  <si>
    <t xml:space="preserve">SA-02</t>
  </si>
  <si>
    <t xml:space="preserve">Allocation of Resources</t>
  </si>
  <si>
    <t xml:space="preserve">Not a direct configuration item - allocating resources for security in acquisition and development</t>
  </si>
  <si>
    <t xml:space="preserve">ไม่ใช่การ config โดยตรง - การจัดสรรทรัพยากรด้านความมั่นคงปลอดภัยในการจัดหาและพัฒนา</t>
  </si>
  <si>
    <t xml:space="preserve">ESBIT-SA-03</t>
  </si>
  <si>
    <t xml:space="preserve">SA-03</t>
  </si>
  <si>
    <t xml:space="preserve">System Development Life Cycle</t>
  </si>
  <si>
    <t xml:space="preserve">PR.PS-06</t>
  </si>
  <si>
    <t xml:space="preserve">Secure software development practices are integrated, and their performance is monitored throughout the software development life cycle</t>
  </si>
  <si>
    <t xml:space="preserve">Not a direct configuration item - security integrated into the system development life cycle</t>
  </si>
  <si>
    <t xml:space="preserve">ไม่ใช่การ config โดยตรง - การผนวกความปลอดภัยในวงจรพัฒนาระบบ</t>
  </si>
  <si>
    <t xml:space="preserve">ESBIT-SA-03(01)</t>
  </si>
  <si>
    <t xml:space="preserve">SA-03(01)</t>
  </si>
  <si>
    <t xml:space="preserve">System Development Life Cycle | Manage Preproduction Environment</t>
  </si>
  <si>
    <t xml:space="preserve">Not a direct configuration item - enhancement of SA-03 (System Development Life Cycle): 'Manage Preproduction Environment'; security integrated into the system development life cycle.</t>
  </si>
  <si>
    <t xml:space="preserve">ไม่ใช่การ config โดยตรง - ส่วนขยายของ SA-03: 'Manage Preproduction Environment' - การผนวกความปลอดภัยในวงจรพัฒนาระบบ</t>
  </si>
  <si>
    <t xml:space="preserve">ESBIT-SA-03(02)</t>
  </si>
  <si>
    <t xml:space="preserve">SA-03(02)</t>
  </si>
  <si>
    <t xml:space="preserve">System Development Life Cycle | Use of Live or Operational Data</t>
  </si>
  <si>
    <t xml:space="preserve">Not a direct configuration item - enhancement of SA-03 (System Development Life Cycle): 'Use of Live or Operational Data'; security integrated into the system development life cycle.</t>
  </si>
  <si>
    <t xml:space="preserve">ไม่ใช่การ config โดยตรง - ส่วนขยายของ SA-03: 'Use of Live or Operational Data' - การผนวกความปลอดภัยในวงจรพัฒนาระบบ</t>
  </si>
  <si>
    <t xml:space="preserve">ESBIT-SA-03(03)</t>
  </si>
  <si>
    <t xml:space="preserve">SA-03(03)</t>
  </si>
  <si>
    <t xml:space="preserve">System Development Life Cycle | Technology Refresh</t>
  </si>
  <si>
    <t xml:space="preserve">Not a direct configuration item - enhancement of SA-03 (System Development Life Cycle): 'Technology Refresh'; security integrated into the system development life cycle.</t>
  </si>
  <si>
    <t xml:space="preserve">ไม่ใช่การ config โดยตรง - ส่วนขยายของ SA-03: 'Technology Refresh' - การผนวกความปลอดภัยในวงจรพัฒนาระบบ</t>
  </si>
  <si>
    <t xml:space="preserve">ESBIT-SA-04</t>
  </si>
  <si>
    <t xml:space="preserve">SA-04</t>
  </si>
  <si>
    <t xml:space="preserve">Acquisition Process</t>
  </si>
  <si>
    <t xml:space="preserve">Not a direct configuration item - security and configuration requirements in acquisition contracts</t>
  </si>
  <si>
    <t xml:space="preserve">ไม่ใช่การ config โดยตรง - ข้อกำหนดความปลอดภัยและ Config ในสัญญาจัดหา</t>
  </si>
  <si>
    <t xml:space="preserve">ESBIT-SA-04(01)</t>
  </si>
  <si>
    <t xml:space="preserve">SA-04(01)</t>
  </si>
  <si>
    <t xml:space="preserve">Acquisition Process | Functional Properties of Controls</t>
  </si>
  <si>
    <t xml:space="preserve">Not a direct configuration item - enhancement of SA-04 (Acquisition Process): 'Functional Properties of Controls'; security and configuration requirements in acquisition contracts.</t>
  </si>
  <si>
    <t xml:space="preserve">ไม่ใช่การ config โดยตรง - ส่วนขยายของ SA-04: 'Functional Properties of Controls' - ข้อกำหนดความปลอดภัยและ Config ในสัญญาจัดหา</t>
  </si>
  <si>
    <t xml:space="preserve">ESBIT-SA-04(02)</t>
  </si>
  <si>
    <t xml:space="preserve">SA-04(02)</t>
  </si>
  <si>
    <t xml:space="preserve">Acquisition Process | Design and Implementation Information for Controls</t>
  </si>
  <si>
    <t xml:space="preserve">Not a direct configuration item - enhancement of SA-04 (Acquisition Process): 'Design and Implementation Information for Controls'; security and configuration requirements in acquisition contracts.</t>
  </si>
  <si>
    <t xml:space="preserve">ไม่ใช่การ config โดยตรง - ส่วนขยายของ SA-04: 'Design and Implementation Information for Controls' - ข้อกำหนดความปลอดภัยและ Config ในสัญญาจัดหา</t>
  </si>
  <si>
    <t xml:space="preserve">ESBIT-SA-04(03)</t>
  </si>
  <si>
    <t xml:space="preserve">SA-04(03)</t>
  </si>
  <si>
    <t xml:space="preserve">Acquisition Process | Development Methods, Techniques, and Practices</t>
  </si>
  <si>
    <t xml:space="preserve">Not a direct configuration item - enhancement of SA-04 (Acquisition Process): 'Development Methods, Techniques, and Practices'; security and configuration requirements in acquisition contracts.</t>
  </si>
  <si>
    <t xml:space="preserve">ไม่ใช่การ config โดยตรง - ส่วนขยายของ SA-04: 'Development Methods, Techniques, and Practices' - ข้อกำหนดความปลอดภัยและ Config ในสัญญาจัดหา</t>
  </si>
  <si>
    <t xml:space="preserve">ESBIT-SA-04(05)</t>
  </si>
  <si>
    <t xml:space="preserve">SA-04(05)</t>
  </si>
  <si>
    <t xml:space="preserve">Acquisition Process | System, Component, and Service Configurations</t>
  </si>
  <si>
    <t xml:space="preserve">Not a direct configuration item - enhancement of SA-04 (Acquisition Process): 'System, Component, and Service Configurations'; security and configuration requirements in acquisition contracts.</t>
  </si>
  <si>
    <t xml:space="preserve">ไม่ใช่การ config โดยตรง - ส่วนขยายของ SA-04: 'System, Component, and Service Configurations' - ข้อกำหนดความปลอดภัยและ Config ในสัญญาจัดหา</t>
  </si>
  <si>
    <t xml:space="preserve">ESBIT-SA-04(06)</t>
  </si>
  <si>
    <t xml:space="preserve">SA-04(06)</t>
  </si>
  <si>
    <t xml:space="preserve">Acquisition Process | Use of Information Assurance Products</t>
  </si>
  <si>
    <t xml:space="preserve">Not a direct configuration item - enhancement of SA-04 (Acquisition Process): 'Use of Information Assurance Products'; security and configuration requirements in acquisition contracts.</t>
  </si>
  <si>
    <t xml:space="preserve">ไม่ใช่การ config โดยตรง - ส่วนขยายของ SA-04: 'Use of Information Assurance Products' - ข้อกำหนดความปลอดภัยและ Config ในสัญญาจัดหา</t>
  </si>
  <si>
    <t xml:space="preserve">ESBIT-SA-04(07)</t>
  </si>
  <si>
    <t xml:space="preserve">SA-04(07)</t>
  </si>
  <si>
    <t xml:space="preserve">Acquisition Process | NIAP-approved Protection Profiles</t>
  </si>
  <si>
    <t xml:space="preserve">Not a direct configuration item - enhancement of SA-04 (Acquisition Process): 'NIAP-approved Protection Profiles'; security and configuration requirements in acquisition contracts.</t>
  </si>
  <si>
    <t xml:space="preserve">ไม่ใช่การ config โดยตรง - ส่วนขยายของ SA-04: 'NIAP-approved Protection Profiles' - ข้อกำหนดความปลอดภัยและ Config ในสัญญาจัดหา</t>
  </si>
  <si>
    <t xml:space="preserve">ESBIT-SA-04(08)</t>
  </si>
  <si>
    <t xml:space="preserve">SA-04(08)</t>
  </si>
  <si>
    <t xml:space="preserve">Acquisition Process | Continuous Monitoring Plan for Controls</t>
  </si>
  <si>
    <t xml:space="preserve">Not a direct configuration item - enhancement of SA-04 (Acquisition Process): 'Continuous Monitoring Plan for Controls'; security and configuration requirements in acquisition contracts.</t>
  </si>
  <si>
    <t xml:space="preserve">ไม่ใช่การ config โดยตรง - ส่วนขยายของ SA-04: 'Continuous Monitoring Plan for Controls' - ข้อกำหนดความปลอดภัยและ Config ในสัญญาจัดหา</t>
  </si>
  <si>
    <t xml:space="preserve">ESBIT-SA-04(09)</t>
  </si>
  <si>
    <t xml:space="preserve">SA-04(09)</t>
  </si>
  <si>
    <t xml:space="preserve">Acquisition Process | Functions, Ports, Protocols, and Services in Use</t>
  </si>
  <si>
    <t xml:space="preserve">Not a direct configuration item - enhancement of SA-04 (Acquisition Process): 'Functions, Ports, Protocols, and Services in Use'; security and configuration requirements in acquisition contracts.</t>
  </si>
  <si>
    <t xml:space="preserve">ไม่ใช่การ config โดยตรง - ส่วนขยายของ SA-04: 'Functions, Ports, Protocols, and Services in Use' - ข้อกำหนดความปลอดภัยและ Config ในสัญญาจัดหา</t>
  </si>
  <si>
    <t xml:space="preserve">ESBIT-SA-04(10)</t>
  </si>
  <si>
    <t xml:space="preserve">SA-04(10)</t>
  </si>
  <si>
    <t xml:space="preserve">Acquisition Process | Use of Approved PIV Products</t>
  </si>
  <si>
    <t xml:space="preserve">Not a direct configuration item - enhancement of SA-04 (Acquisition Process): 'Use of Approved PIV Products'; security and configuration requirements in acquisition contracts.</t>
  </si>
  <si>
    <t xml:space="preserve">ไม่ใช่การ config โดยตรง - ส่วนขยายของ SA-04: 'Use of Approved PIV Products' - ข้อกำหนดความปลอดภัยและ Config ในสัญญาจัดหา</t>
  </si>
  <si>
    <t xml:space="preserve">ESBIT-SA-04(11)</t>
  </si>
  <si>
    <t xml:space="preserve">SA-04(11)</t>
  </si>
  <si>
    <t xml:space="preserve">Acquisition Process | System of Records</t>
  </si>
  <si>
    <t xml:space="preserve">Not a direct configuration item - enhancement of SA-04 (Acquisition Process): 'System of Records'; security and configuration requirements in acquisition contracts.</t>
  </si>
  <si>
    <t xml:space="preserve">ไม่ใช่การ config โดยตรง - ส่วนขยายของ SA-04: 'System of Records' - ข้อกำหนดความปลอดภัยและ Config ในสัญญาจัดหา</t>
  </si>
  <si>
    <t xml:space="preserve">ESBIT-SA-04(12)</t>
  </si>
  <si>
    <t xml:space="preserve">SA-04(12)</t>
  </si>
  <si>
    <t xml:space="preserve">Acquisition Process | Data Ownership</t>
  </si>
  <si>
    <t xml:space="preserve">Not a direct configuration item - enhancement of SA-04 (Acquisition Process): 'Data Ownership'; security and configuration requirements in acquisition contracts.</t>
  </si>
  <si>
    <t xml:space="preserve">ไม่ใช่การ config โดยตรง - ส่วนขยายของ SA-04: 'Data Ownership' - ข้อกำหนดความปลอดภัยและ Config ในสัญญาจัดหา</t>
  </si>
  <si>
    <t xml:space="preserve">ESBIT-SA-05</t>
  </si>
  <si>
    <t xml:space="preserve">SA-05</t>
  </si>
  <si>
    <t xml:space="preserve">System Documentation</t>
  </si>
  <si>
    <t xml:space="preserve">Not a direct configuration item - administrator and user documentation for secure configuration and operation</t>
  </si>
  <si>
    <t xml:space="preserve">ไม่ใช่การ config โดยตรง - เอกสารผู้ดูแลและผู้ใช้สำหรับการตั้งค่าและใช้งานอย่างปลอดภัย</t>
  </si>
  <si>
    <t xml:space="preserve">ESBIT-SA-08</t>
  </si>
  <si>
    <t xml:space="preserve">SA-08</t>
  </si>
  <si>
    <t xml:space="preserve">Security and Privacy Engineering Principles</t>
  </si>
  <si>
    <t xml:space="preserve">Not a direct configuration item - applying security engineering principles to system design</t>
  </si>
  <si>
    <t xml:space="preserve">ไม่ใช่การ config โดยตรง - การประยุกต์หลักวิศวกรรมความปลอดภัยในการออกแบบระบบ</t>
  </si>
  <si>
    <t xml:space="preserve">ESBIT-SA-08(01)</t>
  </si>
  <si>
    <t xml:space="preserve">SA-08(01)</t>
  </si>
  <si>
    <t xml:space="preserve">Security and Privacy Engineering Principles | Clear Abstractions</t>
  </si>
  <si>
    <t xml:space="preserve">Not a direct configuration item - enhancement of SA-08 (Security and Privacy Engineering Principles): 'Clear Abstractions'; applying security engineering principles to system design.</t>
  </si>
  <si>
    <t xml:space="preserve">ไม่ใช่การ config โดยตรง - ส่วนขยายของ SA-08: 'Clear Abstractions' - การประยุกต์หลักวิศวกรรมความปลอดภัยในการออกแบบระบบ</t>
  </si>
  <si>
    <t xml:space="preserve">ESBIT-SA-08(02)</t>
  </si>
  <si>
    <t xml:space="preserve">SA-08(02)</t>
  </si>
  <si>
    <t xml:space="preserve">Security and Privacy Engineering Principles | Least Common Mechanism</t>
  </si>
  <si>
    <t xml:space="preserve">Not a direct configuration item - enhancement of SA-08 (Security and Privacy Engineering Principles): 'Least Common Mechanism'; applying security engineering principles to system design.</t>
  </si>
  <si>
    <t xml:space="preserve">ไม่ใช่การ config โดยตรง - ส่วนขยายของ SA-08: 'Least Common Mechanism' - การประยุกต์หลักวิศวกรรมความปลอดภัยในการออกแบบระบบ</t>
  </si>
  <si>
    <t xml:space="preserve">ESBIT-SA-08(03)</t>
  </si>
  <si>
    <t xml:space="preserve">SA-08(03)</t>
  </si>
  <si>
    <t xml:space="preserve">Security and Privacy Engineering Principles | Modularity and Layering</t>
  </si>
  <si>
    <t xml:space="preserve">Not a direct configuration item - enhancement of SA-08 (Security and Privacy Engineering Principles): 'Modularity and Layering'; applying security engineering principles to system design.</t>
  </si>
  <si>
    <t xml:space="preserve">ไม่ใช่การ config โดยตรง - ส่วนขยายของ SA-08: 'Modularity and Layering' - การประยุกต์หลักวิศวกรรมความปลอดภัยในการออกแบบระบบ</t>
  </si>
  <si>
    <t xml:space="preserve">ESBIT-SA-08(04)</t>
  </si>
  <si>
    <t xml:space="preserve">SA-08(04)</t>
  </si>
  <si>
    <t xml:space="preserve">Security and Privacy Engineering Principles | Partially Ordered Dependencies</t>
  </si>
  <si>
    <t xml:space="preserve">Not a direct configuration item - enhancement of SA-08 (Security and Privacy Engineering Principles): 'Partially Ordered Dependencies'; applying security engineering principles to system design.</t>
  </si>
  <si>
    <t xml:space="preserve">ไม่ใช่การ config โดยตรง - ส่วนขยายของ SA-08: 'Partially Ordered Dependencies' - การประยุกต์หลักวิศวกรรมความปลอดภัยในการออกแบบระบบ</t>
  </si>
  <si>
    <t xml:space="preserve">ESBIT-SA-08(05)</t>
  </si>
  <si>
    <t xml:space="preserve">SA-08(05)</t>
  </si>
  <si>
    <t xml:space="preserve">Security and Privacy Engineering Principles | Efficiently Mediated Access</t>
  </si>
  <si>
    <t xml:space="preserve">Not a direct configuration item - enhancement of SA-08 (Security and Privacy Engineering Principles): 'Efficiently Mediated Access'; applying security engineering principles to system design.</t>
  </si>
  <si>
    <t xml:space="preserve">ไม่ใช่การ config โดยตรง - ส่วนขยายของ SA-08: 'Efficiently Mediated Access' - การประยุกต์หลักวิศวกรรมความปลอดภัยในการออกแบบระบบ</t>
  </si>
  <si>
    <t xml:space="preserve">ESBIT-SA-08(06)</t>
  </si>
  <si>
    <t xml:space="preserve">SA-08(06)</t>
  </si>
  <si>
    <t xml:space="preserve">Security and Privacy Engineering Principles | Minimized Sharing</t>
  </si>
  <si>
    <t xml:space="preserve">Not a direct configuration item - enhancement of SA-08 (Security and Privacy Engineering Principles): 'Minimized Sharing'; applying security engineering principles to system design.</t>
  </si>
  <si>
    <t xml:space="preserve">ไม่ใช่การ config โดยตรง - ส่วนขยายของ SA-08: 'Minimized Sharing' - การประยุกต์หลักวิศวกรรมความปลอดภัยในการออกแบบระบบ</t>
  </si>
  <si>
    <t xml:space="preserve">ESBIT-SA-08(07)</t>
  </si>
  <si>
    <t xml:space="preserve">SA-08(07)</t>
  </si>
  <si>
    <t xml:space="preserve">Security and Privacy Engineering Principles | Reduced Complexity</t>
  </si>
  <si>
    <t xml:space="preserve">Not a direct configuration item - enhancement of SA-08 (Security and Privacy Engineering Principles): 'Reduced Complexity'; applying security engineering principles to system design.</t>
  </si>
  <si>
    <t xml:space="preserve">ไม่ใช่การ config โดยตรง - ส่วนขยายของ SA-08: 'Reduced Complexity' - การประยุกต์หลักวิศวกรรมความปลอดภัยในการออกแบบระบบ</t>
  </si>
  <si>
    <t xml:space="preserve">ESBIT-SA-08(08)</t>
  </si>
  <si>
    <t xml:space="preserve">SA-08(08)</t>
  </si>
  <si>
    <t xml:space="preserve">Security and Privacy Engineering Principles | Secure Evolvability</t>
  </si>
  <si>
    <t xml:space="preserve">Not a direct configuration item - enhancement of SA-08 (Security and Privacy Engineering Principles): 'Secure Evolvability'; applying security engineering principles to system design.</t>
  </si>
  <si>
    <t xml:space="preserve">ไม่ใช่การ config โดยตรง - ส่วนขยายของ SA-08: 'Secure Evolvability' - การประยุกต์หลักวิศวกรรมความปลอดภัยในการออกแบบระบบ</t>
  </si>
  <si>
    <t xml:space="preserve">ESBIT-SA-08(09)</t>
  </si>
  <si>
    <t xml:space="preserve">SA-08(09)</t>
  </si>
  <si>
    <t xml:space="preserve">Security and Privacy Engineering Principles | Trusted Components</t>
  </si>
  <si>
    <t xml:space="preserve">Not a direct configuration item - enhancement of SA-08 (Security and Privacy Engineering Principles): 'Trusted Components'; applying security engineering principles to system design.</t>
  </si>
  <si>
    <t xml:space="preserve">ไม่ใช่การ config โดยตรง - ส่วนขยายของ SA-08: 'Trusted Components' - การประยุกต์หลักวิศวกรรมความปลอดภัยในการออกแบบระบบ</t>
  </si>
  <si>
    <t xml:space="preserve">ESBIT-SA-08(10)</t>
  </si>
  <si>
    <t xml:space="preserve">SA-08(10)</t>
  </si>
  <si>
    <t xml:space="preserve">Security and Privacy Engineering Principles | Hierarchical Trust</t>
  </si>
  <si>
    <t xml:space="preserve">Not a direct configuration item - enhancement of SA-08 (Security and Privacy Engineering Principles): 'Hierarchical Trust'; applying security engineering principles to system design.</t>
  </si>
  <si>
    <t xml:space="preserve">ไม่ใช่การ config โดยตรง - ส่วนขยายของ SA-08: 'Hierarchical Trust' - การประยุกต์หลักวิศวกรรมความปลอดภัยในการออกแบบระบบ</t>
  </si>
  <si>
    <t xml:space="preserve">ESBIT-SA-08(11)</t>
  </si>
  <si>
    <t xml:space="preserve">SA-08(11)</t>
  </si>
  <si>
    <t xml:space="preserve">Security and Privacy Engineering Principles | Inverse Modification Threshold</t>
  </si>
  <si>
    <t xml:space="preserve">Not a direct configuration item - enhancement of SA-08 (Security and Privacy Engineering Principles): 'Inverse Modification Threshold'; applying security engineering principles to system design.</t>
  </si>
  <si>
    <t xml:space="preserve">ไม่ใช่การ config โดยตรง - ส่วนขยายของ SA-08: 'Inverse Modification Threshold' - การประยุกต์หลักวิศวกรรมความปลอดภัยในการออกแบบระบบ</t>
  </si>
  <si>
    <t xml:space="preserve">ESBIT-SA-08(12)</t>
  </si>
  <si>
    <t xml:space="preserve">SA-08(12)</t>
  </si>
  <si>
    <t xml:space="preserve">Security and Privacy Engineering Principles | Hierarchical Protection</t>
  </si>
  <si>
    <t xml:space="preserve">Not a direct configuration item - enhancement of SA-08 (Security and Privacy Engineering Principles): 'Hierarchical Protection'; applying security engineering principles to system design.</t>
  </si>
  <si>
    <t xml:space="preserve">ไม่ใช่การ config โดยตรง - ส่วนขยายของ SA-08: 'Hierarchical Protection' - การประยุกต์หลักวิศวกรรมความปลอดภัยในการออกแบบระบบ</t>
  </si>
  <si>
    <t xml:space="preserve">ESBIT-SA-08(13)</t>
  </si>
  <si>
    <t xml:space="preserve">SA-08(13)</t>
  </si>
  <si>
    <t xml:space="preserve">Security and Privacy Engineering Principles | Minimized Security Elements</t>
  </si>
  <si>
    <t xml:space="preserve">Not a direct configuration item - enhancement of SA-08 (Security and Privacy Engineering Principles): 'Minimized Security Elements'; applying security engineering principles to system design.</t>
  </si>
  <si>
    <t xml:space="preserve">ไม่ใช่การ config โดยตรง - ส่วนขยายของ SA-08: 'Minimized Security Elements' - การประยุกต์หลักวิศวกรรมความปลอดภัยในการออกแบบระบบ</t>
  </si>
  <si>
    <t xml:space="preserve">ESBIT-SA-08(14)</t>
  </si>
  <si>
    <t xml:space="preserve">SA-08(14)</t>
  </si>
  <si>
    <t xml:space="preserve">Security and Privacy Engineering Principles | Least Privilege</t>
  </si>
  <si>
    <t xml:space="preserve">Not a direct configuration item - enhancement of SA-08 (Security and Privacy Engineering Principles): 'Least Privilege'; applying security engineering principles to system design.</t>
  </si>
  <si>
    <t xml:space="preserve">ไม่ใช่การ config โดยตรง - ส่วนขยายของ SA-08: 'Least Privilege' - การประยุกต์หลักวิศวกรรมความปลอดภัยในการออกแบบระบบ</t>
  </si>
  <si>
    <t xml:space="preserve">ESBIT-SA-08(15)</t>
  </si>
  <si>
    <t xml:space="preserve">SA-08(15)</t>
  </si>
  <si>
    <t xml:space="preserve">Security and Privacy Engineering Principles | Predicate Permission</t>
  </si>
  <si>
    <t xml:space="preserve">Not a direct configuration item - enhancement of SA-08 (Security and Privacy Engineering Principles): 'Predicate Permission'; applying security engineering principles to system design.</t>
  </si>
  <si>
    <t xml:space="preserve">ไม่ใช่การ config โดยตรง - ส่วนขยายของ SA-08: 'Predicate Permission' - การประยุกต์หลักวิศวกรรมความปลอดภัยในการออกแบบระบบ</t>
  </si>
  <si>
    <t xml:space="preserve">ESBIT-SA-08(16)</t>
  </si>
  <si>
    <t xml:space="preserve">SA-08(16)</t>
  </si>
  <si>
    <t xml:space="preserve">Security and Privacy Engineering Principles | Self-reliant Trustworthiness</t>
  </si>
  <si>
    <t xml:space="preserve">Not a direct configuration item - enhancement of SA-08 (Security and Privacy Engineering Principles): 'Self-reliant Trustworthiness'; applying security engineering principles to system design.</t>
  </si>
  <si>
    <t xml:space="preserve">ไม่ใช่การ config โดยตรง - ส่วนขยายของ SA-08: 'Self-reliant Trustworthiness' - การประยุกต์หลักวิศวกรรมความปลอดภัยในการออกแบบระบบ</t>
  </si>
  <si>
    <t xml:space="preserve">ESBIT-SA-08(17)</t>
  </si>
  <si>
    <t xml:space="preserve">SA-08(17)</t>
  </si>
  <si>
    <t xml:space="preserve">Security and Privacy Engineering Principles | Secure Distributed Composition</t>
  </si>
  <si>
    <t xml:space="preserve">Not a direct configuration item - enhancement of SA-08 (Security and Privacy Engineering Principles): 'Secure Distributed Composition'; applying security engineering principles to system design.</t>
  </si>
  <si>
    <t xml:space="preserve">ไม่ใช่การ config โดยตรง - ส่วนขยายของ SA-08: 'Secure Distributed Composition' - การประยุกต์หลักวิศวกรรมความปลอดภัยในการออกแบบระบบ</t>
  </si>
  <si>
    <t xml:space="preserve">ESBIT-SA-08(18)</t>
  </si>
  <si>
    <t xml:space="preserve">SA-08(18)</t>
  </si>
  <si>
    <t xml:space="preserve">Security and Privacy Engineering Principles | Trusted Communications Channels</t>
  </si>
  <si>
    <t xml:space="preserve">Not a direct configuration item - enhancement of SA-08 (Security and Privacy Engineering Principles): 'Trusted Communications Channels'; applying security engineering principles to system design.</t>
  </si>
  <si>
    <t xml:space="preserve">ไม่ใช่การ config โดยตรง - ส่วนขยายของ SA-08: 'Trusted Communications Channels' - การประยุกต์หลักวิศวกรรมความปลอดภัยในการออกแบบระบบ</t>
  </si>
  <si>
    <t xml:space="preserve">ESBIT-SA-08(19)</t>
  </si>
  <si>
    <t xml:space="preserve">SA-08(19)</t>
  </si>
  <si>
    <t xml:space="preserve">Security and Privacy Engineering Principles | Continuous Protection</t>
  </si>
  <si>
    <t xml:space="preserve">Not a direct configuration item - enhancement of SA-08 (Security and Privacy Engineering Principles): 'Continuous Protection'; applying security engineering principles to system design.</t>
  </si>
  <si>
    <t xml:space="preserve">ไม่ใช่การ config โดยตรง - ส่วนขยายของ SA-08: 'Continuous Protection' - การประยุกต์หลักวิศวกรรมความปลอดภัยในการออกแบบระบบ</t>
  </si>
  <si>
    <t xml:space="preserve">ESBIT-SA-08(20)</t>
  </si>
  <si>
    <t xml:space="preserve">SA-08(20)</t>
  </si>
  <si>
    <t xml:space="preserve">Security and Privacy Engineering Principles | Secure Metadata Management</t>
  </si>
  <si>
    <t xml:space="preserve">Not a direct configuration item - enhancement of SA-08 (Security and Privacy Engineering Principles): 'Secure Metadata Management'; applying security engineering principles to system design.</t>
  </si>
  <si>
    <t xml:space="preserve">ไม่ใช่การ config โดยตรง - ส่วนขยายของ SA-08: 'Secure Metadata Management' - การประยุกต์หลักวิศวกรรมความปลอดภัยในการออกแบบระบบ</t>
  </si>
  <si>
    <t xml:space="preserve">ESBIT-SA-08(21)</t>
  </si>
  <si>
    <t xml:space="preserve">SA-08(21)</t>
  </si>
  <si>
    <t xml:space="preserve">Security and Privacy Engineering Principles | Self-analysis</t>
  </si>
  <si>
    <t xml:space="preserve">Not a direct configuration item - enhancement of SA-08 (Security and Privacy Engineering Principles): 'Self-analysis'; applying security engineering principles to system design.</t>
  </si>
  <si>
    <t xml:space="preserve">ไม่ใช่การ config โดยตรง - ส่วนขยายของ SA-08: 'Self-analysis' - การประยุกต์หลักวิศวกรรมความปลอดภัยในการออกแบบระบบ</t>
  </si>
  <si>
    <t xml:space="preserve">ESBIT-SA-08(22)</t>
  </si>
  <si>
    <t xml:space="preserve">SA-08(22)</t>
  </si>
  <si>
    <t xml:space="preserve">Security and Privacy Engineering Principles | Accountability and Traceability</t>
  </si>
  <si>
    <t xml:space="preserve">Not a direct configuration item - enhancement of SA-08 (Security and Privacy Engineering Principles): 'Accountability and Traceability'; applying security engineering principles to system design.</t>
  </si>
  <si>
    <t xml:space="preserve">ไม่ใช่การ config โดยตรง - ส่วนขยายของ SA-08: 'Accountability and Traceability' - การประยุกต์หลักวิศวกรรมความปลอดภัยในการออกแบบระบบ</t>
  </si>
  <si>
    <t xml:space="preserve">ESBIT-SA-08(23)</t>
  </si>
  <si>
    <t xml:space="preserve">SA-08(23)</t>
  </si>
  <si>
    <t xml:space="preserve">Security and Privacy Engineering Principles | Secure Defaults</t>
  </si>
  <si>
    <t xml:space="preserve">Not a direct configuration item - enhancement of SA-08 (Security and Privacy Engineering Principles): 'Secure Defaults'; applying security engineering principles to system design.</t>
  </si>
  <si>
    <t xml:space="preserve">ไม่ใช่การ config โดยตรง - ส่วนขยายของ SA-08: 'Secure Defaults' - การประยุกต์หลักวิศวกรรมความปลอดภัยในการออกแบบระบบ</t>
  </si>
  <si>
    <t xml:space="preserve">ESBIT-SA-08(24)</t>
  </si>
  <si>
    <t xml:space="preserve">SA-08(24)</t>
  </si>
  <si>
    <t xml:space="preserve">Security and Privacy Engineering Principles | Secure Failure and Recovery</t>
  </si>
  <si>
    <t xml:space="preserve">Not a direct configuration item - enhancement of SA-08 (Security and Privacy Engineering Principles): 'Secure Failure and Recovery'; applying security engineering principles to system design.</t>
  </si>
  <si>
    <t xml:space="preserve">ไม่ใช่การ config โดยตรง - ส่วนขยายของ SA-08: 'Secure Failure and Recovery' - การประยุกต์หลักวิศวกรรมความปลอดภัยในการออกแบบระบบ</t>
  </si>
  <si>
    <t xml:space="preserve">ESBIT-SA-08(25)</t>
  </si>
  <si>
    <t xml:space="preserve">SA-08(25)</t>
  </si>
  <si>
    <t xml:space="preserve">Security and Privacy Engineering Principles | Economic Security</t>
  </si>
  <si>
    <t xml:space="preserve">Not a direct configuration item - enhancement of SA-08 (Security and Privacy Engineering Principles): 'Economic Security'; applying security engineering principles to system design.</t>
  </si>
  <si>
    <t xml:space="preserve">ไม่ใช่การ config โดยตรง - ส่วนขยายของ SA-08: 'Economic Security' - การประยุกต์หลักวิศวกรรมความปลอดภัยในการออกแบบระบบ</t>
  </si>
  <si>
    <t xml:space="preserve">ESBIT-SA-08(26)</t>
  </si>
  <si>
    <t xml:space="preserve">SA-08(26)</t>
  </si>
  <si>
    <t xml:space="preserve">Security and Privacy Engineering Principles | Performance Security</t>
  </si>
  <si>
    <t xml:space="preserve">Not a direct configuration item - enhancement of SA-08 (Security and Privacy Engineering Principles): 'Performance Security'; applying security engineering principles to system design.</t>
  </si>
  <si>
    <t xml:space="preserve">ไม่ใช่การ config โดยตรง - ส่วนขยายของ SA-08: 'Performance Security' - การประยุกต์หลักวิศวกรรมความปลอดภัยในการออกแบบระบบ</t>
  </si>
  <si>
    <t xml:space="preserve">ESBIT-SA-08(27)</t>
  </si>
  <si>
    <t xml:space="preserve">SA-08(27)</t>
  </si>
  <si>
    <t xml:space="preserve">Security and Privacy Engineering Principles | Human Factored Security</t>
  </si>
  <si>
    <t xml:space="preserve">Not a direct configuration item - enhancement of SA-08 (Security and Privacy Engineering Principles): 'Human Factored Security'; applying security engineering principles to system design.</t>
  </si>
  <si>
    <t xml:space="preserve">ไม่ใช่การ config โดยตรง - ส่วนขยายของ SA-08: 'Human Factored Security' - การประยุกต์หลักวิศวกรรมความปลอดภัยในการออกแบบระบบ</t>
  </si>
  <si>
    <t xml:space="preserve">ESBIT-SA-08(28)</t>
  </si>
  <si>
    <t xml:space="preserve">SA-08(28)</t>
  </si>
  <si>
    <t xml:space="preserve">Security and Privacy Engineering Principles | Acceptable Security</t>
  </si>
  <si>
    <t xml:space="preserve">Not a direct configuration item - enhancement of SA-08 (Security and Privacy Engineering Principles): 'Acceptable Security'; applying security engineering principles to system design.</t>
  </si>
  <si>
    <t xml:space="preserve">ไม่ใช่การ config โดยตรง - ส่วนขยายของ SA-08: 'Acceptable Security' - การประยุกต์หลักวิศวกรรมความปลอดภัยในการออกแบบระบบ</t>
  </si>
  <si>
    <t xml:space="preserve">ESBIT-SA-08(29)</t>
  </si>
  <si>
    <t xml:space="preserve">SA-08(29)</t>
  </si>
  <si>
    <t xml:space="preserve">Security and Privacy Engineering Principles | Repeatable and Documented Procedures</t>
  </si>
  <si>
    <t xml:space="preserve">Not a direct configuration item - enhancement of SA-08 (Security and Privacy Engineering Principles): 'Repeatable and Documented Procedures'; applying security engineering principles to system design.</t>
  </si>
  <si>
    <t xml:space="preserve">ไม่ใช่การ config โดยตรง - ส่วนขยายของ SA-08: 'Repeatable and Documented Procedures' - การประยุกต์หลักวิศวกรรมความปลอดภัยในการออกแบบระบบ</t>
  </si>
  <si>
    <t xml:space="preserve">ESBIT-SA-08(30)</t>
  </si>
  <si>
    <t xml:space="preserve">SA-08(30)</t>
  </si>
  <si>
    <t xml:space="preserve">Security and Privacy Engineering Principles | Procedural Rigor</t>
  </si>
  <si>
    <t xml:space="preserve">Not a direct configuration item - enhancement of SA-08 (Security and Privacy Engineering Principles): 'Procedural Rigor'; applying security engineering principles to system design.</t>
  </si>
  <si>
    <t xml:space="preserve">ไม่ใช่การ config โดยตรง - ส่วนขยายของ SA-08: 'Procedural Rigor' - การประยุกต์หลักวิศวกรรมความปลอดภัยในการออกแบบระบบ</t>
  </si>
  <si>
    <t xml:space="preserve">ESBIT-SA-08(31)</t>
  </si>
  <si>
    <t xml:space="preserve">SA-08(31)</t>
  </si>
  <si>
    <t xml:space="preserve">Security and Privacy Engineering Principles | Secure System Modification</t>
  </si>
  <si>
    <t xml:space="preserve">Not a direct configuration item - enhancement of SA-08 (Security and Privacy Engineering Principles): 'Secure System Modification'; applying security engineering principles to system design.</t>
  </si>
  <si>
    <t xml:space="preserve">ไม่ใช่การ config โดยตรง - ส่วนขยายของ SA-08: 'Secure System Modification' - การประยุกต์หลักวิศวกรรมความปลอดภัยในการออกแบบระบบ</t>
  </si>
  <si>
    <t xml:space="preserve">ESBIT-SA-08(32)</t>
  </si>
  <si>
    <t xml:space="preserve">SA-08(32)</t>
  </si>
  <si>
    <t xml:space="preserve">Security and Privacy Engineering Principles | Sufficient Documentation</t>
  </si>
  <si>
    <t xml:space="preserve">Not a direct configuration item - enhancement of SA-08 (Security and Privacy Engineering Principles): 'Sufficient Documentation'; applying security engineering principles to system design.</t>
  </si>
  <si>
    <t xml:space="preserve">ไม่ใช่การ config โดยตรง - ส่วนขยายของ SA-08: 'Sufficient Documentation' - การประยุกต์หลักวิศวกรรมความปลอดภัยในการออกแบบระบบ</t>
  </si>
  <si>
    <t xml:space="preserve">ESBIT-SA-08(33)</t>
  </si>
  <si>
    <t xml:space="preserve">SA-08(33)</t>
  </si>
  <si>
    <t xml:space="preserve">Security and Privacy Engineering Principles | Minimization</t>
  </si>
  <si>
    <t xml:space="preserve">Not a direct configuration item - enhancement of SA-08 (Security and Privacy Engineering Principles): 'Minimization'; applying security engineering principles to system design.</t>
  </si>
  <si>
    <t xml:space="preserve">ไม่ใช่การ config โดยตรง - ส่วนขยายของ SA-08: 'Minimization' - การประยุกต์หลักวิศวกรรมความปลอดภัยในการออกแบบระบบ</t>
  </si>
  <si>
    <t xml:space="preserve">ESBIT-SA-09</t>
  </si>
  <si>
    <t xml:space="preserve">SA-09</t>
  </si>
  <si>
    <t xml:space="preserve">External System Services</t>
  </si>
  <si>
    <t xml:space="preserve">GV.SC-07</t>
  </si>
  <si>
    <t xml:space="preserve">The risks posed by a supplier, their products and services, and other third parties are understood, recorded, prioritized, assessed, responded to, and monitored over the course of the relationship</t>
  </si>
  <si>
    <t xml:space="preserve">Configure and verify security settings of external and cloud services, including shared responsibility, keys and data location</t>
  </si>
  <si>
    <t xml:space="preserve">ตั้งค่าและตรวจสอบความปลอดภัยของบริการภายนอก/Cloud รวมถึง Shared Responsibility คีย์ และที่ตั้งข้อมูล</t>
  </si>
  <si>
    <t xml:space="preserve">Cloud, Third Party</t>
  </si>
  <si>
    <t xml:space="preserve">ESBIT-SA-09(01)</t>
  </si>
  <si>
    <t xml:space="preserve">SA-09(01)</t>
  </si>
  <si>
    <t xml:space="preserve">External System Services | Risk Assessments and Organizational Approvals</t>
  </si>
  <si>
    <t xml:space="preserve">Enhances SA-09 (External System Services): configure and enforce 'Risk Assessments and Organizational Approvals' in addition to the base setting, keep it consistent across applicable systems and document approved exceptions. Base scope: Configure and verify security settings of external and cloud services, including shared responsibility, keys and data location</t>
  </si>
  <si>
    <t xml:space="preserve">ส่วนขยายของ SA-09: กำหนดค่าและบังคับใช้ 'Risk Assessments and Organizational Approvals' เพิ่มเติมจากค่าพื้นฐาน ให้สอดคล้องทุกระบบที่เกี่ยวข้อง และบันทึกข้อยกเว้น - ตั้งค่าและตรวจสอบความปลอดภัยของบริการภายนอก/Cloud รวมถึง Shared Responsibility คีย์ และที่ตั้งข้อมูล</t>
  </si>
  <si>
    <t xml:space="preserve">ESBIT-SA-09(02)</t>
  </si>
  <si>
    <t xml:space="preserve">SA-09(02)</t>
  </si>
  <si>
    <t xml:space="preserve">External System Services | Identification of Functions, Ports, Protocols, and Services</t>
  </si>
  <si>
    <t xml:space="preserve">Enhances SA-09 (External System Services): configure and enforce 'Identification of Functions, Ports, Protocols, and Services' in addition to the base setting, keep it consistent across applicable systems and document approved exceptions. Base scope: Configure and verify security settings of external and cloud services, including shared responsibility, keys and data location</t>
  </si>
  <si>
    <t xml:space="preserve">ส่วนขยายของ SA-09: กำหนดค่าและบังคับใช้ 'Identification of Functions, Ports, Protocols, and Services' เพิ่มเติมจากค่าพื้นฐาน ให้สอดคล้องทุกระบบที่เกี่ยวข้อง และบันทึกข้อยกเว้น - ตั้งค่าและตรวจสอบความปลอดภัยของบริการภายนอก/Cloud รวมถึง Shared Responsibility คีย์ และที่ตั้งข้อมูล</t>
  </si>
  <si>
    <t xml:space="preserve">ESBIT-SA-09(03)</t>
  </si>
  <si>
    <t xml:space="preserve">SA-09(03)</t>
  </si>
  <si>
    <t xml:space="preserve">External System Services | Establish and Maintain Trust Relationship with Providers</t>
  </si>
  <si>
    <t xml:space="preserve">Enhances SA-09 (External System Services): configure and enforce 'Establish and Maintain Trust Relationship with Providers' in addition to the base setting, keep it consistent across applicable systems and document approved exceptions. Base scope: Configure and verify security settings of external and cloud services, including shared responsibility, keys and data location</t>
  </si>
  <si>
    <t xml:space="preserve">ส่วนขยายของ SA-09: กำหนดค่าและบังคับใช้ 'Establish and Maintain Trust Relationship with Providers' เพิ่มเติมจากค่าพื้นฐาน ให้สอดคล้องทุกระบบที่เกี่ยวข้อง และบันทึกข้อยกเว้น - ตั้งค่าและตรวจสอบความปลอดภัยของบริการภายนอก/Cloud รวมถึง Shared Responsibility คีย์ และที่ตั้งข้อมูล</t>
  </si>
  <si>
    <t xml:space="preserve">ESBIT-SA-09(04)</t>
  </si>
  <si>
    <t xml:space="preserve">SA-09(04)</t>
  </si>
  <si>
    <t xml:space="preserve">External System Services | Consistent Interests of Consumers and Providers</t>
  </si>
  <si>
    <t xml:space="preserve">Enhances SA-09 (External System Services): configure and enforce 'Consistent Interests of Consumers and Providers' in addition to the base setting, keep it consistent across applicable systems and document approved exceptions. Base scope: Configure and verify security settings of external and cloud services, including shared responsibility, keys and data location</t>
  </si>
  <si>
    <t xml:space="preserve">ส่วนขยายของ SA-09: กำหนดค่าและบังคับใช้ 'Consistent Interests of Consumers and Providers' เพิ่มเติมจากค่าพื้นฐาน ให้สอดคล้องทุกระบบที่เกี่ยวข้อง และบันทึกข้อยกเว้น - ตั้งค่าและตรวจสอบความปลอดภัยของบริการภายนอก/Cloud รวมถึง Shared Responsibility คีย์ และที่ตั้งข้อมูล</t>
  </si>
  <si>
    <t xml:space="preserve">ESBIT-SA-09(05)</t>
  </si>
  <si>
    <t xml:space="preserve">SA-09(05)</t>
  </si>
  <si>
    <t xml:space="preserve">External System Services | Processing, Storage, and Service Location</t>
  </si>
  <si>
    <t xml:space="preserve">Enhances SA-09 (External System Services): configure and enforce 'Processing, Storage, and Service Location' in addition to the base setting, keep it consistent across applicable systems and document approved exceptions. Base scope: Configure and verify security settings of external and cloud services, including shared responsibility, keys and data location</t>
  </si>
  <si>
    <t xml:space="preserve">ส่วนขยายของ SA-09: กำหนดค่าและบังคับใช้ 'Processing, Storage, and Service Location' เพิ่มเติมจากค่าพื้นฐาน ให้สอดคล้องทุกระบบที่เกี่ยวข้อง และบันทึกข้อยกเว้น - ตั้งค่าและตรวจสอบความปลอดภัยของบริการภายนอก/Cloud รวมถึง Shared Responsibility คีย์ และที่ตั้งข้อมูล</t>
  </si>
  <si>
    <t xml:space="preserve">ESBIT-SA-09(06)</t>
  </si>
  <si>
    <t xml:space="preserve">SA-09(06)</t>
  </si>
  <si>
    <t xml:space="preserve">External System Services | Organization-controlled Cryptographic Keys</t>
  </si>
  <si>
    <t xml:space="preserve">Enhances SA-09 (External System Services): configure and enforce 'Organization-controlled Cryptographic Keys' in addition to the base setting, keep it consistent across applicable systems and document approved exceptions. Base scope: Configure and verify security settings of external and cloud services, including shared responsibility, keys and data location</t>
  </si>
  <si>
    <t xml:space="preserve">ส่วนขยายของ SA-09: กำหนดค่าและบังคับใช้ 'Organization-controlled Cryptographic Keys' เพิ่มเติมจากค่าพื้นฐาน ให้สอดคล้องทุกระบบที่เกี่ยวข้อง และบันทึกข้อยกเว้น - ตั้งค่าและตรวจสอบความปลอดภัยของบริการภายนอก/Cloud รวมถึง Shared Responsibility คีย์ และที่ตั้งข้อมูล</t>
  </si>
  <si>
    <t xml:space="preserve">ESBIT-SA-09(07)</t>
  </si>
  <si>
    <t xml:space="preserve">SA-09(07)</t>
  </si>
  <si>
    <t xml:space="preserve">External System Services | Organization-controlled Integrity Checking</t>
  </si>
  <si>
    <t xml:space="preserve">Enhances SA-09 (External System Services): configure and enforce 'Organization-controlled Integrity Checking' in addition to the base setting, keep it consistent across applicable systems and document approved exceptions. Base scope: Configure and verify security settings of external and cloud services, including shared responsibility, keys and data location</t>
  </si>
  <si>
    <t xml:space="preserve">ส่วนขยายของ SA-09: กำหนดค่าและบังคับใช้ 'Organization-controlled Integrity Checking' เพิ่มเติมจากค่าพื้นฐาน ให้สอดคล้องทุกระบบที่เกี่ยวข้อง และบันทึกข้อยกเว้น - ตั้งค่าและตรวจสอบความปลอดภัยของบริการภายนอก/Cloud รวมถึง Shared Responsibility คีย์ และที่ตั้งข้อมูล</t>
  </si>
  <si>
    <t xml:space="preserve">ESBIT-SA-09(08)</t>
  </si>
  <si>
    <t xml:space="preserve">SA-09(08)</t>
  </si>
  <si>
    <t xml:space="preserve">External System Services | Processing and Storage Location - U.S. Jurisdiction</t>
  </si>
  <si>
    <t xml:space="preserve">Enhances SA-09 (External System Services): configure and enforce 'Processing and Storage Location - U.S. Jurisdiction' in addition to the base setting, keep it consistent across applicable systems and document approved exceptions. Base scope: Configure and verify security settings of external and cloud services, including shared responsibility, keys and data location</t>
  </si>
  <si>
    <t xml:space="preserve">ส่วนขยายของ SA-09: กำหนดค่าและบังคับใช้ 'Processing and Storage Location - U.S. Jurisdiction' เพิ่มเติมจากค่าพื้นฐาน ให้สอดคล้องทุกระบบที่เกี่ยวข้อง และบันทึกข้อยกเว้น - ตั้งค่าและตรวจสอบความปลอดภัยของบริการภายนอก/Cloud รวมถึง Shared Responsibility คีย์ และที่ตั้งข้อมูล</t>
  </si>
  <si>
    <t xml:space="preserve">ESBIT-SA-10</t>
  </si>
  <si>
    <t xml:space="preserve">SA-10</t>
  </si>
  <si>
    <t xml:space="preserve">Developer Configuration Management</t>
  </si>
  <si>
    <t xml:space="preserve">Configure source control, build pipeline access and integrity verification for developer configuration management</t>
  </si>
  <si>
    <t xml:space="preserve">ตั้งค่า Source Control สิทธิ์ Build Pipeline และการตรวจ Integrity ของ Configuration ฝั่งนักพัฒนา</t>
  </si>
  <si>
    <t xml:space="preserve">ESBIT-SA-10(01)</t>
  </si>
  <si>
    <t xml:space="preserve">SA-10(01)</t>
  </si>
  <si>
    <t xml:space="preserve">Developer Configuration Management | Software and Firmware Integrity Verification</t>
  </si>
  <si>
    <t xml:space="preserve">Enhances SA-10 (Developer Configuration Management): configure and enforce 'Software and Firmware Integrity Verification' in addition to the base setting, keep it consistent across applicable systems and document approved exceptions. Base scope: Configure source control, build pipeline access and integrity verification for developer configuration management</t>
  </si>
  <si>
    <t xml:space="preserve">ส่วนขยายของ SA-10: กำหนดค่าและบังคับใช้ 'Software and Firmware Integrity Verification' เพิ่มเติมจากค่าพื้นฐาน ให้สอดคล้องทุกระบบที่เกี่ยวข้อง และบันทึกข้อยกเว้น - ตั้งค่า Source Control สิทธิ์ Build Pipeline และการตรวจ Integrity ของ Configuration ฝั่งนักพัฒนา</t>
  </si>
  <si>
    <t xml:space="preserve">ESBIT-SA-10(02)</t>
  </si>
  <si>
    <t xml:space="preserve">SA-10(02)</t>
  </si>
  <si>
    <t xml:space="preserve">Developer Configuration Management | Alternative Configuration Management Processes</t>
  </si>
  <si>
    <t xml:space="preserve">Enhances SA-10 (Developer Configuration Management): configure and enforce 'Alternative Configuration Management Processes' in addition to the base setting, keep it consistent across applicable systems and document approved exceptions. Base scope: Configure source control, build pipeline access and integrity verification for developer configuration management</t>
  </si>
  <si>
    <t xml:space="preserve">ส่วนขยายของ SA-10: กำหนดค่าและบังคับใช้ 'Alternative Configuration Management Processes' เพิ่มเติมจากค่าพื้นฐาน ให้สอดคล้องทุกระบบที่เกี่ยวข้อง และบันทึกข้อยกเว้น - ตั้งค่า Source Control สิทธิ์ Build Pipeline และการตรวจ Integrity ของ Configuration ฝั่งนักพัฒนา</t>
  </si>
  <si>
    <t xml:space="preserve">ESBIT-SA-10(03)</t>
  </si>
  <si>
    <t xml:space="preserve">SA-10(03)</t>
  </si>
  <si>
    <t xml:space="preserve">Developer Configuration Management | Hardware Integrity Verification</t>
  </si>
  <si>
    <t xml:space="preserve">Enhances SA-10 (Developer Configuration Management): configure and enforce 'Hardware Integrity Verification' in addition to the base setting, keep it consistent across applicable systems and document approved exceptions. Base scope: Configure source control, build pipeline access and integrity verification for developer configuration management</t>
  </si>
  <si>
    <t xml:space="preserve">ส่วนขยายของ SA-10: กำหนดค่าและบังคับใช้ 'Hardware Integrity Verification' เพิ่มเติมจากค่าพื้นฐาน ให้สอดคล้องทุกระบบที่เกี่ยวข้อง และบันทึกข้อยกเว้น - ตั้งค่า Source Control สิทธิ์ Build Pipeline และการตรวจ Integrity ของ Configuration ฝั่งนักพัฒนา</t>
  </si>
  <si>
    <t xml:space="preserve">ESBIT-SA-10(04)</t>
  </si>
  <si>
    <t xml:space="preserve">SA-10(04)</t>
  </si>
  <si>
    <t xml:space="preserve">Developer Configuration Management | Trusted Generation</t>
  </si>
  <si>
    <t xml:space="preserve">Enhances SA-10 (Developer Configuration Management): configure and enforce 'Trusted Generation' in addition to the base setting, keep it consistent across applicable systems and document approved exceptions. Base scope: Configure source control, build pipeline access and integrity verification for developer configuration management</t>
  </si>
  <si>
    <t xml:space="preserve">ส่วนขยายของ SA-10: กำหนดค่าและบังคับใช้ 'Trusted Generation' เพิ่มเติมจากค่าพื้นฐาน ให้สอดคล้องทุกระบบที่เกี่ยวข้อง และบันทึกข้อยกเว้น - ตั้งค่า Source Control สิทธิ์ Build Pipeline และการตรวจ Integrity ของ Configuration ฝั่งนักพัฒนา</t>
  </si>
  <si>
    <t xml:space="preserve">ESBIT-SA-10(05)</t>
  </si>
  <si>
    <t xml:space="preserve">SA-10(05)</t>
  </si>
  <si>
    <t xml:space="preserve">Developer Configuration Management | Mapping Integrity for Version Control</t>
  </si>
  <si>
    <t xml:space="preserve">Enhances SA-10 (Developer Configuration Management): configure and enforce 'Mapping Integrity for Version Control' in addition to the base setting, keep it consistent across applicable systems and document approved exceptions. Base scope: Configure source control, build pipeline access and integrity verification for developer configuration management</t>
  </si>
  <si>
    <t xml:space="preserve">ส่วนขยายของ SA-10: กำหนดค่าและบังคับใช้ 'Mapping Integrity for Version Control' เพิ่มเติมจากค่าพื้นฐาน ให้สอดคล้องทุกระบบที่เกี่ยวข้อง และบันทึกข้อยกเว้น - ตั้งค่า Source Control สิทธิ์ Build Pipeline และการตรวจ Integrity ของ Configuration ฝั่งนักพัฒนา</t>
  </si>
  <si>
    <t xml:space="preserve">ESBIT-SA-10(06)</t>
  </si>
  <si>
    <t xml:space="preserve">SA-10(06)</t>
  </si>
  <si>
    <t xml:space="preserve">Developer Configuration Management | Trusted Distribution</t>
  </si>
  <si>
    <t xml:space="preserve">Enhances SA-10 (Developer Configuration Management): configure and enforce 'Trusted Distribution' in addition to the base setting, keep it consistent across applicable systems and document approved exceptions. Base scope: Configure source control, build pipeline access and integrity verification for developer configuration management</t>
  </si>
  <si>
    <t xml:space="preserve">ส่วนขยายของ SA-10: กำหนดค่าและบังคับใช้ 'Trusted Distribution' เพิ่มเติมจากค่าพื้นฐาน ให้สอดคล้องทุกระบบที่เกี่ยวข้อง และบันทึกข้อยกเว้น - ตั้งค่า Source Control สิทธิ์ Build Pipeline และการตรวจ Integrity ของ Configuration ฝั่งนักพัฒนา</t>
  </si>
  <si>
    <t xml:space="preserve">ESBIT-SA-10(07)</t>
  </si>
  <si>
    <t xml:space="preserve">SA-10(07)</t>
  </si>
  <si>
    <t xml:space="preserve">Developer Configuration Management | Security and Privacy Representatives</t>
  </si>
  <si>
    <t xml:space="preserve">Enhances SA-10 (Developer Configuration Management): configure and enforce 'Security and Privacy Representatives' in addition to the base setting, keep it consistent across applicable systems and document approved exceptions. Base scope: Configure source control, build pipeline access and integrity verification for developer configuration management</t>
  </si>
  <si>
    <t xml:space="preserve">ส่วนขยายของ SA-10: กำหนดค่าและบังคับใช้ 'Security and Privacy Representatives' เพิ่มเติมจากค่าพื้นฐาน ให้สอดคล้องทุกระบบที่เกี่ยวข้อง และบันทึกข้อยกเว้น - ตั้งค่า Source Control สิทธิ์ Build Pipeline และการตรวจ Integrity ของ Configuration ฝั่งนักพัฒนา</t>
  </si>
  <si>
    <t xml:space="preserve">ESBIT-SA-11</t>
  </si>
  <si>
    <t xml:space="preserve">SA-11</t>
  </si>
  <si>
    <t xml:space="preserve">Developer Testing and Evaluation</t>
  </si>
  <si>
    <t xml:space="preserve">Configure SAST/DAST/IAST tools in the pipeline and test plans for security flaws</t>
  </si>
  <si>
    <t xml:space="preserve">ตั้งค่าเครื่องมือ SAST/DAST/IAST ใน Pipeline และแผนทดสอบช่องโหว่</t>
  </si>
  <si>
    <t xml:space="preserve">ESBIT-SA-11(01)</t>
  </si>
  <si>
    <t xml:space="preserve">SA-11(01)</t>
  </si>
  <si>
    <t xml:space="preserve">Developer Testing and Evaluation | Static Code Analysis</t>
  </si>
  <si>
    <t xml:space="preserve">Enhances SA-11 (Developer Testing and Evaluation): configure and enforce 'Static Code Analysis' in addition to the base setting, keep it consistent across applicable systems and document approved exceptions. Base scope: Configure SAST/DAST/IAST tools in the pipeline and test plans for security flaws</t>
  </si>
  <si>
    <t xml:space="preserve">ส่วนขยายของ SA-11: กำหนดค่าและบังคับใช้ 'Static Code Analysis' เพิ่มเติมจากค่าพื้นฐาน ให้สอดคล้องทุกระบบที่เกี่ยวข้อง และบันทึกข้อยกเว้น - ตั้งค่าเครื่องมือ SAST/DAST/IAST ใน Pipeline และแผนทดสอบช่องโหว่</t>
  </si>
  <si>
    <t xml:space="preserve">ESBIT-SA-11(02)</t>
  </si>
  <si>
    <t xml:space="preserve">SA-11(02)</t>
  </si>
  <si>
    <t xml:space="preserve">Developer Testing and Evaluation | Threat Modeling and Vulnerability Analyses</t>
  </si>
  <si>
    <t xml:space="preserve">Enhances SA-11 (Developer Testing and Evaluation): configure and enforce 'Threat Modeling and Vulnerability Analyses' in addition to the base setting, keep it consistent across applicable systems and document approved exceptions. Base scope: Configure SAST/DAST/IAST tools in the pipeline and test plans for security flaws</t>
  </si>
  <si>
    <t xml:space="preserve">ส่วนขยายของ SA-11: กำหนดค่าและบังคับใช้ 'Threat Modeling and Vulnerability Analyses' เพิ่มเติมจากค่าพื้นฐาน ให้สอดคล้องทุกระบบที่เกี่ยวข้อง และบันทึกข้อยกเว้น - ตั้งค่าเครื่องมือ SAST/DAST/IAST ใน Pipeline และแผนทดสอบช่องโหว่</t>
  </si>
  <si>
    <t xml:space="preserve">ESBIT-SA-11(03)</t>
  </si>
  <si>
    <t xml:space="preserve">SA-11(03)</t>
  </si>
  <si>
    <t xml:space="preserve">Developer Testing and Evaluation | Independent Verification of Assessment Plans and Evidence</t>
  </si>
  <si>
    <t xml:space="preserve">Enhances SA-11 (Developer Testing and Evaluation): configure and enforce 'Independent Verification of Assessment Plans and Evidence' in addition to the base setting, keep it consistent across applicable systems and document approved exceptions. Base scope: Configure SAST/DAST/IAST tools in the pipeline and test plans for security flaws</t>
  </si>
  <si>
    <t xml:space="preserve">ส่วนขยายของ SA-11: กำหนดค่าและบังคับใช้ 'Independent Verification of Assessment Plans and Evidence' เพิ่มเติมจากค่าพื้นฐาน ให้สอดคล้องทุกระบบที่เกี่ยวข้อง และบันทึกข้อยกเว้น - ตั้งค่าเครื่องมือ SAST/DAST/IAST ใน Pipeline และแผนทดสอบช่องโหว่</t>
  </si>
  <si>
    <t xml:space="preserve">ESBIT-SA-11(04)</t>
  </si>
  <si>
    <t xml:space="preserve">SA-11(04)</t>
  </si>
  <si>
    <t xml:space="preserve">Developer Testing and Evaluation | Manual Code Reviews</t>
  </si>
  <si>
    <t xml:space="preserve">Enhances SA-11 (Developer Testing and Evaluation): configure and enforce 'Manual Code Reviews' in addition to the base setting, keep it consistent across applicable systems and document approved exceptions. Base scope: Configure SAST/DAST/IAST tools in the pipeline and test plans for security flaws</t>
  </si>
  <si>
    <t xml:space="preserve">ส่วนขยายของ SA-11: กำหนดค่าและบังคับใช้ 'Manual Code Reviews' เพิ่มเติมจากค่าพื้นฐาน ให้สอดคล้องทุกระบบที่เกี่ยวข้อง และบันทึกข้อยกเว้น - ตั้งค่าเครื่องมือ SAST/DAST/IAST ใน Pipeline และแผนทดสอบช่องโหว่</t>
  </si>
  <si>
    <t xml:space="preserve">ESBIT-SA-11(05)</t>
  </si>
  <si>
    <t xml:space="preserve">SA-11(05)</t>
  </si>
  <si>
    <t xml:space="preserve">Developer Testing and Evaluation | Penetration Testing</t>
  </si>
  <si>
    <t xml:space="preserve">Enhances SA-11 (Developer Testing and Evaluation): configure and enforce 'Penetration Testing' in addition to the base setting, keep it consistent across applicable systems and document approved exceptions. Base scope: Configure SAST/DAST/IAST tools in the pipeline and test plans for security flaws</t>
  </si>
  <si>
    <t xml:space="preserve">ส่วนขยายของ SA-11: กำหนดค่าและบังคับใช้ 'Penetration Testing' เพิ่มเติมจากค่าพื้นฐาน ให้สอดคล้องทุกระบบที่เกี่ยวข้อง และบันทึกข้อยกเว้น - ตั้งค่าเครื่องมือ SAST/DAST/IAST ใน Pipeline และแผนทดสอบช่องโหว่</t>
  </si>
  <si>
    <t xml:space="preserve">ESBIT-SA-11(06)</t>
  </si>
  <si>
    <t xml:space="preserve">SA-11(06)</t>
  </si>
  <si>
    <t xml:space="preserve">Developer Testing and Evaluation | Attack Surface Reviews</t>
  </si>
  <si>
    <t xml:space="preserve">Enhances SA-11 (Developer Testing and Evaluation): configure and enforce 'Attack Surface Reviews' in addition to the base setting, keep it consistent across applicable systems and document approved exceptions. Base scope: Configure SAST/DAST/IAST tools in the pipeline and test plans for security flaws</t>
  </si>
  <si>
    <t xml:space="preserve">ส่วนขยายของ SA-11: กำหนดค่าและบังคับใช้ 'Attack Surface Reviews' เพิ่มเติมจากค่าพื้นฐาน ให้สอดคล้องทุกระบบที่เกี่ยวข้อง และบันทึกข้อยกเว้น - ตั้งค่าเครื่องมือ SAST/DAST/IAST ใน Pipeline และแผนทดสอบช่องโหว่</t>
  </si>
  <si>
    <t xml:space="preserve">ESBIT-SA-11(07)</t>
  </si>
  <si>
    <t xml:space="preserve">SA-11(07)</t>
  </si>
  <si>
    <t xml:space="preserve">Developer Testing and Evaluation | Verify Scope of Testing and Evaluation</t>
  </si>
  <si>
    <t xml:space="preserve">Enhances SA-11 (Developer Testing and Evaluation): configure and enforce 'Verify Scope of Testing and Evaluation' in addition to the base setting, keep it consistent across applicable systems and document approved exceptions. Base scope: Configure SAST/DAST/IAST tools in the pipeline and test plans for security flaws</t>
  </si>
  <si>
    <t xml:space="preserve">ส่วนขยายของ SA-11: กำหนดค่าและบังคับใช้ 'Verify Scope of Testing and Evaluation' เพิ่มเติมจากค่าพื้นฐาน ให้สอดคล้องทุกระบบที่เกี่ยวข้อง และบันทึกข้อยกเว้น - ตั้งค่าเครื่องมือ SAST/DAST/IAST ใน Pipeline และแผนทดสอบช่องโหว่</t>
  </si>
  <si>
    <t xml:space="preserve">ESBIT-SA-11(08)</t>
  </si>
  <si>
    <t xml:space="preserve">SA-11(08)</t>
  </si>
  <si>
    <t xml:space="preserve">Developer Testing and Evaluation | Dynamic Code Analysis</t>
  </si>
  <si>
    <t xml:space="preserve">Enhances SA-11 (Developer Testing and Evaluation): configure and enforce 'Dynamic Code Analysis' in addition to the base setting, keep it consistent across applicable systems and document approved exceptions. Base scope: Configure SAST/DAST/IAST tools in the pipeline and test plans for security flaws</t>
  </si>
  <si>
    <t xml:space="preserve">ส่วนขยายของ SA-11: กำหนดค่าและบังคับใช้ 'Dynamic Code Analysis' เพิ่มเติมจากค่าพื้นฐาน ให้สอดคล้องทุกระบบที่เกี่ยวข้อง และบันทึกข้อยกเว้น - ตั้งค่าเครื่องมือ SAST/DAST/IAST ใน Pipeline และแผนทดสอบช่องโหว่</t>
  </si>
  <si>
    <t xml:space="preserve">ESBIT-SA-11(09)</t>
  </si>
  <si>
    <t xml:space="preserve">SA-11(09)</t>
  </si>
  <si>
    <t xml:space="preserve">Developer Testing and Evaluation | Interactive Application Security Testing</t>
  </si>
  <si>
    <t xml:space="preserve">Enhances SA-11 (Developer Testing and Evaluation): configure and enforce 'Interactive Application Security Testing' in addition to the base setting, keep it consistent across applicable systems and document approved exceptions. Base scope: Configure SAST/DAST/IAST tools in the pipeline and test plans for security flaws</t>
  </si>
  <si>
    <t xml:space="preserve">ส่วนขยายของ SA-11: กำหนดค่าและบังคับใช้ 'Interactive Application Security Testing' เพิ่มเติมจากค่าพื้นฐาน ให้สอดคล้องทุกระบบที่เกี่ยวข้อง และบันทึกข้อยกเว้น - ตั้งค่าเครื่องมือ SAST/DAST/IAST ใน Pipeline และแผนทดสอบช่องโหว่</t>
  </si>
  <si>
    <t xml:space="preserve">ESBIT-SA-15</t>
  </si>
  <si>
    <t xml:space="preserve">SA-15</t>
  </si>
  <si>
    <t xml:space="preserve">Development Process, Standards, and Tools</t>
  </si>
  <si>
    <t xml:space="preserve">Not a direct configuration item - secure development process, standards and tools</t>
  </si>
  <si>
    <t xml:space="preserve">ไม่ใช่การ config โดยตรง - กระบวนการ มาตรฐาน และเครื่องมือพัฒนาอย่างปลอดภัย</t>
  </si>
  <si>
    <t xml:space="preserve">ESBIT-SA-15(01)</t>
  </si>
  <si>
    <t xml:space="preserve">SA-15(01)</t>
  </si>
  <si>
    <t xml:space="preserve">Development Process, Standards, and Tools | Quality Metrics</t>
  </si>
  <si>
    <t xml:space="preserve">Not a direct configuration item - enhancement of SA-15 (Development Process, Standards, and Tools): 'Quality Metrics'; secure development process, standards and tools.</t>
  </si>
  <si>
    <t xml:space="preserve">ไม่ใช่การ config โดยตรง - ส่วนขยายของ SA-15: 'Quality Metrics' - กระบวนการ มาตรฐาน และเครื่องมือพัฒนาอย่างปลอดภัย</t>
  </si>
  <si>
    <t xml:space="preserve">ESBIT-SA-15(02)</t>
  </si>
  <si>
    <t xml:space="preserve">SA-15(02)</t>
  </si>
  <si>
    <t xml:space="preserve">Development Process, Standards, and Tools | Security and Privacy Tracking Tools</t>
  </si>
  <si>
    <t xml:space="preserve">Not a direct configuration item - enhancement of SA-15 (Development Process, Standards, and Tools): 'Security and Privacy Tracking Tools'; secure development process, standards and tools.</t>
  </si>
  <si>
    <t xml:space="preserve">ไม่ใช่การ config โดยตรง - ส่วนขยายของ SA-15: 'Security and Privacy Tracking Tools' - กระบวนการ มาตรฐาน และเครื่องมือพัฒนาอย่างปลอดภัย</t>
  </si>
  <si>
    <t xml:space="preserve">ESBIT-SA-15(03)</t>
  </si>
  <si>
    <t xml:space="preserve">SA-15(03)</t>
  </si>
  <si>
    <t xml:space="preserve">Development Process, Standards, and Tools | Criticality Analysis</t>
  </si>
  <si>
    <t xml:space="preserve">Not a direct configuration item - enhancement of SA-15 (Development Process, Standards, and Tools): 'Criticality Analysis'; secure development process, standards and tools.</t>
  </si>
  <si>
    <t xml:space="preserve">ไม่ใช่การ config โดยตรง - ส่วนขยายของ SA-15: 'Criticality Analysis' - กระบวนการ มาตรฐาน และเครื่องมือพัฒนาอย่างปลอดภัย</t>
  </si>
  <si>
    <t xml:space="preserve">ESBIT-SA-15(05)</t>
  </si>
  <si>
    <t xml:space="preserve">SA-15(05)</t>
  </si>
  <si>
    <t xml:space="preserve">Development Process, Standards, and Tools | Attack Surface Reduction</t>
  </si>
  <si>
    <t xml:space="preserve">Not a direct configuration item - enhancement of SA-15 (Development Process, Standards, and Tools): 'Attack Surface Reduction'; secure development process, standards and tools.</t>
  </si>
  <si>
    <t xml:space="preserve">ไม่ใช่การ config โดยตรง - ส่วนขยายของ SA-15: 'Attack Surface Reduction' - กระบวนการ มาตรฐาน และเครื่องมือพัฒนาอย่างปลอดภัย</t>
  </si>
  <si>
    <t xml:space="preserve">ESBIT-SA-15(06)</t>
  </si>
  <si>
    <t xml:space="preserve">SA-15(06)</t>
  </si>
  <si>
    <t xml:space="preserve">Development Process, Standards, and Tools | Continuous Improvement</t>
  </si>
  <si>
    <t xml:space="preserve">Not a direct configuration item - enhancement of SA-15 (Development Process, Standards, and Tools): 'Continuous Improvement'; secure development process, standards and tools.</t>
  </si>
  <si>
    <t xml:space="preserve">ไม่ใช่การ config โดยตรง - ส่วนขยายของ SA-15: 'Continuous Improvement' - กระบวนการ มาตรฐาน และเครื่องมือพัฒนาอย่างปลอดภัย</t>
  </si>
  <si>
    <t xml:space="preserve">ESBIT-SA-15(07)</t>
  </si>
  <si>
    <t xml:space="preserve">SA-15(07)</t>
  </si>
  <si>
    <t xml:space="preserve">Development Process, Standards, and Tools | Automated Vulnerability Analysis</t>
  </si>
  <si>
    <t xml:space="preserve">Not a direct configuration item - enhancement of SA-15 (Development Process, Standards, and Tools): 'Automated Vulnerability Analysis'; secure development process, standards and tools.</t>
  </si>
  <si>
    <t xml:space="preserve">ไม่ใช่การ config โดยตรง - ส่วนขยายของ SA-15: 'Automated Vulnerability Analysis' - กระบวนการ มาตรฐาน และเครื่องมือพัฒนาอย่างปลอดภัย</t>
  </si>
  <si>
    <t xml:space="preserve">ESBIT-SA-15(08)</t>
  </si>
  <si>
    <t xml:space="preserve">SA-15(08)</t>
  </si>
  <si>
    <t xml:space="preserve">Development Process, Standards, and Tools | Reuse of Threat and Vulnerability Information</t>
  </si>
  <si>
    <t xml:space="preserve">Not a direct configuration item - enhancement of SA-15 (Development Process, Standards, and Tools): 'Reuse of Threat and Vulnerability Information'; secure development process, standards and tools.</t>
  </si>
  <si>
    <t xml:space="preserve">ไม่ใช่การ config โดยตรง - ส่วนขยายของ SA-15: 'Reuse of Threat and Vulnerability Information' - กระบวนการ มาตรฐาน และเครื่องมือพัฒนาอย่างปลอดภัย</t>
  </si>
  <si>
    <t xml:space="preserve">ESBIT-SA-15(10)</t>
  </si>
  <si>
    <t xml:space="preserve">SA-15(10)</t>
  </si>
  <si>
    <t xml:space="preserve">Development Process, Standards, and Tools | Incident Response Plan</t>
  </si>
  <si>
    <t xml:space="preserve">Not a direct configuration item - enhancement of SA-15 (Development Process, Standards, and Tools): 'Incident Response Plan'; secure development process, standards and tools.</t>
  </si>
  <si>
    <t xml:space="preserve">ไม่ใช่การ config โดยตรง - ส่วนขยายของ SA-15: 'Incident Response Plan' - กระบวนการ มาตรฐาน และเครื่องมือพัฒนาอย่างปลอดภัย</t>
  </si>
  <si>
    <t xml:space="preserve">ESBIT-SA-15(11)</t>
  </si>
  <si>
    <t xml:space="preserve">SA-15(11)</t>
  </si>
  <si>
    <t xml:space="preserve">Development Process, Standards, and Tools | Archive System or Component</t>
  </si>
  <si>
    <t xml:space="preserve">Not a direct configuration item - enhancement of SA-15 (Development Process, Standards, and Tools): 'Archive System or Component'; secure development process, standards and tools.</t>
  </si>
  <si>
    <t xml:space="preserve">ไม่ใช่การ config โดยตรง - ส่วนขยายของ SA-15: 'Archive System or Component' - กระบวนการ มาตรฐาน และเครื่องมือพัฒนาอย่างปลอดภัย</t>
  </si>
  <si>
    <t xml:space="preserve">ESBIT-SA-15(12)</t>
  </si>
  <si>
    <t xml:space="preserve">SA-15(12)</t>
  </si>
  <si>
    <t xml:space="preserve">Development Process, Standards, and Tools | Minimize Personally Identifiable Information</t>
  </si>
  <si>
    <t xml:space="preserve">Not a direct configuration item - enhancement of SA-15 (Development Process, Standards, and Tools): 'Minimize Personally Identifiable Information'; secure development process, standards and tools.</t>
  </si>
  <si>
    <t xml:space="preserve">ไม่ใช่การ config โดยตรง - ส่วนขยายของ SA-15: 'Minimize Personally Identifiable Information' - กระบวนการ มาตรฐาน และเครื่องมือพัฒนาอย่างปลอดภัย</t>
  </si>
  <si>
    <t xml:space="preserve">ESBIT-SA-16</t>
  </si>
  <si>
    <t xml:space="preserve">SA-16</t>
  </si>
  <si>
    <t xml:space="preserve">Developer-provided Training</t>
  </si>
  <si>
    <t xml:space="preserve">Not a direct configuration item - training provided by developers or vendors for secure use</t>
  </si>
  <si>
    <t xml:space="preserve">ไม่ใช่การ config โดยตรง - การอบรมจากผู้พัฒนา/ผู้ขายสำหรับการใช้งานอย่างปลอดภัย</t>
  </si>
  <si>
    <t xml:space="preserve">ESBIT-SA-17</t>
  </si>
  <si>
    <t xml:space="preserve">SA-17</t>
  </si>
  <si>
    <t xml:space="preserve">Developer Security and Privacy Architecture and Design</t>
  </si>
  <si>
    <t xml:space="preserve">Not a direct configuration item - developer security architecture and design documentation</t>
  </si>
  <si>
    <t xml:space="preserve">ไม่ใช่การ config โดยตรง - เอกสารสถาปัตยกรรมและการออกแบบด้านความปลอดภัยจากผู้พัฒนา</t>
  </si>
  <si>
    <t xml:space="preserve">ESBIT-SA-17(01)</t>
  </si>
  <si>
    <t xml:space="preserve">SA-17(01)</t>
  </si>
  <si>
    <t xml:space="preserve">Developer Security and Privacy Architecture and Design | Formal Policy Model</t>
  </si>
  <si>
    <t xml:space="preserve">Not a direct configuration item - enhancement of SA-17 (Developer Security and Privacy Architecture and Design): 'Formal Policy Model'; developer security architecture and design documentation.</t>
  </si>
  <si>
    <t xml:space="preserve">ไม่ใช่การ config โดยตรง - ส่วนขยายของ SA-17: 'Formal Policy Model' - เอกสารสถาปัตยกรรมและการออกแบบด้านความปลอดภัยจากผู้พัฒนา</t>
  </si>
  <si>
    <t xml:space="preserve">ESBIT-SA-17(02)</t>
  </si>
  <si>
    <t xml:space="preserve">SA-17(02)</t>
  </si>
  <si>
    <t xml:space="preserve">Developer Security and Privacy Architecture and Design | Security-relevant Components</t>
  </si>
  <si>
    <t xml:space="preserve">Not a direct configuration item - enhancement of SA-17 (Developer Security and Privacy Architecture and Design): 'Security-relevant Components'; developer security architecture and design documentation.</t>
  </si>
  <si>
    <t xml:space="preserve">ไม่ใช่การ config โดยตรง - ส่วนขยายของ SA-17: 'Security-relevant Components' - เอกสารสถาปัตยกรรมและการออกแบบด้านความปลอดภัยจากผู้พัฒนา</t>
  </si>
  <si>
    <t xml:space="preserve">ESBIT-SA-17(03)</t>
  </si>
  <si>
    <t xml:space="preserve">SA-17(03)</t>
  </si>
  <si>
    <t xml:space="preserve">Developer Security and Privacy Architecture and Design | Formal Correspondence</t>
  </si>
  <si>
    <t xml:space="preserve">Not a direct configuration item - enhancement of SA-17 (Developer Security and Privacy Architecture and Design): 'Formal Correspondence'; developer security architecture and design documentation.</t>
  </si>
  <si>
    <t xml:space="preserve">ไม่ใช่การ config โดยตรง - ส่วนขยายของ SA-17: 'Formal Correspondence' - เอกสารสถาปัตยกรรมและการออกแบบด้านความปลอดภัยจากผู้พัฒนา</t>
  </si>
  <si>
    <t xml:space="preserve">ESBIT-SA-17(04)</t>
  </si>
  <si>
    <t xml:space="preserve">SA-17(04)</t>
  </si>
  <si>
    <t xml:space="preserve">Developer Security and Privacy Architecture and Design | Informal Correspondence</t>
  </si>
  <si>
    <t xml:space="preserve">Not a direct configuration item - enhancement of SA-17 (Developer Security and Privacy Architecture and Design): 'Informal Correspondence'; developer security architecture and design documentation.</t>
  </si>
  <si>
    <t xml:space="preserve">ไม่ใช่การ config โดยตรง - ส่วนขยายของ SA-17: 'Informal Correspondence' - เอกสารสถาปัตยกรรมและการออกแบบด้านความปลอดภัยจากผู้พัฒนา</t>
  </si>
  <si>
    <t xml:space="preserve">ESBIT-SA-17(05)</t>
  </si>
  <si>
    <t xml:space="preserve">SA-17(05)</t>
  </si>
  <si>
    <t xml:space="preserve">Developer Security and Privacy Architecture and Design | Conceptual Simplicity</t>
  </si>
  <si>
    <t xml:space="preserve">Not a direct configuration item - enhancement of SA-17 (Developer Security and Privacy Architecture and Design): 'Conceptual Simplicity'; developer security architecture and design documentation.</t>
  </si>
  <si>
    <t xml:space="preserve">ไม่ใช่การ config โดยตรง - ส่วนขยายของ SA-17: 'Conceptual Simplicity' - เอกสารสถาปัตยกรรมและการออกแบบด้านความปลอดภัยจากผู้พัฒนา</t>
  </si>
  <si>
    <t xml:space="preserve">ESBIT-SA-17(06)</t>
  </si>
  <si>
    <t xml:space="preserve">SA-17(06)</t>
  </si>
  <si>
    <t xml:space="preserve">Developer Security and Privacy Architecture and Design | Structure for Testing</t>
  </si>
  <si>
    <t xml:space="preserve">Not a direct configuration item - enhancement of SA-17 (Developer Security and Privacy Architecture and Design): 'Structure for Testing'; developer security architecture and design documentation.</t>
  </si>
  <si>
    <t xml:space="preserve">ไม่ใช่การ config โดยตรง - ส่วนขยายของ SA-17: 'Structure for Testing' - เอกสารสถาปัตยกรรมและการออกแบบด้านความปลอดภัยจากผู้พัฒนา</t>
  </si>
  <si>
    <t xml:space="preserve">ESBIT-SA-17(07)</t>
  </si>
  <si>
    <t xml:space="preserve">SA-17(07)</t>
  </si>
  <si>
    <t xml:space="preserve">Developer Security and Privacy Architecture and Design | Structure for Least Privilege</t>
  </si>
  <si>
    <t xml:space="preserve">Not a direct configuration item - enhancement of SA-17 (Developer Security and Privacy Architecture and Design): 'Structure for Least Privilege'; developer security architecture and design documentation.</t>
  </si>
  <si>
    <t xml:space="preserve">ไม่ใช่การ config โดยตรง - ส่วนขยายของ SA-17: 'Structure for Least Privilege' - เอกสารสถาปัตยกรรมและการออกแบบด้านความปลอดภัยจากผู้พัฒนา</t>
  </si>
  <si>
    <t xml:space="preserve">ESBIT-SA-17(08)</t>
  </si>
  <si>
    <t xml:space="preserve">SA-17(08)</t>
  </si>
  <si>
    <t xml:space="preserve">Developer Security and Privacy Architecture and Design | Orchestration</t>
  </si>
  <si>
    <t xml:space="preserve">Not a direct configuration item - enhancement of SA-17 (Developer Security and Privacy Architecture and Design): 'Orchestration'; developer security architecture and design documentation.</t>
  </si>
  <si>
    <t xml:space="preserve">ไม่ใช่การ config โดยตรง - ส่วนขยายของ SA-17: 'Orchestration' - เอกสารสถาปัตยกรรมและการออกแบบด้านความปลอดภัยจากผู้พัฒนา</t>
  </si>
  <si>
    <t xml:space="preserve">ESBIT-SA-17(09)</t>
  </si>
  <si>
    <t xml:space="preserve">SA-17(09)</t>
  </si>
  <si>
    <t xml:space="preserve">Developer Security and Privacy Architecture and Design | Design Diversity</t>
  </si>
  <si>
    <t xml:space="preserve">Not a direct configuration item - enhancement of SA-17 (Developer Security and Privacy Architecture and Design): 'Design Diversity'; developer security architecture and design documentation.</t>
  </si>
  <si>
    <t xml:space="preserve">ไม่ใช่การ config โดยตรง - ส่วนขยายของ SA-17: 'Design Diversity' - เอกสารสถาปัตยกรรมและการออกแบบด้านความปลอดภัยจากผู้พัฒนา</t>
  </si>
  <si>
    <t xml:space="preserve">ESBIT-SA-20</t>
  </si>
  <si>
    <t xml:space="preserve">SA-20</t>
  </si>
  <si>
    <t xml:space="preserve">Customized Development of Critical Components</t>
  </si>
  <si>
    <t xml:space="preserve">Not a direct configuration item - custom development of critical components when no trusted source exists</t>
  </si>
  <si>
    <t xml:space="preserve">ไม่ใช่การ config โดยตรง - การพัฒนาเฉพาะคอมโพเนนต์สำคัญเมื่อไม่มีผลิตภัณฑ์ที่เชื่อถือได้</t>
  </si>
  <si>
    <t xml:space="preserve">ESBIT-SA-21</t>
  </si>
  <si>
    <t xml:space="preserve">SA-21</t>
  </si>
  <si>
    <t xml:space="preserve">Developer Screening</t>
  </si>
  <si>
    <t xml:space="preserve">Not a direct configuration item - screening of developers with access to critical systems</t>
  </si>
  <si>
    <t xml:space="preserve">ไม่ใช่การ config โดยตรง - การตรวจสอบประวัตินักพัฒนาที่เข้าถึงระบบสำคัญ</t>
  </si>
  <si>
    <t xml:space="preserve">ESBIT-SA-21(01)</t>
  </si>
  <si>
    <t xml:space="preserve">SA-21(01)</t>
  </si>
  <si>
    <t xml:space="preserve">Developer Screening | Validation of Screening</t>
  </si>
  <si>
    <t xml:space="preserve">Not a direct configuration item - enhancement of SA-21 (Developer Screening): 'Validation of Screening'; screening of developers with access to critical systems.</t>
  </si>
  <si>
    <t xml:space="preserve">ไม่ใช่การ config โดยตรง - ส่วนขยายของ SA-21: 'Validation of Screening' - การตรวจสอบประวัตินักพัฒนาที่เข้าถึงระบบสำคัญ</t>
  </si>
  <si>
    <t xml:space="preserve">ESBIT-SA-22</t>
  </si>
  <si>
    <t xml:space="preserve">SA-22</t>
  </si>
  <si>
    <t xml:space="preserve">Unsupported System Components</t>
  </si>
  <si>
    <t xml:space="preserve">Identify and replace end-of-life or unsupported OS, firmware and software; document exceptions</t>
  </si>
  <si>
    <t xml:space="preserve">ระบุและเปลี่ยนทดแทน OS/Firmware/ซอฟต์แวร์ที่หมดอายุหรือไม่มีการสนับสนุน พร้อมบันทึกข้อยกเว้น</t>
  </si>
  <si>
    <t xml:space="preserve">ESBIT-SA-22(01)</t>
  </si>
  <si>
    <t xml:space="preserve">SA-22(01)</t>
  </si>
  <si>
    <t xml:space="preserve">Unsupported System Components | Alternative Sources for Continued Support</t>
  </si>
  <si>
    <t xml:space="preserve">Enhances SA-22 (Unsupported System Components): configure and enforce 'Alternative Sources for Continued Support' in addition to the base setting, keep it consistent across applicable systems and document approved exceptions. Base scope: Identify and replace end-of-life or unsupported OS, firmware and software; document exceptions</t>
  </si>
  <si>
    <t xml:space="preserve">ส่วนขยายของ SA-22: กำหนดค่าและบังคับใช้ 'Alternative Sources for Continued Support' เพิ่มเติมจากค่าพื้นฐาน ให้สอดคล้องทุกระบบที่เกี่ยวข้อง และบันทึกข้อยกเว้น - ระบุและเปลี่ยนทดแทน OS/Firmware/ซอฟต์แวร์ที่หมดอายุหรือไม่มีการสนับสนุน พร้อมบันทึกข้อยกเว้น</t>
  </si>
  <si>
    <t xml:space="preserve">ESBIT-SA-23</t>
  </si>
  <si>
    <t xml:space="preserve">SA-23</t>
  </si>
  <si>
    <t xml:space="preserve">Specialization</t>
  </si>
  <si>
    <t xml:space="preserve">Not a direct configuration item - specialized design and configuration to protect critical components</t>
  </si>
  <si>
    <t xml:space="preserve">ไม่ใช่การ config โดยตรง - การออกแบบและการตั้งค่าเฉพาะเพื่อป้องกันคอมโพเนนต์สำคัญ</t>
  </si>
  <si>
    <t xml:space="preserve">ESBIT-SA-24</t>
  </si>
  <si>
    <t xml:space="preserve">SA-24</t>
  </si>
  <si>
    <t xml:space="preserve">Design for Cyber Resiliency</t>
  </si>
  <si>
    <t xml:space="preserve">Not a direct configuration item - designing systems and components for cyber resiliency</t>
  </si>
  <si>
    <t xml:space="preserve">ไม่ใช่การ config โดยตรง - การออกแบบระบบให้มีความสามารถในการฟื้นตัวจากภัยไซเบอร์</t>
  </si>
  <si>
    <t xml:space="preserve">ESBIT-SC-01</t>
  </si>
  <si>
    <t xml:space="preserve">SC-01</t>
  </si>
  <si>
    <t xml:space="preserve">System and Communications Protection (SC)</t>
  </si>
  <si>
    <t xml:space="preserve">Not a direct configuration item - define, document, review and communicate the System and Communications Protection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</si>
  <si>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และทบทวนนโยบาย/ขั้นตอนของหมวดการป้องกันระบบและการสื่อสาร เพื่อเป็นฐานในการกำหนดมาตรฐาน Config</t>
  </si>
  <si>
    <t xml:space="preserve">ESBIT-SC-02</t>
  </si>
  <si>
    <t xml:space="preserve">SC-02</t>
  </si>
  <si>
    <t xml:space="preserve">Separation of System and User Functionality</t>
  </si>
  <si>
    <t xml:space="preserve">Separate administrative interfaces from user interfaces using management network or separate ports</t>
  </si>
  <si>
    <t xml:space="preserve">แยก Interface ผู้ดูแลออกจากผู้ใช้ เช่น Management Network หรือพอร์ตแยก</t>
  </si>
  <si>
    <t xml:space="preserve">ESBIT-SC-02(01)</t>
  </si>
  <si>
    <t xml:space="preserve">SC-02(01)</t>
  </si>
  <si>
    <t xml:space="preserve">Separation of System and User Functionality | Interfaces for Non-privileged Users</t>
  </si>
  <si>
    <t xml:space="preserve">Enhances SC-02 (Separation of System and User Functionality): configure and enforce 'Interfaces for Non-privileged Users' in addition to the base setting, keep it consistent across applicable systems and document approved exceptions. Base scope: Separate administrative interfaces from user interfaces using management network or separate ports</t>
  </si>
  <si>
    <t xml:space="preserve">ส่วนขยายของ SC-02: กำหนดค่าและบังคับใช้ 'Interfaces for Non-privileged Users' เพิ่มเติมจากค่าพื้นฐาน ให้สอดคล้องทุกระบบที่เกี่ยวข้อง และบันทึกข้อยกเว้น - แยก Interface ผู้ดูแลออกจากผู้ใช้ เช่น Management Network หรือพอร์ตแยก</t>
  </si>
  <si>
    <t xml:space="preserve">ESBIT-SC-03</t>
  </si>
  <si>
    <t xml:space="preserve">SC-03</t>
  </si>
  <si>
    <t xml:space="preserve">Security Function Isolation</t>
  </si>
  <si>
    <t xml:space="preserve">Isolate security functions from nonsecurity functions using separate domains</t>
  </si>
  <si>
    <t xml:space="preserve">แยกฟังก์ชันด้านความปลอดภัยออกจากฟังก์ชันอื่นด้วยโดเมนแยก</t>
  </si>
  <si>
    <t xml:space="preserve">ESBIT-SC-03(01)</t>
  </si>
  <si>
    <t xml:space="preserve">SC-03(01)</t>
  </si>
  <si>
    <t xml:space="preserve">Security Function Isolation | Hardware Separation</t>
  </si>
  <si>
    <t xml:space="preserve">Enhances SC-03 (Security Function Isolation): configure and enforce 'Hardware Separation' in addition to the base setting, keep it consistent across applicable systems and document approved exceptions. Base scope: Isolate security functions from nonsecurity functions using separate domains</t>
  </si>
  <si>
    <t xml:space="preserve">ส่วนขยายของ SC-03: กำหนดค่าและบังคับใช้ 'Hardware Separation' เพิ่มเติมจากค่าพื้นฐาน ให้สอดคล้องทุกระบบที่เกี่ยวข้อง และบันทึกข้อยกเว้น - แยกฟังก์ชันด้านความปลอดภัยออกจากฟังก์ชันอื่นด้วยโดเมนแยก</t>
  </si>
  <si>
    <t xml:space="preserve">ESBIT-SC-03(02)</t>
  </si>
  <si>
    <t xml:space="preserve">SC-03(02)</t>
  </si>
  <si>
    <t xml:space="preserve">Security Function Isolation | Access and Flow Control Functions</t>
  </si>
  <si>
    <t xml:space="preserve">Enhances SC-03 (Security Function Isolation): configure and enforce 'Access and Flow Control Functions' in addition to the base setting, keep it consistent across applicable systems and document approved exceptions. Base scope: Isolate security functions from nonsecurity functions using separate domains</t>
  </si>
  <si>
    <t xml:space="preserve">ส่วนขยายของ SC-03: กำหนดค่าและบังคับใช้ 'Access and Flow Control Functions' เพิ่มเติมจากค่าพื้นฐาน ให้สอดคล้องทุกระบบที่เกี่ยวข้อง และบันทึกข้อยกเว้น - แยกฟังก์ชันด้านความปลอดภัยออกจากฟังก์ชันอื่นด้วยโดเมนแยก</t>
  </si>
  <si>
    <t xml:space="preserve">ESBIT-SC-03(03)</t>
  </si>
  <si>
    <t xml:space="preserve">SC-03(03)</t>
  </si>
  <si>
    <t xml:space="preserve">Security Function Isolation | Minimize Nonsecurity Functionality</t>
  </si>
  <si>
    <t xml:space="preserve">Enhances SC-03 (Security Function Isolation): configure and enforce 'Minimize Nonsecurity Functionality' in addition to the base setting, keep it consistent across applicable systems and document approved exceptions. Base scope: Isolate security functions from nonsecurity functions using separate domains</t>
  </si>
  <si>
    <t xml:space="preserve">ส่วนขยายของ SC-03: กำหนดค่าและบังคับใช้ 'Minimize Nonsecurity Functionality' เพิ่มเติมจากค่าพื้นฐาน ให้สอดคล้องทุกระบบที่เกี่ยวข้อง และบันทึกข้อยกเว้น - แยกฟังก์ชันด้านความปลอดภัยออกจากฟังก์ชันอื่นด้วยโดเมนแยก</t>
  </si>
  <si>
    <t xml:space="preserve">ESBIT-SC-03(04)</t>
  </si>
  <si>
    <t xml:space="preserve">SC-03(04)</t>
  </si>
  <si>
    <t xml:space="preserve">Security Function Isolation | Module Coupling and Cohesiveness</t>
  </si>
  <si>
    <t xml:space="preserve">Enhances SC-03 (Security Function Isolation): configure and enforce 'Module Coupling and Cohesiveness' in addition to the base setting, keep it consistent across applicable systems and document approved exceptions. Base scope: Isolate security functions from nonsecurity functions using separate domains</t>
  </si>
  <si>
    <t xml:space="preserve">ส่วนขยายของ SC-03: กำหนดค่าและบังคับใช้ 'Module Coupling and Cohesiveness' เพิ่มเติมจากค่าพื้นฐาน ให้สอดคล้องทุกระบบที่เกี่ยวข้อง และบันทึกข้อยกเว้น - แยกฟังก์ชันด้านความปลอดภัยออกจากฟังก์ชันอื่นด้วยโดเมนแยก</t>
  </si>
  <si>
    <t xml:space="preserve">ESBIT-SC-03(05)</t>
  </si>
  <si>
    <t xml:space="preserve">SC-03(05)</t>
  </si>
  <si>
    <t xml:space="preserve">Security Function Isolation | Layered Structures</t>
  </si>
  <si>
    <t xml:space="preserve">Enhances SC-03 (Security Function Isolation): configure and enforce 'Layered Structures' in addition to the base setting, keep it consistent across applicable systems and document approved exceptions. Base scope: Isolate security functions from nonsecurity functions using separate domains</t>
  </si>
  <si>
    <t xml:space="preserve">ส่วนขยายของ SC-03: กำหนดค่าและบังคับใช้ 'Layered Structures' เพิ่มเติมจากค่าพื้นฐาน ให้สอดคล้องทุกระบบที่เกี่ยวข้อง และบันทึกข้อยกเว้น - แยกฟังก์ชันด้านความปลอดภัยออกจากฟังก์ชันอื่นด้วยโดเมนแยก</t>
  </si>
  <si>
    <t xml:space="preserve">ESBIT-SC-04</t>
  </si>
  <si>
    <t xml:space="preserve">SC-04</t>
  </si>
  <si>
    <t xml:space="preserve">Information in Shared System Resources</t>
  </si>
  <si>
    <t xml:space="preserve">Configure memory and storage object reuse protection to prevent residual data disclosure</t>
  </si>
  <si>
    <t xml:space="preserve">ตั้งค่าป้องกันการนำ Memory/Storage กลับมาใช้แล้วเห็นข้อมูลเดิม</t>
  </si>
  <si>
    <t xml:space="preserve">ESBIT-SC-04(02)</t>
  </si>
  <si>
    <t xml:space="preserve">SC-04(02)</t>
  </si>
  <si>
    <t xml:space="preserve">Information in Shared System Resources | Multilevel or Periods Processing</t>
  </si>
  <si>
    <t xml:space="preserve">Enhances SC-04 (Information in Shared System Resources): configure and enforce 'Multilevel or Periods Processing' in addition to the base setting, keep it consistent across applicable systems and document approved exceptions. Base scope: Configure memory and storage object reuse protection to prevent residual data disclosure</t>
  </si>
  <si>
    <t xml:space="preserve">ส่วนขยายของ SC-04: กำหนดค่าและบังคับใช้ 'Multilevel or Periods Processing' เพิ่มเติมจากค่าพื้นฐาน ให้สอดคล้องทุกระบบที่เกี่ยวข้อง และบันทึกข้อยกเว้น - ตั้งค่าป้องกันการนำ Memory/Storage กลับมาใช้แล้วเห็นข้อมูลเดิม</t>
  </si>
  <si>
    <t xml:space="preserve">ESBIT-SC-05</t>
  </si>
  <si>
    <t xml:space="preserve">SC-05</t>
  </si>
  <si>
    <t xml:space="preserve">Denial-of-service Protection</t>
  </si>
  <si>
    <t xml:space="preserve">Configure DDoS protection, rate limiting, SYN protection, CDN/WAF and capacity thresholds</t>
  </si>
  <si>
    <t xml:space="preserve">ตั้งค่า DDoS Protection, Rate Limit, SYN Protection, CDN/WAF และเกณฑ์ Capacity</t>
  </si>
  <si>
    <t xml:space="preserve">ESBIT-SC-05(01)</t>
  </si>
  <si>
    <t xml:space="preserve">SC-05(01)</t>
  </si>
  <si>
    <t xml:space="preserve">Denial-of-service Protection | Restrict Ability to Attack Other Systems</t>
  </si>
  <si>
    <t xml:space="preserve">Enhances SC-05 (Denial-of-service Protection): configure and enforce 'Restrict Ability to Attack Other Systems' in addition to the base setting, keep it consistent across applicable systems and document approved exceptions. Base scope: Configure DDoS protection, rate limiting, SYN protection, CDN/WAF and capacity thresholds</t>
  </si>
  <si>
    <t xml:space="preserve">ส่วนขยายของ SC-05: กำหนดค่าและบังคับใช้ 'Restrict Ability to Attack Other Systems' เพิ่มเติมจากค่าพื้นฐาน ให้สอดคล้องทุกระบบที่เกี่ยวข้อง และบันทึกข้อยกเว้น - ตั้งค่า DDoS Protection, Rate Limit, SYN Protection, CDN/WAF และเกณฑ์ Capacity</t>
  </si>
  <si>
    <t xml:space="preserve">ESBIT-SC-05(02)</t>
  </si>
  <si>
    <t xml:space="preserve">SC-05(02)</t>
  </si>
  <si>
    <t xml:space="preserve">Denial-of-service Protection | Capacity, Bandwidth, and Redundancy</t>
  </si>
  <si>
    <t xml:space="preserve">Enhances SC-05 (Denial-of-service Protection): configure and enforce 'Capacity, Bandwidth, and Redundancy' in addition to the base setting, keep it consistent across applicable systems and document approved exceptions. Base scope: Configure DDoS protection, rate limiting, SYN protection, CDN/WAF and capacity thresholds</t>
  </si>
  <si>
    <t xml:space="preserve">ส่วนขยายของ SC-05: กำหนดค่าและบังคับใช้ 'Capacity, Bandwidth, and Redundancy' เพิ่มเติมจากค่าพื้นฐาน ให้สอดคล้องทุกระบบที่เกี่ยวข้อง และบันทึกข้อยกเว้น - ตั้งค่า DDoS Protection, Rate Limit, SYN Protection, CDN/WAF และเกณฑ์ Capacity</t>
  </si>
  <si>
    <t xml:space="preserve">ESBIT-SC-05(03)</t>
  </si>
  <si>
    <t xml:space="preserve">SC-05(03)</t>
  </si>
  <si>
    <t xml:space="preserve">Denial-of-service Protection | Detection and Monitoring</t>
  </si>
  <si>
    <t xml:space="preserve">Enhances SC-05 (Denial-of-service Protection): configure and enforce 'Detection and Monitoring' in addition to the base setting, keep it consistent across applicable systems and document approved exceptions. Base scope: Configure DDoS protection, rate limiting, SYN protection, CDN/WAF and capacity thresholds</t>
  </si>
  <si>
    <t xml:space="preserve">ส่วนขยายของ SC-05: กำหนดค่าและบังคับใช้ 'Detection and Monitoring' เพิ่มเติมจากค่าพื้นฐาน ให้สอดคล้องทุกระบบที่เกี่ยวข้อง และบันทึกข้อยกเว้น - ตั้งค่า DDoS Protection, Rate Limit, SYN Protection, CDN/WAF และเกณฑ์ Capacity</t>
  </si>
  <si>
    <t xml:space="preserve">ESBIT-SC-06</t>
  </si>
  <si>
    <t xml:space="preserve">SC-06</t>
  </si>
  <si>
    <t xml:space="preserve">Resource Availability</t>
  </si>
  <si>
    <t xml:space="preserve">Configure resource quotas, priorities and limits (CPU, memory, connections) to protect availability</t>
  </si>
  <si>
    <t xml:space="preserve">ตั้งค่า Quota/Priority/Limit ของทรัพยากร (CPU, Memory, Connection) เพื่อรักษาความพร้อมใช้งาน</t>
  </si>
  <si>
    <t xml:space="preserve">ESBIT-SC-07</t>
  </si>
  <si>
    <t xml:space="preserve">SC-07</t>
  </si>
  <si>
    <t xml:space="preserve">Boundary Protection</t>
  </si>
  <si>
    <t xml:space="preserve">Configure firewalls, DMZ, deny-by-default rules, proxies, IDS/IPS and managed interfaces at all network boundaries</t>
  </si>
  <si>
    <t xml:space="preserve">ตั้งค่า Firewall, DMZ, Deny by Default, Proxy, IDS/IPS และ Managed Interface ที่ขอบเขตเครือข่ายทั้งหมด</t>
  </si>
  <si>
    <t xml:space="preserve">ESBIT-SC-07(03)</t>
  </si>
  <si>
    <t xml:space="preserve">SC-07(03)</t>
  </si>
  <si>
    <t xml:space="preserve">Boundary Protection | Access Points</t>
  </si>
  <si>
    <t xml:space="preserve">Enhances SC-07 (Boundary Protection): configure and enforce 'Access Points'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</si>
  <si>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'Access Points'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</si>
  <si>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ESBIT-SC-07(04)</t>
  </si>
  <si>
    <t xml:space="preserve">SC-07(04)</t>
  </si>
  <si>
    <t xml:space="preserve">Boundary Protection | External Telecommunications Services</t>
  </si>
  <si>
    <t xml:space="preserve">Enhances SC-07 (Boundary Protection): configure and enforce 'External Telecommunications Services'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</si>
  <si>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'External Telecommunications Services'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</si>
  <si>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ESBIT-SC-07(05)</t>
  </si>
  <si>
    <t xml:space="preserve">SC-07(05)</t>
  </si>
  <si>
    <t xml:space="preserve">Boundary Protection | Deny by Default - Allow by Exception</t>
  </si>
  <si>
    <t xml:space="preserve">Enhances SC-07 (Boundary Protection): configure and enforce 'Deny by Default - Allow by Exception'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</si>
  <si>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'Deny by Default - Allow by Exception'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</si>
  <si>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ESBIT-SC-07(07)</t>
  </si>
  <si>
    <t xml:space="preserve">SC-07(07)</t>
  </si>
  <si>
    <t xml:space="preserve">Boundary Protection | Split Tunneling for Remote Devices</t>
  </si>
  <si>
    <t xml:space="preserve">Enhances SC-07 (Boundary Protection): configure and enforce 'Split Tunneling for Remote Devices'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</si>
  <si>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'Split Tunneling for Remote Devices'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</si>
  <si>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ESBIT-SC-07(08)</t>
  </si>
  <si>
    <t xml:space="preserve">SC-07(08)</t>
  </si>
  <si>
    <t xml:space="preserve">Boundary Protection | Route Traffic to Authenticated Proxy Servers</t>
  </si>
  <si>
    <t xml:space="preserve">Enhances SC-07 (Boundary Protection): configure and enforce 'Route Traffic to Authenticated Proxy Servers'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</si>
  <si>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'Route Traffic to Authenticated Proxy Servers'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</si>
  <si>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ESBIT-SC-07(09)</t>
  </si>
  <si>
    <t xml:space="preserve">SC-07(09)</t>
  </si>
  <si>
    <t xml:space="preserve">Boundary Protection | Restrict Threatening Outgoing Communications Traffic</t>
  </si>
  <si>
    <t xml:space="preserve">Enhances SC-07 (Boundary Protection): configure and enforce 'Restrict Threatening Outgoing Communications Traffic'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</si>
  <si>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'Restrict Threatening Outgoing Communications Traffic'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</si>
  <si>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ESBIT-SC-07(10)</t>
  </si>
  <si>
    <t xml:space="preserve">SC-07(10)</t>
  </si>
  <si>
    <t xml:space="preserve">Boundary Protection | Prevent Exfiltration</t>
  </si>
  <si>
    <t xml:space="preserve">Enhances SC-07 (Boundary Protection): configure and enforce 'Prevent Exfiltration'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</si>
  <si>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'Prevent Exfiltration'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</si>
  <si>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ESBIT-SC-07(11)</t>
  </si>
  <si>
    <t xml:space="preserve">SC-07(11)</t>
  </si>
  <si>
    <t xml:space="preserve">Boundary Protection | Restrict Incoming Communications Traffic</t>
  </si>
  <si>
    <t xml:space="preserve">Enhances SC-07 (Boundary Protection): configure and enforce 'Restrict Incoming Communications Traffic'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</si>
  <si>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'Restrict Incoming Communications Traffic'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</si>
  <si>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ESBIT-SC-07(12)</t>
  </si>
  <si>
    <t xml:space="preserve">SC-07(12)</t>
  </si>
  <si>
    <t xml:space="preserve">Boundary Protection | Host-based Protection</t>
  </si>
  <si>
    <t xml:space="preserve">Enhances SC-07 (Boundary Protection): configure and enforce 'Host-based Protection'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</si>
  <si>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'Host-based Protection'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</si>
  <si>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ESBIT-SC-07(13)</t>
  </si>
  <si>
    <t xml:space="preserve">SC-07(13)</t>
  </si>
  <si>
    <t xml:space="preserve">Boundary Protection | Isolation of Security Tools, Mechanisms, and Support Components</t>
  </si>
  <si>
    <t xml:space="preserve">Enhances SC-07 (Boundary Protection): configure and enforce 'Isolation of Security Tools, Mechanisms, and Support Components'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</si>
  <si>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'Isolation of Security Tools, Mechanisms, and Support Components'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</si>
  <si>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ESBIT-SC-07(14)</t>
  </si>
  <si>
    <t xml:space="preserve">SC-07(14)</t>
  </si>
  <si>
    <t xml:space="preserve">Boundary Protection | Protect Against Unauthorized Physical Connections</t>
  </si>
  <si>
    <t xml:space="preserve">Enhances SC-07 (Boundary Protection): configure and enforce 'Protect Against Unauthorized Physical Connections'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</si>
  <si>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'Protect Against Unauthorized Physical Connections'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</si>
  <si>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ESBIT-SC-07(15)</t>
  </si>
  <si>
    <t xml:space="preserve">SC-07(15)</t>
  </si>
  <si>
    <t xml:space="preserve">Boundary Protection | Networked Privileged Accesses</t>
  </si>
  <si>
    <t xml:space="preserve">Enhances SC-07 (Boundary Protection): configure and enforce 'Networked Privileged Accesses'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</si>
  <si>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'Networked Privileged Accesses'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</si>
  <si>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ESBIT-SC-07(17)</t>
  </si>
  <si>
    <t xml:space="preserve">SC-07(17)</t>
  </si>
  <si>
    <t xml:space="preserve">Boundary Protection | Automated Enforcement of Protocol Formats</t>
  </si>
  <si>
    <t xml:space="preserve">Enhances SC-07 (Boundary Protection): configure and enforce 'Automated Enforcement of Protocol Formats'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</si>
  <si>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'Automated Enforcement of Protocol Formats'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</si>
  <si>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ESBIT-SC-07(18)</t>
  </si>
  <si>
    <t xml:space="preserve">SC-07(18)</t>
  </si>
  <si>
    <t xml:space="preserve">Boundary Protection | Fail Secure</t>
  </si>
  <si>
    <t xml:space="preserve">Enhances SC-07 (Boundary Protection): configure and enforce 'Fail Secure'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</si>
  <si>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'Fail Secure'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</si>
  <si>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ESBIT-SC-07(19)</t>
  </si>
  <si>
    <t xml:space="preserve">SC-07(19)</t>
  </si>
  <si>
    <t xml:space="preserve">Boundary Protection | Block Communication from Non-organizationally Configured Hosts</t>
  </si>
  <si>
    <t xml:space="preserve">Enhances SC-07 (Boundary Protection): configure and enforce 'Block Communication from Non-organizationally Configured Hosts'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</si>
  <si>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'Block Communication from Non-organizationally Configured Hosts'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</si>
  <si>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ESBIT-SC-07(20)</t>
  </si>
  <si>
    <t xml:space="preserve">SC-07(20)</t>
  </si>
  <si>
    <t xml:space="preserve">Boundary Protection | Dynamic Isolation and Segregation</t>
  </si>
  <si>
    <t xml:space="preserve">Enhances SC-07 (Boundary Protection): configure and enforce 'Dynamic Isolation and Segregation'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</si>
  <si>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'Dynamic Isolation and Segregation'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</si>
  <si>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ESBIT-SC-07(21)</t>
  </si>
  <si>
    <t xml:space="preserve">SC-07(21)</t>
  </si>
  <si>
    <t xml:space="preserve">Boundary Protection | Isolation of System Components</t>
  </si>
  <si>
    <t xml:space="preserve">Enhances SC-07 (Boundary Protection): configure and enforce 'Isolation of System Components'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</si>
  <si>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'Isolation of System Components'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</si>
  <si>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ESBIT-SC-07(22)</t>
  </si>
  <si>
    <t xml:space="preserve">SC-07(22)</t>
  </si>
  <si>
    <t xml:space="preserve">Boundary Protection | Separate Subnets for Connecting to Different Security Domains</t>
  </si>
  <si>
    <t xml:space="preserve">Enhances SC-07 (Boundary Protection): configure and enforce 'Separate Subnets for Connecting to Different Security Domains'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</si>
  <si>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'Separate Subnets for Connecting to Different Security Domains'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</si>
  <si>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ESBIT-SC-07(23)</t>
  </si>
  <si>
    <t xml:space="preserve">SC-07(23)</t>
  </si>
  <si>
    <t xml:space="preserve">Boundary Protection | Disable Sender Feedback on Protocol Validation Failure</t>
  </si>
  <si>
    <t xml:space="preserve">Enhances SC-07 (Boundary Protection): configure and enforce 'Disable Sender Feedback on Protocol Validation Failure'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</si>
  <si>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'Disable Sender Feedback on Protocol Validation Failure'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</si>
  <si>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ESBIT-SC-07(24)</t>
  </si>
  <si>
    <t xml:space="preserve">SC-07(24)</t>
  </si>
  <si>
    <t xml:space="preserve">Boundary Protection | Personally Identifiable Information</t>
  </si>
  <si>
    <t xml:space="preserve">Enhances SC-07 (Boundary Protection): configure and enforce 'Personally Identifiable Information'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</si>
  <si>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'Personally Identifiable Information'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</si>
  <si>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ESBIT-SC-07(25)</t>
  </si>
  <si>
    <t xml:space="preserve">SC-07(25)</t>
  </si>
  <si>
    <t xml:space="preserve">Boundary Protection | Unclassified National Security System Connections</t>
  </si>
  <si>
    <t xml:space="preserve">Enhances SC-07 (Boundary Protection): configure and enforce 'Unclassified National Security System Connections'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</si>
  <si>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'Unclassified National Security System Connections'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</si>
  <si>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ESBIT-SC-07(26)</t>
  </si>
  <si>
    <t xml:space="preserve">SC-07(26)</t>
  </si>
  <si>
    <t xml:space="preserve">Boundary Protection | Classified National Security System Connections</t>
  </si>
  <si>
    <t xml:space="preserve">Enhances SC-07 (Boundary Protection): configure and enforce 'Classified National Security System Connections'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</si>
  <si>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'Classified National Security System Connections'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</si>
  <si>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ESBIT-SC-07(27)</t>
  </si>
  <si>
    <t xml:space="preserve">SC-07(27)</t>
  </si>
  <si>
    <t xml:space="preserve">Boundary Protection | Unclassified Non-national Security System Connections</t>
  </si>
  <si>
    <t xml:space="preserve">Enhances SC-07 (Boundary Protection): configure and enforce 'Unclassified Non-national Security System Connections'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</si>
  <si>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'Unclassified Non-national Security System Connections'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</si>
  <si>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ESBIT-SC-07(28)</t>
  </si>
  <si>
    <t xml:space="preserve">SC-07(28)</t>
  </si>
  <si>
    <t xml:space="preserve">Boundary Protection | Connections to Public Networks</t>
  </si>
  <si>
    <t xml:space="preserve">Enhances SC-07 (Boundary Protection): configure and enforce 'Connections to Public Networks'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</si>
  <si>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'Connections to Public Networks'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</si>
  <si>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ESBIT-SC-07(29)</t>
  </si>
  <si>
    <t xml:space="preserve">SC-07(29)</t>
  </si>
  <si>
    <t xml:space="preserve">Boundary Protection | Separate Subnets to Isolate Functions</t>
  </si>
  <si>
    <t xml:space="preserve">Enhances SC-07 (Boundary Protection): configure and enforce 'Separate Subnets to Isolate Functions' in addition to the base setting, keep it consistent across applicable systems and document approved exceptions. Base scope: Configure firewalls, DMZ, deny-by-default rules, proxies, IDS/IPS and managed interfaces at all network boundaries</t>
  </si>
  <si>
    <t xml:space="preserve">ส่วนขยายของ SC-07: กำหนดค่าและบังคับใช้ 'Separate Subnets to Isolate Functions' เพิ่มเติมจากค่าพื้นฐาน ให้สอดคล้องทุกระบบที่เกี่ยวข้อง และบันทึกข้อยกเว้น - ตั้งค่า Firewall, DMZ, Deny by Default, Proxy, IDS/IPS และ Managed Interface ที่ขอบเขตเครือข่ายทั้งหมด</t>
  </si>
  <si>
    <t xml:space="preserve">ESBIT-SC-08</t>
  </si>
  <si>
    <t xml:space="preserve">SC-08</t>
  </si>
  <si>
    <t xml:space="preserve">Transmission Confidentiality and Integrity</t>
  </si>
  <si>
    <t xml:space="preserve">Enforce TLS 1.2+/IPsec/SSH with strong ciphers for data in transit; disable legacy protocols (Telnet, FTP, SNMPv1/2)</t>
  </si>
  <si>
    <t xml:space="preserve">บังคับใช้ TLS 1.2+/IPsec/SSH ด้วย Cipher ที่แข็งแรง และปิดโปรโตคอลเก่า (Telnet, FTP, SNMPv1/2)</t>
  </si>
  <si>
    <t xml:space="preserve">ESBIT-SC-08(01)</t>
  </si>
  <si>
    <t xml:space="preserve">SC-08(01)</t>
  </si>
  <si>
    <t xml:space="preserve">Transmission Confidentiality and Integrity | Cryptographic Protection</t>
  </si>
  <si>
    <t xml:space="preserve">Enhances SC-08 (Transmission Confidentiality and Integrity): configure and enforce 'Cryptographic Protection' in addition to the base setting, keep it consistent across applicable systems and document approved exceptions. Base scope: Enforce TLS 1.2+/IPsec/SSH with strong ciphers for data in transit; disable legacy protocols (Telnet, FTP, SNMPv1/2)</t>
  </si>
  <si>
    <t xml:space="preserve">ส่วนขยายของ SC-08: กำหนดค่าและบังคับใช้ 'Cryptographic Protection' เพิ่มเติมจากค่าพื้นฐาน ให้สอดคล้องทุกระบบที่เกี่ยวข้อง และบันทึกข้อยกเว้น - บังคับใช้ TLS 1.2+/IPsec/SSH ด้วย Cipher ที่แข็งแรง และปิดโปรโตคอลเก่า (Telnet, FTP, SNMPv1/2)</t>
  </si>
  <si>
    <t xml:space="preserve">ESBIT-SC-08(02)</t>
  </si>
  <si>
    <t xml:space="preserve">SC-08(02)</t>
  </si>
  <si>
    <t xml:space="preserve">Transmission Confidentiality and Integrity | Pre- and Post-transmission Handling</t>
  </si>
  <si>
    <t xml:space="preserve">Enhances SC-08 (Transmission Confidentiality and Integrity): configure and enforce 'Pre- and Post-transmission Handling' in addition to the base setting, keep it consistent across applicable systems and document approved exceptions. Base scope: Enforce TLS 1.2+/IPsec/SSH with strong ciphers for data in transit; disable legacy protocols (Telnet, FTP, SNMPv1/2)</t>
  </si>
  <si>
    <t xml:space="preserve">ส่วนขยายของ SC-08: กำหนดค่าและบังคับใช้ 'Pre- and Post-transmission Handling' เพิ่มเติมจากค่าพื้นฐาน ให้สอดคล้องทุกระบบที่เกี่ยวข้อง และบันทึกข้อยกเว้น - บังคับใช้ TLS 1.2+/IPsec/SSH ด้วย Cipher ที่แข็งแรง และปิดโปรโตคอลเก่า (Telnet, FTP, SNMPv1/2)</t>
  </si>
  <si>
    <t xml:space="preserve">ESBIT-SC-08(03)</t>
  </si>
  <si>
    <t xml:space="preserve">SC-08(03)</t>
  </si>
  <si>
    <t xml:space="preserve">Transmission Confidentiality and Integrity | Cryptographic Protection for Message Externals</t>
  </si>
  <si>
    <t xml:space="preserve">Enhances SC-08 (Transmission Confidentiality and Integrity): configure and enforce 'Cryptographic Protection for Message Externals' in addition to the base setting, keep it consistent across applicable systems and document approved exceptions. Base scope: Enforce TLS 1.2+/IPsec/SSH with strong ciphers for data in transit; disable legacy protocols (Telnet, FTP, SNMPv1/2)</t>
  </si>
  <si>
    <t xml:space="preserve">ส่วนขยายของ SC-08: กำหนดค่าและบังคับใช้ 'Cryptographic Protection for Message Externals' เพิ่มเติมจากค่าพื้นฐาน ให้สอดคล้องทุกระบบที่เกี่ยวข้อง และบันทึกข้อยกเว้น - บังคับใช้ TLS 1.2+/IPsec/SSH ด้วย Cipher ที่แข็งแรง และปิดโปรโตคอลเก่า (Telnet, FTP, SNMPv1/2)</t>
  </si>
  <si>
    <t xml:space="preserve">ESBIT-SC-08(04)</t>
  </si>
  <si>
    <t xml:space="preserve">SC-08(04)</t>
  </si>
  <si>
    <t xml:space="preserve">Transmission Confidentiality and Integrity | Conceal or Randomize Communications</t>
  </si>
  <si>
    <t xml:space="preserve">Enhances SC-08 (Transmission Confidentiality and Integrity): configure and enforce 'Conceal or Randomize Communications' in addition to the base setting, keep it consistent across applicable systems and document approved exceptions. Base scope: Enforce TLS 1.2+/IPsec/SSH with strong ciphers for data in transit; disable legacy protocols (Telnet, FTP, SNMPv1/2)</t>
  </si>
  <si>
    <t xml:space="preserve">ส่วนขยายของ SC-08: กำหนดค่าและบังคับใช้ 'Conceal or Randomize Communications' เพิ่มเติมจากค่าพื้นฐาน ให้สอดคล้องทุกระบบที่เกี่ยวข้อง และบันทึกข้อยกเว้น - บังคับใช้ TLS 1.2+/IPsec/SSH ด้วย Cipher ที่แข็งแรง และปิดโปรโตคอลเก่า (Telnet, FTP, SNMPv1/2)</t>
  </si>
  <si>
    <t xml:space="preserve">ESBIT-SC-08(05)</t>
  </si>
  <si>
    <t xml:space="preserve">SC-08(05)</t>
  </si>
  <si>
    <t xml:space="preserve">Transmission Confidentiality and Integrity | Protected Distribution System</t>
  </si>
  <si>
    <t xml:space="preserve">Enhances SC-08 (Transmission Confidentiality and Integrity): configure and enforce 'Protected Distribution System' in addition to the base setting, keep it consistent across applicable systems and document approved exceptions. Base scope: Enforce TLS 1.2+/IPsec/SSH with strong ciphers for data in transit; disable legacy protocols (Telnet, FTP, SNMPv1/2)</t>
  </si>
  <si>
    <t xml:space="preserve">ส่วนขยายของ SC-08: กำหนดค่าและบังคับใช้ 'Protected Distribution System' เพิ่มเติมจากค่าพื้นฐาน ให้สอดคล้องทุกระบบที่เกี่ยวข้อง และบันทึกข้อยกเว้น - บังคับใช้ TLS 1.2+/IPsec/SSH ด้วย Cipher ที่แข็งแรง และปิดโปรโตคอลเก่า (Telnet, FTP, SNMPv1/2)</t>
  </si>
  <si>
    <t xml:space="preserve">ESBIT-SC-10</t>
  </si>
  <si>
    <t xml:space="preserve">SC-10</t>
  </si>
  <si>
    <t xml:space="preserve">Network Disconnect</t>
  </si>
  <si>
    <t xml:space="preserve">Configure network session idle timeout to terminate connections after inactivity</t>
  </si>
  <si>
    <t xml:space="preserve">ตั้งค่า Idle Timeout ตัดการเชื่อมต่อเครือข่ายเมื่อไม่มีการใช้งาน</t>
  </si>
  <si>
    <t xml:space="preserve">ESBIT-SC-11</t>
  </si>
  <si>
    <t xml:space="preserve">SC-11</t>
  </si>
  <si>
    <t xml:space="preserve">Trusted Path</t>
  </si>
  <si>
    <t xml:space="preserve">Provide trusted communication path for authentication and security functions</t>
  </si>
  <si>
    <t xml:space="preserve">จัดให้มีเส้นทางสื่อสารที่เชื่อถือได้สำหรับการพิสูจน์ตัวตนและฟังก์ชันความปลอดภัย</t>
  </si>
  <si>
    <t xml:space="preserve">ESBIT-SC-11(01)</t>
  </si>
  <si>
    <t xml:space="preserve">SC-11(01)</t>
  </si>
  <si>
    <t xml:space="preserve">Trusted Path | Irrefutable Communications Path</t>
  </si>
  <si>
    <t xml:space="preserve">Enhances SC-11 (Trusted Path): configure and enforce 'Irrefutable Communications Path' in addition to the base setting, keep it consistent across applicable systems and document approved exceptions. Base scope: Provide trusted communication path for authentication and security functions</t>
  </si>
  <si>
    <t xml:space="preserve">ส่วนขยายของ SC-11: กำหนดค่าและบังคับใช้ 'Irrefutable Communications Path' เพิ่มเติมจากค่าพื้นฐาน ให้สอดคล้องทุกระบบที่เกี่ยวข้อง และบันทึกข้อยกเว้น - จัดให้มีเส้นทางสื่อสารที่เชื่อถือได้สำหรับการพิสูจน์ตัวตนและฟังก์ชันความปลอดภัย</t>
  </si>
  <si>
    <t xml:space="preserve">ESBIT-SC-12</t>
  </si>
  <si>
    <t xml:space="preserve">SC-12</t>
  </si>
  <si>
    <t xml:space="preserve">Cryptographic Key Establishment and Management</t>
  </si>
  <si>
    <t xml:space="preserve">Configure key generation, distribution, storage (HSM/KMS), rotation and revocation</t>
  </si>
  <si>
    <t xml:space="preserve">ตั้งค่าการสร้าง แจกจ่าย จัดเก็บ (HSM/KMS) หมุนเวียน และเพิกถอน Key</t>
  </si>
  <si>
    <t xml:space="preserve">ESBIT-SC-12(01)</t>
  </si>
  <si>
    <t xml:space="preserve">SC-12(01)</t>
  </si>
  <si>
    <t xml:space="preserve">Cryptographic Key Establishment and Management | Availability</t>
  </si>
  <si>
    <t xml:space="preserve">Enhances SC-12 (Cryptographic Key Establishment and Management): configure and enforce 'Availability' in addition to the base setting, keep it consistent across applicable systems and document approved exceptions. Base scope: Configure key generation, distribution, storage (HSM/KMS), rotation and revocation</t>
  </si>
  <si>
    <t xml:space="preserve">ส่วนขยายของ SC-12: กำหนดค่าและบังคับใช้ 'Availability' เพิ่มเติมจากค่าพื้นฐาน ให้สอดคล้องทุกระบบที่เกี่ยวข้อง และบันทึกข้อยกเว้น - ตั้งค่าการสร้าง แจกจ่าย จัดเก็บ (HSM/KMS) หมุนเวียน และเพิกถอน Key</t>
  </si>
  <si>
    <t xml:space="preserve">ESBIT-SC-12(02)</t>
  </si>
  <si>
    <t xml:space="preserve">SC-12(02)</t>
  </si>
  <si>
    <t xml:space="preserve">Cryptographic Key Establishment and Management | Symmetric Keys</t>
  </si>
  <si>
    <t xml:space="preserve">Enhances SC-12 (Cryptographic Key Establishment and Management): configure and enforce 'Symmetric Keys' in addition to the base setting, keep it consistent across applicable systems and document approved exceptions. Base scope: Configure key generation, distribution, storage (HSM/KMS), rotation and revocation</t>
  </si>
  <si>
    <t xml:space="preserve">ส่วนขยายของ SC-12: กำหนดค่าและบังคับใช้ 'Symmetric Keys' เพิ่มเติมจากค่าพื้นฐาน ให้สอดคล้องทุกระบบที่เกี่ยวข้อง และบันทึกข้อยกเว้น - ตั้งค่าการสร้าง แจกจ่าย จัดเก็บ (HSM/KMS) หมุนเวียน และเพิกถอน Key</t>
  </si>
  <si>
    <t xml:space="preserve">ESBIT-SC-12(03)</t>
  </si>
  <si>
    <t xml:space="preserve">SC-12(03)</t>
  </si>
  <si>
    <t xml:space="preserve">Cryptographic Key Establishment and Management | Asymmetric Keys</t>
  </si>
  <si>
    <t xml:space="preserve">Enhances SC-12 (Cryptographic Key Establishment and Management): configure and enforce 'Asymmetric Keys' in addition to the base setting, keep it consistent across applicable systems and document approved exceptions. Base scope: Configure key generation, distribution, storage (HSM/KMS), rotation and revocation</t>
  </si>
  <si>
    <t xml:space="preserve">ส่วนขยายของ SC-12: กำหนดค่าและบังคับใช้ 'Asymmetric Keys' เพิ่มเติมจากค่าพื้นฐาน ให้สอดคล้องทุกระบบที่เกี่ยวข้อง และบันทึกข้อยกเว้น - ตั้งค่าการสร้าง แจกจ่าย จัดเก็บ (HSM/KMS) หมุนเวียน และเพิกถอน Key</t>
  </si>
  <si>
    <t xml:space="preserve">ESBIT-SC-12(06)</t>
  </si>
  <si>
    <t xml:space="preserve">SC-12(06)</t>
  </si>
  <si>
    <t xml:space="preserve">Cryptographic Key Establishment and Management | Physical Control of Keys</t>
  </si>
  <si>
    <t xml:space="preserve">Enhances SC-12 (Cryptographic Key Establishment and Management): configure and enforce 'Physical Control of Keys' in addition to the base setting, keep it consistent across applicable systems and document approved exceptions. Base scope: Configure key generation, distribution, storage (HSM/KMS), rotation and revocation</t>
  </si>
  <si>
    <t xml:space="preserve">ส่วนขยายของ SC-12: กำหนดค่าและบังคับใช้ 'Physical Control of Keys' เพิ่มเติมจากค่าพื้นฐาน ให้สอดคล้องทุกระบบที่เกี่ยวข้อง และบันทึกข้อยกเว้น - ตั้งค่าการสร้าง แจกจ่าย จัดเก็บ (HSM/KMS) หมุนเวียน และเพิกถอน Key</t>
  </si>
  <si>
    <t xml:space="preserve">ESBIT-SC-13</t>
  </si>
  <si>
    <t xml:space="preserve">SC-13</t>
  </si>
  <si>
    <t xml:space="preserve">Cryptographic Protection</t>
  </si>
  <si>
    <t xml:space="preserve">Configure approved cryptographic algorithms and key lengths (AES-256, RSA-2048+, SHA-2) across systems</t>
  </si>
  <si>
    <t xml:space="preserve">กำหนด Algorithm และความยาว Key ที่อนุมัติ (AES-256, RSA-2048+, SHA-2) ทั่วระบบ</t>
  </si>
  <si>
    <t xml:space="preserve">ESBIT-SC-15</t>
  </si>
  <si>
    <t xml:space="preserve">SC-15</t>
  </si>
  <si>
    <t xml:space="preserve">Collaborative Computing Devices and Applications</t>
  </si>
  <si>
    <t xml:space="preserve">Disable or restrict remote activation of cameras/microphones and collaboration tools</t>
  </si>
  <si>
    <t xml:space="preserve">ปิดหรือจำกัดการเปิดกล้อง/ไมค์จากระยะไกลและเครื่องมือ Collaboration</t>
  </si>
  <si>
    <t xml:space="preserve">ESBIT-SC-15(03)</t>
  </si>
  <si>
    <t xml:space="preserve">SC-15(03)</t>
  </si>
  <si>
    <t xml:space="preserve">Collaborative Computing Devices and Applications | Disabling and Removal in Secure Work Areas</t>
  </si>
  <si>
    <t xml:space="preserve">Enhances SC-15 (Collaborative Computing Devices and Applications): configure and enforce 'Disabling and Removal in Secure Work Areas' in addition to the base setting, keep it consistent across applicable systems and document approved exceptions. Base scope: Disable or restrict remote activation of cameras/microphones and collaboration tools</t>
  </si>
  <si>
    <t xml:space="preserve">ส่วนขยายของ SC-15: กำหนดค่าและบังคับใช้ 'Disabling and Removal in Secure Work Areas' เพิ่มเติมจากค่าพื้นฐาน ให้สอดคล้องทุกระบบที่เกี่ยวข้อง และบันทึกข้อยกเว้น - ปิดหรือจำกัดการเปิดกล้อง/ไมค์จากระยะไกลและเครื่องมือ Collaboration</t>
  </si>
  <si>
    <t xml:space="preserve">ESBIT-SC-15(04)</t>
  </si>
  <si>
    <t xml:space="preserve">SC-15(04)</t>
  </si>
  <si>
    <t xml:space="preserve">Collaborative Computing Devices and Applications | Explicitly Indicate Current Participants</t>
  </si>
  <si>
    <t xml:space="preserve">Enhances SC-15 (Collaborative Computing Devices and Applications): configure and enforce 'Explicitly Indicate Current Participants' in addition to the base setting, keep it consistent across applicable systems and document approved exceptions. Base scope: Disable or restrict remote activation of cameras/microphones and collaboration tools</t>
  </si>
  <si>
    <t xml:space="preserve">ส่วนขยายของ SC-15: กำหนดค่าและบังคับใช้ 'Explicitly Indicate Current Participants' เพิ่มเติมจากค่าพื้นฐาน ให้สอดคล้องทุกระบบที่เกี่ยวข้อง และบันทึกข้อยกเว้น - ปิดหรือจำกัดการเปิดกล้อง/ไมค์จากระยะไกลและเครื่องมือ Collaboration</t>
  </si>
  <si>
    <t xml:space="preserve">ESBIT-SC-16</t>
  </si>
  <si>
    <t xml:space="preserve">SC-16</t>
  </si>
  <si>
    <t xml:space="preserve">Transmission of Security and Privacy Attributes</t>
  </si>
  <si>
    <t xml:space="preserve">Configure secure transmission of security attributes with data</t>
  </si>
  <si>
    <t xml:space="preserve">ตั้งค่าการส่งแอตทริบิวต์ความปลอดภัยไปพร้อมข้อมูลอย่างปลอดภัย</t>
  </si>
  <si>
    <t xml:space="preserve">ESBIT-SC-16(01)</t>
  </si>
  <si>
    <t xml:space="preserve">SC-16(01)</t>
  </si>
  <si>
    <t xml:space="preserve">Transmission of Security and Privacy Attributes | Integrity Verification</t>
  </si>
  <si>
    <t xml:space="preserve">Enhances SC-16 (Transmission of Security and Privacy Attributes): configure and enforce 'Integrity Verification' in addition to the base setting, keep it consistent across applicable systems and document approved exceptions. Base scope: Configure secure transmission of security attributes with data</t>
  </si>
  <si>
    <t xml:space="preserve">ส่วนขยายของ SC-16: กำหนดค่าและบังคับใช้ 'Integrity Verification' เพิ่มเติมจากค่าพื้นฐาน ให้สอดคล้องทุกระบบที่เกี่ยวข้อง และบันทึกข้อยกเว้น - ตั้งค่าการส่งแอตทริบิวต์ความปลอดภัยไปพร้อมข้อมูลอย่างปลอดภัย</t>
  </si>
  <si>
    <t xml:space="preserve">ESBIT-SC-16(02)</t>
  </si>
  <si>
    <t xml:space="preserve">SC-16(02)</t>
  </si>
  <si>
    <t xml:space="preserve">Transmission of Security and Privacy Attributes | Anti-spoofing Mechanisms</t>
  </si>
  <si>
    <t xml:space="preserve">Enhances SC-16 (Transmission of Security and Privacy Attributes): configure and enforce 'Anti-spoofing Mechanisms' in addition to the base setting, keep it consistent across applicable systems and document approved exceptions. Base scope: Configure secure transmission of security attributes with data</t>
  </si>
  <si>
    <t xml:space="preserve">ส่วนขยายของ SC-16: กำหนดค่าและบังคับใช้ 'Anti-spoofing Mechanisms' เพิ่มเติมจากค่าพื้นฐาน ให้สอดคล้องทุกระบบที่เกี่ยวข้อง และบันทึกข้อยกเว้น - ตั้งค่าการส่งแอตทริบิวต์ความปลอดภัยไปพร้อมข้อมูลอย่างปลอดภัย</t>
  </si>
  <si>
    <t xml:space="preserve">ESBIT-SC-16(03)</t>
  </si>
  <si>
    <t xml:space="preserve">SC-16(03)</t>
  </si>
  <si>
    <t xml:space="preserve">Transmission of Security and Privacy Attributes | Cryptographic Binding</t>
  </si>
  <si>
    <t xml:space="preserve">Enhances SC-16 (Transmission of Security and Privacy Attributes): configure and enforce 'Cryptographic Binding' in addition to the base setting, keep it consistent across applicable systems and document approved exceptions. Base scope: Configure secure transmission of security attributes with data</t>
  </si>
  <si>
    <t xml:space="preserve">ส่วนขยายของ SC-16: กำหนดค่าและบังคับใช้ 'Cryptographic Binding' เพิ่มเติมจากค่าพื้นฐาน ให้สอดคล้องทุกระบบที่เกี่ยวข้อง และบันทึกข้อยกเว้น - ตั้งค่าการส่งแอตทริบิวต์ความปลอดภัยไปพร้อมข้อมูลอย่างปลอดภัย</t>
  </si>
  <si>
    <t xml:space="preserve">ESBIT-SC-17</t>
  </si>
  <si>
    <t xml:space="preserve">SC-17</t>
  </si>
  <si>
    <t xml:space="preserve">Public Key Infrastructure Certificates</t>
  </si>
  <si>
    <t xml:space="preserve">Configure PKI/CA certificate issuance, validity, revocation and trusted store management</t>
  </si>
  <si>
    <t xml:space="preserve">ตั้งค่า PKI/CA การออกใบรับรอง อายุ การเพิกถอน และ Trust Store</t>
  </si>
  <si>
    <t xml:space="preserve">ESBIT-SC-18</t>
  </si>
  <si>
    <t xml:space="preserve">SC-18</t>
  </si>
  <si>
    <t xml:space="preserve">Mobile Code</t>
  </si>
  <si>
    <t xml:space="preserve">Configure browser and application controls limiting mobile code such as Java, ActiveX, macros and scripts</t>
  </si>
  <si>
    <t xml:space="preserve">ตั้งค่า Browser/แอปให้จำกัด Mobile Code เช่น Java, ActiveX, Macro, Script</t>
  </si>
  <si>
    <t xml:space="preserve">ESBIT-SC-18(01)</t>
  </si>
  <si>
    <t xml:space="preserve">SC-18(01)</t>
  </si>
  <si>
    <t xml:space="preserve">Mobile Code | Identify Unacceptable Code and Take Corrective Actions</t>
  </si>
  <si>
    <t xml:space="preserve">Enhances SC-18 (Mobile Code): configure and enforce 'Identify Unacceptable Code and Take Corrective Actions' in addition to the base setting, keep it consistent across applicable systems and document approved exceptions. Base scope: Configure browser and application controls limiting mobile code such as Java, ActiveX, macros and scripts</t>
  </si>
  <si>
    <t xml:space="preserve">ส่วนขยายของ SC-18: กำหนดค่าและบังคับใช้ 'Identify Unacceptable Code and Take Corrective Actions' เพิ่มเติมจากค่าพื้นฐาน ให้สอดคล้องทุกระบบที่เกี่ยวข้อง และบันทึกข้อยกเว้น - ตั้งค่า Browser/แอปให้จำกัด Mobile Code เช่น Java, ActiveX, Macro, Script</t>
  </si>
  <si>
    <t xml:space="preserve">ESBIT-SC-18(02)</t>
  </si>
  <si>
    <t xml:space="preserve">SC-18(02)</t>
  </si>
  <si>
    <t xml:space="preserve">Mobile Code | Acquisition, Development, and Use</t>
  </si>
  <si>
    <t xml:space="preserve">Enhances SC-18 (Mobile Code): configure and enforce 'Acquisition, Development, and Use' in addition to the base setting, keep it consistent across applicable systems and document approved exceptions. Base scope: Configure browser and application controls limiting mobile code such as Java, ActiveX, macros and scripts</t>
  </si>
  <si>
    <t xml:space="preserve">ส่วนขยายของ SC-18: กำหนดค่าและบังคับใช้ 'Acquisition, Development, and Use' เพิ่มเติมจากค่าพื้นฐาน ให้สอดคล้องทุกระบบที่เกี่ยวข้อง และบันทึกข้อยกเว้น - ตั้งค่า Browser/แอปให้จำกัด Mobile Code เช่น Java, ActiveX, Macro, Script</t>
  </si>
  <si>
    <t xml:space="preserve">ESBIT-SC-18(03)</t>
  </si>
  <si>
    <t xml:space="preserve">SC-18(03)</t>
  </si>
  <si>
    <t xml:space="preserve">Mobile Code | Prevent Downloading and Execution</t>
  </si>
  <si>
    <t xml:space="preserve">Enhances SC-18 (Mobile Code): configure and enforce 'Prevent Downloading and Execution' in addition to the base setting, keep it consistent across applicable systems and document approved exceptions. Base scope: Configure browser and application controls limiting mobile code such as Java, ActiveX, macros and scripts</t>
  </si>
  <si>
    <t xml:space="preserve">ส่วนขยายของ SC-18: กำหนดค่าและบังคับใช้ 'Prevent Downloading and Execution' เพิ่มเติมจากค่าพื้นฐาน ให้สอดคล้องทุกระบบที่เกี่ยวข้อง และบันทึกข้อยกเว้น - ตั้งค่า Browser/แอปให้จำกัด Mobile Code เช่น Java, ActiveX, Macro, Script</t>
  </si>
  <si>
    <t xml:space="preserve">ESBIT-SC-18(04)</t>
  </si>
  <si>
    <t xml:space="preserve">SC-18(04)</t>
  </si>
  <si>
    <t xml:space="preserve">Mobile Code | Prevent Automatic Execution</t>
  </si>
  <si>
    <t xml:space="preserve">Enhances SC-18 (Mobile Code): configure and enforce 'Prevent Automatic Execution' in addition to the base setting, keep it consistent across applicable systems and document approved exceptions. Base scope: Configure browser and application controls limiting mobile code such as Java, ActiveX, macros and scripts</t>
  </si>
  <si>
    <t xml:space="preserve">ส่วนขยายของ SC-18: กำหนดค่าและบังคับใช้ 'Prevent Automatic Execution' เพิ่มเติมจากค่าพื้นฐาน ให้สอดคล้องทุกระบบที่เกี่ยวข้อง และบันทึกข้อยกเว้น - ตั้งค่า Browser/แอปให้จำกัด Mobile Code เช่น Java, ActiveX, Macro, Script</t>
  </si>
  <si>
    <t xml:space="preserve">ESBIT-SC-18(05)</t>
  </si>
  <si>
    <t xml:space="preserve">SC-18(05)</t>
  </si>
  <si>
    <t xml:space="preserve">Mobile Code | Allow Execution Only in Confined Environments</t>
  </si>
  <si>
    <t xml:space="preserve">Enhances SC-18 (Mobile Code): configure and enforce 'Allow Execution Only in Confined Environments' in addition to the base setting, keep it consistent across applicable systems and document approved exceptions. Base scope: Configure browser and application controls limiting mobile code such as Java, ActiveX, macros and scripts</t>
  </si>
  <si>
    <t xml:space="preserve">ส่วนขยายของ SC-18: กำหนดค่าและบังคับใช้ 'Allow Execution Only in Confined Environments' เพิ่มเติมจากค่าพื้นฐาน ให้สอดคล้องทุกระบบที่เกี่ยวข้อง และบันทึกข้อยกเว้น - ตั้งค่า Browser/แอปให้จำกัด Mobile Code เช่น Java, ActiveX, Macro, Script</t>
  </si>
  <si>
    <t xml:space="preserve">ESBIT-SC-20</t>
  </si>
  <si>
    <t xml:space="preserve">SC-20</t>
  </si>
  <si>
    <t xml:space="preserve">Secure Name/Address Resolution Service (Authoritative Source)</t>
  </si>
  <si>
    <t xml:space="preserve">Configure DNSSEC and authoritative DNS server hardening</t>
  </si>
  <si>
    <t xml:space="preserve">ตั้งค่า DNSSEC และ Hardening DNS Server แบบ Authoritative</t>
  </si>
  <si>
    <t xml:space="preserve">ESBIT-SC-20(02)</t>
  </si>
  <si>
    <t xml:space="preserve">SC-20(02)</t>
  </si>
  <si>
    <t xml:space="preserve">Secure Name/Address Resolution Service (Authoritative Source) | Data Origin and Integrity</t>
  </si>
  <si>
    <t xml:space="preserve">Enhances SC-20 (Secure Name/Address Resolution Service (Authoritative Source)): configure and enforce 'Data Origin and Integrity' in addition to the base setting, keep it consistent across applicable systems and document approved exceptions. Base scope: Configure DNSSEC and authoritative DNS server hardening</t>
  </si>
  <si>
    <t xml:space="preserve">ส่วนขยายของ SC-20: กำหนดค่าและบังคับใช้ 'Data Origin and Integrity' เพิ่มเติมจากค่าพื้นฐาน ให้สอดคล้องทุกระบบที่เกี่ยวข้อง และบันทึกข้อยกเว้น - ตั้งค่า DNSSEC และ Hardening DNS Server แบบ Authoritative</t>
  </si>
  <si>
    <t xml:space="preserve">ESBIT-SC-21</t>
  </si>
  <si>
    <t xml:space="preserve">SC-21</t>
  </si>
  <si>
    <t xml:space="preserve">Secure Name/Address Resolution Service (Recursive or Caching Resolver)</t>
  </si>
  <si>
    <t xml:space="preserve">Configure recursive resolver to validate DNSSEC and restrict recursion</t>
  </si>
  <si>
    <t xml:space="preserve">ตั้งค่า Recursive Resolver ให้ตรวจสอบ DNSSEC และจำกัด Recursion</t>
  </si>
  <si>
    <t xml:space="preserve">ESBIT-SC-22</t>
  </si>
  <si>
    <t xml:space="preserve">SC-22</t>
  </si>
  <si>
    <t xml:space="preserve">Architecture and Provisioning for Name/Address Resolution Service</t>
  </si>
  <si>
    <t xml:space="preserve">Deploy redundant, role-separated DNS servers for fault tolerance</t>
  </si>
  <si>
    <t xml:space="preserve">ติดตั้ง DNS Server สำรองและแยกบทบาทเพื่อความทนทาน</t>
  </si>
  <si>
    <t xml:space="preserve">ESBIT-SC-23</t>
  </si>
  <si>
    <t xml:space="preserve">SC-23</t>
  </si>
  <si>
    <t xml:space="preserve">Session Authenticity</t>
  </si>
  <si>
    <t xml:space="preserve">Configure secure session IDs, cookie flags, session invalidation at logout and certificate validation</t>
  </si>
  <si>
    <t xml:space="preserve">ตั้งค่า Session ID ที่ปลอดภัย Cookie Flag ยกเลิก Session เมื่อ Logout และตรวจสอบ Certificate</t>
  </si>
  <si>
    <t xml:space="preserve">ESBIT-SC-23(01)</t>
  </si>
  <si>
    <t xml:space="preserve">SC-23(01)</t>
  </si>
  <si>
    <t xml:space="preserve">Session Authenticity | Invalidate Session Identifiers at Logout</t>
  </si>
  <si>
    <t xml:space="preserve">Enhances SC-23 (Session Authenticity): configure and enforce 'Invalidate Session Identifiers at Logout' in addition to the base setting, keep it consistent across applicable systems and document approved exceptions. Base scope: Configure secure session IDs, cookie flags, session invalidation at logout and certificate validation</t>
  </si>
  <si>
    <t xml:space="preserve">ส่วนขยายของ SC-23: กำหนดค่าและบังคับใช้ 'Invalidate Session Identifiers at Logout' เพิ่มเติมจากค่าพื้นฐาน ให้สอดคล้องทุกระบบที่เกี่ยวข้อง และบันทึกข้อยกเว้น - ตั้งค่า Session ID ที่ปลอดภัย Cookie Flag ยกเลิก Session เมื่อ Logout และตรวจสอบ Certificate</t>
  </si>
  <si>
    <t xml:space="preserve">ESBIT-SC-23(03)</t>
  </si>
  <si>
    <t xml:space="preserve">SC-23(03)</t>
  </si>
  <si>
    <t xml:space="preserve">Session Authenticity | Unique System-generated Session Identifiers</t>
  </si>
  <si>
    <t xml:space="preserve">Enhances SC-23 (Session Authenticity): configure and enforce 'Unique System-generated Session Identifiers' in addition to the base setting, keep it consistent across applicable systems and document approved exceptions. Base scope: Configure secure session IDs, cookie flags, session invalidation at logout and certificate validation</t>
  </si>
  <si>
    <t xml:space="preserve">ส่วนขยายของ SC-23: กำหนดค่าและบังคับใช้ 'Unique System-generated Session Identifiers' เพิ่มเติมจากค่าพื้นฐาน ให้สอดคล้องทุกระบบที่เกี่ยวข้อง และบันทึกข้อยกเว้น - ตั้งค่า Session ID ที่ปลอดภัย Cookie Flag ยกเลิก Session เมื่อ Logout และตรวจสอบ Certificate</t>
  </si>
  <si>
    <t xml:space="preserve">ESBIT-SC-23(05)</t>
  </si>
  <si>
    <t xml:space="preserve">SC-23(05)</t>
  </si>
  <si>
    <t xml:space="preserve">Session Authenticity | Allowed Certificate Authorities</t>
  </si>
  <si>
    <t xml:space="preserve">Enhances SC-23 (Session Authenticity): configure and enforce 'Allowed Certificate Authorities' in addition to the base setting, keep it consistent across applicable systems and document approved exceptions. Base scope: Configure secure session IDs, cookie flags, session invalidation at logout and certificate validation</t>
  </si>
  <si>
    <t xml:space="preserve">ส่วนขยายของ SC-23: กำหนดค่าและบังคับใช้ 'Allowed Certificate Authorities' เพิ่มเติมจากค่าพื้นฐาน ให้สอดคล้องทุกระบบที่เกี่ยวข้อง และบันทึกข้อยกเว้น - ตั้งค่า Session ID ที่ปลอดภัย Cookie Flag ยกเลิก Session เมื่อ Logout และตรวจสอบ Certificate</t>
  </si>
  <si>
    <t xml:space="preserve">ESBIT-SC-24</t>
  </si>
  <si>
    <t xml:space="preserve">SC-24</t>
  </si>
  <si>
    <t xml:space="preserve">Fail in Known State</t>
  </si>
  <si>
    <t xml:space="preserve">Configure fail-secure or fail-closed behavior preserving a known secure state</t>
  </si>
  <si>
    <t xml:space="preserve">ตั้งค่าให้ระบบล้มเหลวในสถานะปลอดภัย (Fail-secure/Fail-closed)</t>
  </si>
  <si>
    <t xml:space="preserve">ESBIT-SC-25</t>
  </si>
  <si>
    <t xml:space="preserve">SC-25</t>
  </si>
  <si>
    <t xml:space="preserve">Thin Nodes</t>
  </si>
  <si>
    <t xml:space="preserve">Use thin clients with minimal local storage where appropriate</t>
  </si>
  <si>
    <t xml:space="preserve">ใช้ Thin Client ที่มีพื้นที่เก็บข้อมูลในเครื่องน้อยที่สุดตามความเหมาะสม</t>
  </si>
  <si>
    <t xml:space="preserve">ESBIT-SC-26</t>
  </si>
  <si>
    <t xml:space="preserve">SC-26</t>
  </si>
  <si>
    <t xml:space="preserve">Decoys</t>
  </si>
  <si>
    <t xml:space="preserve">DE.CM-01</t>
  </si>
  <si>
    <t xml:space="preserve">Networks and network services are monitored to find potentially adverse events</t>
  </si>
  <si>
    <t xml:space="preserve">Deploy honeypots or decoy systems to detect attackers</t>
  </si>
  <si>
    <t xml:space="preserve">ติดตั้ง Honeypot/ระบบล่อเพื่อตรวจจับผู้โจมตี</t>
  </si>
  <si>
    <t xml:space="preserve">ESBIT-SC-26(01)</t>
  </si>
  <si>
    <t xml:space="preserve">SC-26(01)</t>
  </si>
  <si>
    <t xml:space="preserve">Decoys | Detection of Malicious Code</t>
  </si>
  <si>
    <t xml:space="preserve">Enhances SC-26 (Decoys): configure and enforce 'Detection of Malicious Code' in addition to the base setting, keep it consistent across applicable systems and document approved exceptions. Base scope: Deploy honeypots or decoy systems to detect attackers</t>
  </si>
  <si>
    <t xml:space="preserve">ส่วนขยายของ SC-26: กำหนดค่าและบังคับใช้ 'Detection of Malicious Code' เพิ่มเติมจากค่าพื้นฐาน ให้สอดคล้องทุกระบบที่เกี่ยวข้อง และบันทึกข้อยกเว้น - ติดตั้ง Honeypot/ระบบล่อเพื่อตรวจจับผู้โจมตี</t>
  </si>
  <si>
    <t xml:space="preserve">ESBIT-SC-27</t>
  </si>
  <si>
    <t xml:space="preserve">SC-27</t>
  </si>
  <si>
    <t xml:space="preserve">Platform-independent Applications</t>
  </si>
  <si>
    <t xml:space="preserve">Use platform-independent applications to reduce single-platform risk</t>
  </si>
  <si>
    <t xml:space="preserve">ใช้แอปที่ไม่ผูกกับแพลตฟอร์มเพื่อลดความเสี่ยง</t>
  </si>
  <si>
    <t xml:space="preserve">ESBIT-SC-28</t>
  </si>
  <si>
    <t xml:space="preserve">SC-28</t>
  </si>
  <si>
    <t xml:space="preserve">Protection of Information at Rest</t>
  </si>
  <si>
    <t xml:space="preserve">Configure encryption at rest for disks, databases, backups, cloud storage and mobile devices</t>
  </si>
  <si>
    <t xml:space="preserve">ตั้งค่าการเข้ารหัสข้อมูลที่จัดเก็บ (Disk, DB, Backup, Cloud Storage, มือถือ)</t>
  </si>
  <si>
    <t xml:space="preserve">Cloud, Database, Application</t>
  </si>
  <si>
    <t xml:space="preserve">ESBIT-SC-28(01)</t>
  </si>
  <si>
    <t xml:space="preserve">SC-28(01)</t>
  </si>
  <si>
    <t xml:space="preserve">Protection of Information at Rest | Cryptographic Protection</t>
  </si>
  <si>
    <t xml:space="preserve">Enhances SC-28 (Protection of Information at Rest): configure and enforce 'Cryptographic Protection' in addition to the base setting, keep it consistent across applicable systems and document approved exceptions. Base scope: Configure encryption at rest for disks, databases, backups, cloud storage and mobile devices</t>
  </si>
  <si>
    <t xml:space="preserve">ส่วนขยายของ SC-28: กำหนดค่าและบังคับใช้ 'Cryptographic Protection' เพิ่มเติมจากค่าพื้นฐาน ให้สอดคล้องทุกระบบที่เกี่ยวข้อง และบันทึกข้อยกเว้น - ตั้งค่าการเข้ารหัสข้อมูลที่จัดเก็บ (Disk, DB, Backup, Cloud Storage, มือถือ)</t>
  </si>
  <si>
    <t xml:space="preserve">ESBIT-SC-28(02)</t>
  </si>
  <si>
    <t xml:space="preserve">SC-28(02)</t>
  </si>
  <si>
    <t xml:space="preserve">Protection of Information at Rest | Offline Storage</t>
  </si>
  <si>
    <t xml:space="preserve">Enhances SC-28 (Protection of Information at Rest): configure and enforce 'Offline Storage' in addition to the base setting, keep it consistent across applicable systems and document approved exceptions. Base scope: Configure encryption at rest for disks, databases, backups, cloud storage and mobile devices</t>
  </si>
  <si>
    <t xml:space="preserve">ส่วนขยายของ SC-28: กำหนดค่าและบังคับใช้ 'Offline Storage' เพิ่มเติมจากค่าพื้นฐาน ให้สอดคล้องทุกระบบที่เกี่ยวข้อง และบันทึกข้อยกเว้น - ตั้งค่าการเข้ารหัสข้อมูลที่จัดเก็บ (Disk, DB, Backup, Cloud Storage, มือถือ)</t>
  </si>
  <si>
    <t xml:space="preserve">ESBIT-SC-28(03)</t>
  </si>
  <si>
    <t xml:space="preserve">SC-28(03)</t>
  </si>
  <si>
    <t xml:space="preserve">Protection of Information at Rest | Cryptographic Keys</t>
  </si>
  <si>
    <t xml:space="preserve">Enhances SC-28 (Protection of Information at Rest): configure and enforce 'Cryptographic Keys' in addition to the base setting, keep it consistent across applicable systems and document approved exceptions. Base scope: Configure encryption at rest for disks, databases, backups, cloud storage and mobile devices</t>
  </si>
  <si>
    <t xml:space="preserve">ส่วนขยายของ SC-28: กำหนดค่าและบังคับใช้ 'Cryptographic Keys' เพิ่มเติมจากค่าพื้นฐาน ให้สอดคล้องทุกระบบที่เกี่ยวข้อง และบันทึกข้อยกเว้น - ตั้งค่าการเข้ารหัสข้อมูลที่จัดเก็บ (Disk, DB, Backup, Cloud Storage, มือถือ)</t>
  </si>
  <si>
    <t xml:space="preserve">ESBIT-SC-29</t>
  </si>
  <si>
    <t xml:space="preserve">SC-29</t>
  </si>
  <si>
    <t xml:space="preserve">Heterogeneity</t>
  </si>
  <si>
    <t xml:space="preserve">Use diverse technologies to limit common-mode failure</t>
  </si>
  <si>
    <t xml:space="preserve">ใช้เทคโนโลยีที่หลากหลายเพื่อลดความล้มเหลวร่วม</t>
  </si>
  <si>
    <t xml:space="preserve">ESBIT-SC-29(01)</t>
  </si>
  <si>
    <t xml:space="preserve">SC-29(01)</t>
  </si>
  <si>
    <t xml:space="preserve">Heterogeneity | Virtualization Techniques</t>
  </si>
  <si>
    <t xml:space="preserve">Enhances SC-29 (Heterogeneity): configure and enforce 'Virtualization Techniques' in addition to the base setting, keep it consistent across applicable systems and document approved exceptions. Base scope: Use diverse technologies to limit common-mode failure</t>
  </si>
  <si>
    <t xml:space="preserve">ส่วนขยายของ SC-29: กำหนดค่าและบังคับใช้ 'Virtualization Techniques' เพิ่มเติมจากค่าพื้นฐาน ให้สอดคล้องทุกระบบที่เกี่ยวข้อง และบันทึกข้อยกเว้น - ใช้เทคโนโลยีที่หลากหลายเพื่อลดความล้มเหลวร่วม</t>
  </si>
  <si>
    <t xml:space="preserve">ESBIT-SC-30</t>
  </si>
  <si>
    <t xml:space="preserve">SC-30</t>
  </si>
  <si>
    <t xml:space="preserve">Concealment and Misdirection</t>
  </si>
  <si>
    <t xml:space="preserve">Employ concealment or misdirection techniques to confuse attackers</t>
  </si>
  <si>
    <t xml:space="preserve">ใช้เทคนิคซ่อน/หลอกเพื่อสร้างความสับสนให้ผู้โจมตี</t>
  </si>
  <si>
    <t xml:space="preserve">ESBIT-SC-30(02)</t>
  </si>
  <si>
    <t xml:space="preserve">SC-30(02)</t>
  </si>
  <si>
    <t xml:space="preserve">Concealment and Misdirection | Randomness</t>
  </si>
  <si>
    <t xml:space="preserve">Enhances SC-30 (Concealment and Misdirection): configure and enforce 'Randomness' in addition to the base setting, keep it consistent across applicable systems and document approved exceptions. Base scope: Employ concealment or misdirection techniques to confuse attackers</t>
  </si>
  <si>
    <t xml:space="preserve">ส่วนขยายของ SC-30: กำหนดค่าและบังคับใช้ 'Randomness' เพิ่มเติมจากค่าพื้นฐาน ให้สอดคล้องทุกระบบที่เกี่ยวข้อง และบันทึกข้อยกเว้น - ใช้เทคนิคซ่อน/หลอกเพื่อสร้างความสับสนให้ผู้โจมตี</t>
  </si>
  <si>
    <t xml:space="preserve">ESBIT-SC-30(03)</t>
  </si>
  <si>
    <t xml:space="preserve">SC-30(03)</t>
  </si>
  <si>
    <t xml:space="preserve">Concealment and Misdirection | Change Processing and Storage Locations</t>
  </si>
  <si>
    <t xml:space="preserve">Enhances SC-30 (Concealment and Misdirection): configure and enforce 'Change Processing and Storage Locations' in addition to the base setting, keep it consistent across applicable systems and document approved exceptions. Base scope: Employ concealment or misdirection techniques to confuse attackers</t>
  </si>
  <si>
    <t xml:space="preserve">ส่วนขยายของ SC-30: กำหนดค่าและบังคับใช้ 'Change Processing and Storage Locations' เพิ่มเติมจากค่าพื้นฐาน ให้สอดคล้องทุกระบบที่เกี่ยวข้อง และบันทึกข้อยกเว้น - ใช้เทคนิคซ่อน/หลอกเพื่อสร้างความสับสนให้ผู้โจมตี</t>
  </si>
  <si>
    <t xml:space="preserve">ESBIT-SC-30(04)</t>
  </si>
  <si>
    <t xml:space="preserve">SC-30(04)</t>
  </si>
  <si>
    <t xml:space="preserve">Concealment and Misdirection | Misleading Information</t>
  </si>
  <si>
    <t xml:space="preserve">Enhances SC-30 (Concealment and Misdirection): configure and enforce 'Misleading Information' in addition to the base setting, keep it consistent across applicable systems and document approved exceptions. Base scope: Employ concealment or misdirection techniques to confuse attackers</t>
  </si>
  <si>
    <t xml:space="preserve">ส่วนขยายของ SC-30: กำหนดค่าและบังคับใช้ 'Misleading Information' เพิ่มเติมจากค่าพื้นฐาน ให้สอดคล้องทุกระบบที่เกี่ยวข้อง และบันทึกข้อยกเว้น - ใช้เทคนิคซ่อน/หลอกเพื่อสร้างความสับสนให้ผู้โจมตี</t>
  </si>
  <si>
    <t xml:space="preserve">ESBIT-SC-30(05)</t>
  </si>
  <si>
    <t xml:space="preserve">SC-30(05)</t>
  </si>
  <si>
    <t xml:space="preserve">Concealment and Misdirection | Concealment of System Components</t>
  </si>
  <si>
    <t xml:space="preserve">Enhances SC-30 (Concealment and Misdirection): configure and enforce 'Concealment of System Components' in addition to the base setting, keep it consistent across applicable systems and document approved exceptions. Base scope: Employ concealment or misdirection techniques to confuse attackers</t>
  </si>
  <si>
    <t xml:space="preserve">ส่วนขยายของ SC-30: กำหนดค่าและบังคับใช้ 'Concealment of System Components' เพิ่มเติมจากค่าพื้นฐาน ให้สอดคล้องทุกระบบที่เกี่ยวข้อง และบันทึกข้อยกเว้น - ใช้เทคนิคซ่อน/หลอกเพื่อสร้างความสับสนให้ผู้โจมตี</t>
  </si>
  <si>
    <t xml:space="preserve">ESBIT-SC-31</t>
  </si>
  <si>
    <t xml:space="preserve">SC-31</t>
  </si>
  <si>
    <t xml:space="preserve">Covert Channel Analysis</t>
  </si>
  <si>
    <t xml:space="preserve">Analyze and reduce covert channels for high-assurance systems</t>
  </si>
  <si>
    <t xml:space="preserve">วิเคราะห์และลด Covert Channel สำหรับระบบที่ต้องการความมั่นใจสูง</t>
  </si>
  <si>
    <t xml:space="preserve">ESBIT-SC-31(01)</t>
  </si>
  <si>
    <t xml:space="preserve">SC-31(01)</t>
  </si>
  <si>
    <t xml:space="preserve">Covert Channel Analysis | Test Covert Channels for Exploitability</t>
  </si>
  <si>
    <t xml:space="preserve">Enhances SC-31 (Covert Channel Analysis): configure and enforce 'Test Covert Channels for Exploitability' in addition to the base setting, keep it consistent across applicable systems and document approved exceptions. Base scope: Analyze and reduce covert channels for high-assurance systems</t>
  </si>
  <si>
    <t xml:space="preserve">ส่วนขยายของ SC-31: กำหนดค่าและบังคับใช้ 'Test Covert Channels for Exploitability' เพิ่มเติมจากค่าพื้นฐาน ให้สอดคล้องทุกระบบที่เกี่ยวข้อง และบันทึกข้อยกเว้น - วิเคราะห์และลด Covert Channel สำหรับระบบที่ต้องการความมั่นใจสูง</t>
  </si>
  <si>
    <t xml:space="preserve">ESBIT-SC-31(02)</t>
  </si>
  <si>
    <t xml:space="preserve">SC-31(02)</t>
  </si>
  <si>
    <t xml:space="preserve">Covert Channel Analysis | Maximum Bandwidth</t>
  </si>
  <si>
    <t xml:space="preserve">Enhances SC-31 (Covert Channel Analysis): configure and enforce 'Maximum Bandwidth' in addition to the base setting, keep it consistent across applicable systems and document approved exceptions. Base scope: Analyze and reduce covert channels for high-assurance systems</t>
  </si>
  <si>
    <t xml:space="preserve">ส่วนขยายของ SC-31: กำหนดค่าและบังคับใช้ 'Maximum Bandwidth' เพิ่มเติมจากค่าพื้นฐาน ให้สอดคล้องทุกระบบที่เกี่ยวข้อง และบันทึกข้อยกเว้น - วิเคราะห์และลด Covert Channel สำหรับระบบที่ต้องการความมั่นใจสูง</t>
  </si>
  <si>
    <t xml:space="preserve">ESBIT-SC-31(03)</t>
  </si>
  <si>
    <t xml:space="preserve">SC-31(03)</t>
  </si>
  <si>
    <t xml:space="preserve">Covert Channel Analysis | Measure Bandwidth in Operational Environments</t>
  </si>
  <si>
    <t xml:space="preserve">Enhances SC-31 (Covert Channel Analysis): configure and enforce 'Measure Bandwidth in Operational Environments' in addition to the base setting, keep it consistent across applicable systems and document approved exceptions. Base scope: Analyze and reduce covert channels for high-assurance systems</t>
  </si>
  <si>
    <t xml:space="preserve">ส่วนขยายของ SC-31: กำหนดค่าและบังคับใช้ 'Measure Bandwidth in Operational Environments' เพิ่มเติมจากค่าพื้นฐาน ให้สอดคล้องทุกระบบที่เกี่ยวข้อง และบันทึกข้อยกเว้น - วิเคราะห์และลด Covert Channel สำหรับระบบที่ต้องการความมั่นใจสูง</t>
  </si>
  <si>
    <t xml:space="preserve">ESBIT-SC-32</t>
  </si>
  <si>
    <t xml:space="preserve">SC-32</t>
  </si>
  <si>
    <t xml:space="preserve">System Partitioning</t>
  </si>
  <si>
    <t xml:space="preserve">Partition systems into physically or logically separated domains by security needs</t>
  </si>
  <si>
    <t xml:space="preserve">แบ่งระบบเป็นโดเมนแยกทางกายภาพ/ตรรกะตามความต้องการความปลอดภัย</t>
  </si>
  <si>
    <t xml:space="preserve">ESBIT-SC-32(01)</t>
  </si>
  <si>
    <t xml:space="preserve">SC-32(01)</t>
  </si>
  <si>
    <t xml:space="preserve">System Partitioning | Separate Physical Domains for Privileged Functions</t>
  </si>
  <si>
    <t xml:space="preserve">Enhances SC-32 (System Partitioning): configure and enforce 'Separate Physical Domains for Privileged Functions' in addition to the base setting, keep it consistent across applicable systems and document approved exceptions. Base scope: Partition systems into physically or logically separated domains by security needs</t>
  </si>
  <si>
    <t xml:space="preserve">ส่วนขยายของ SC-32: กำหนดค่าและบังคับใช้ 'Separate Physical Domains for Privileged Functions' เพิ่มเติมจากค่าพื้นฐาน ให้สอดคล้องทุกระบบที่เกี่ยวข้อง และบันทึกข้อยกเว้น - แบ่งระบบเป็นโดเมนแยกทางกายภาพ/ตรรกะตามความต้องการความปลอดภัย</t>
  </si>
  <si>
    <t xml:space="preserve">ESBIT-SC-34</t>
  </si>
  <si>
    <t xml:space="preserve">SC-34</t>
  </si>
  <si>
    <t xml:space="preserve">Non-modifiable Executable Programs</t>
  </si>
  <si>
    <t xml:space="preserve">Load and execute programs from read-only or write-protected media</t>
  </si>
  <si>
    <t xml:space="preserve">โหลดและรันโปรแกรมจากสื่อแบบอ่านอย่างเดียวหรือป้องกันการเขียน</t>
  </si>
  <si>
    <t xml:space="preserve">ESBIT-SC-34(01)</t>
  </si>
  <si>
    <t xml:space="preserve">SC-34(01)</t>
  </si>
  <si>
    <t xml:space="preserve">Non-modifiable Executable Programs | No Writable Storage</t>
  </si>
  <si>
    <t xml:space="preserve">Enhances SC-34 (Non-modifiable Executable Programs): configure and enforce 'No Writable Storage' in addition to the base setting, keep it consistent across applicable systems and document approved exceptions. Base scope: Load and execute programs from read-only or write-protected media</t>
  </si>
  <si>
    <t xml:space="preserve">ส่วนขยายของ SC-34: กำหนดค่าและบังคับใช้ 'No Writable Storage' เพิ่มเติมจากค่าพื้นฐาน ให้สอดคล้องทุกระบบที่เกี่ยวข้อง และบันทึกข้อยกเว้น - โหลดและรันโปรแกรมจากสื่อแบบอ่านอย่างเดียวหรือป้องกันการเขียน</t>
  </si>
  <si>
    <t xml:space="preserve">ESBIT-SC-34(02)</t>
  </si>
  <si>
    <t xml:space="preserve">SC-34(02)</t>
  </si>
  <si>
    <t xml:space="preserve">Non-modifiable Executable Programs | Integrity Protection on Read-only Media</t>
  </si>
  <si>
    <t xml:space="preserve">Enhances SC-34 (Non-modifiable Executable Programs): configure and enforce 'Integrity Protection on Read-only Media' in addition to the base setting, keep it consistent across applicable systems and document approved exceptions. Base scope: Load and execute programs from read-only or write-protected media</t>
  </si>
  <si>
    <t xml:space="preserve">ส่วนขยายของ SC-34: กำหนดค่าและบังคับใช้ 'Integrity Protection on Read-only Media' เพิ่มเติมจากค่าพื้นฐาน ให้สอดคล้องทุกระบบที่เกี่ยวข้อง และบันทึกข้อยกเว้น - โหลดและรันโปรแกรมจากสื่อแบบอ่านอย่างเดียวหรือป้องกันการเขียน</t>
  </si>
  <si>
    <t xml:space="preserve">ESBIT-SC-34(03)</t>
  </si>
  <si>
    <t xml:space="preserve">SC-34(03)</t>
  </si>
  <si>
    <t xml:space="preserve">Non-modifiable Executable Programs | Hardware-based Protection</t>
  </si>
  <si>
    <t xml:space="preserve">Enhances SC-34 (Non-modifiable Executable Programs): configure and enforce 'Hardware-based Protection' in addition to the base setting, keep it consistent across applicable systems and document approved exceptions. Base scope: Load and execute programs from read-only or write-protected media</t>
  </si>
  <si>
    <t xml:space="preserve">ส่วนขยายของ SC-34: กำหนดค่าและบังคับใช้ 'Hardware-based Protection' เพิ่มเติมจากค่าพื้นฐาน ให้สอดคล้องทุกระบบที่เกี่ยวข้อง และบันทึกข้อยกเว้น - โหลดและรันโปรแกรมจากสื่อแบบอ่านอย่างเดียวหรือป้องกันการเขียน</t>
  </si>
  <si>
    <t xml:space="preserve">ESBIT-SC-35</t>
  </si>
  <si>
    <t xml:space="preserve">SC-35</t>
  </si>
  <si>
    <t xml:space="preserve">External Malicious Code Identification</t>
  </si>
  <si>
    <t xml:space="preserve">Deploy external systems to proactively identify malicious websites and code</t>
  </si>
  <si>
    <t xml:space="preserve">ติดตั้งระบบภายนอกเพื่อตรวจจับเว็บไซต์และโค้ดอันตรายเชิงรุก</t>
  </si>
  <si>
    <t xml:space="preserve">ESBIT-SC-36</t>
  </si>
  <si>
    <t xml:space="preserve">SC-36</t>
  </si>
  <si>
    <t xml:space="preserve">Distributed Processing and Storage</t>
  </si>
  <si>
    <t xml:space="preserve">Distribute processing and storage across multiple locations</t>
  </si>
  <si>
    <t xml:space="preserve">กระจายการประมวลผลและจัดเก็บไปหลายตำแหน่ง</t>
  </si>
  <si>
    <t xml:space="preserve">ESBIT-SC-36(01)</t>
  </si>
  <si>
    <t xml:space="preserve">SC-36(01)</t>
  </si>
  <si>
    <t xml:space="preserve">Distributed Processing and Storage | Polling Techniques</t>
  </si>
  <si>
    <t xml:space="preserve">Enhances SC-36 (Distributed Processing and Storage): configure and enforce 'Polling Techniques' in addition to the base setting, keep it consistent across applicable systems and document approved exceptions. Base scope: Distribute processing and storage across multiple locations</t>
  </si>
  <si>
    <t xml:space="preserve">ส่วนขยายของ SC-36: กำหนดค่าและบังคับใช้ 'Polling Techniques' เพิ่มเติมจากค่าพื้นฐาน ให้สอดคล้องทุกระบบที่เกี่ยวข้อง และบันทึกข้อยกเว้น - กระจายการประมวลผลและจัดเก็บไปหลายตำแหน่ง</t>
  </si>
  <si>
    <t xml:space="preserve">ESBIT-SC-36(02)</t>
  </si>
  <si>
    <t xml:space="preserve">SC-36(02)</t>
  </si>
  <si>
    <t xml:space="preserve">Distributed Processing and Storage | Synchronization</t>
  </si>
  <si>
    <t xml:space="preserve">Enhances SC-36 (Distributed Processing and Storage): configure and enforce 'Synchronization' in addition to the base setting, keep it consistent across applicable systems and document approved exceptions. Base scope: Distribute processing and storage across multiple locations</t>
  </si>
  <si>
    <t xml:space="preserve">ส่วนขยายของ SC-36: กำหนดค่าและบังคับใช้ 'Synchronization' เพิ่มเติมจากค่าพื้นฐาน ให้สอดคล้องทุกระบบที่เกี่ยวข้อง และบันทึกข้อยกเว้น - กระจายการประมวลผลและจัดเก็บไปหลายตำแหน่ง</t>
  </si>
  <si>
    <t xml:space="preserve">ESBIT-SC-37</t>
  </si>
  <si>
    <t xml:space="preserve">SC-37</t>
  </si>
  <si>
    <t xml:space="preserve">Out-of-band Channels</t>
  </si>
  <si>
    <t xml:space="preserve">Use out-of-band channels for delivery of sensitive information or devices</t>
  </si>
  <si>
    <t xml:space="preserve">ใช้ช่องทางนอกแถบ (Out-of-band) ส่งข้อมูลหรืออุปกรณ์สำคัญ</t>
  </si>
  <si>
    <t xml:space="preserve">ESBIT-SC-37(01)</t>
  </si>
  <si>
    <t xml:space="preserve">SC-37(01)</t>
  </si>
  <si>
    <t xml:space="preserve">Out-of-band Channels | Ensure Delivery and Transmission</t>
  </si>
  <si>
    <t xml:space="preserve">Enhances SC-37 (Out-of-band Channels): configure and enforce 'Ensure Delivery and Transmission' in addition to the base setting, keep it consistent across applicable systems and document approved exceptions. Base scope: Use out-of-band channels for delivery of sensitive information or devices</t>
  </si>
  <si>
    <t xml:space="preserve">ส่วนขยายของ SC-37: กำหนดค่าและบังคับใช้ 'Ensure Delivery and Transmission' เพิ่มเติมจากค่าพื้นฐาน ให้สอดคล้องทุกระบบที่เกี่ยวข้อง และบันทึกข้อยกเว้น - ใช้ช่องทางนอกแถบ (Out-of-band) ส่งข้อมูลหรืออุปกรณ์สำคัญ</t>
  </si>
  <si>
    <t xml:space="preserve">ESBIT-SC-38</t>
  </si>
  <si>
    <t xml:space="preserve">SC-38</t>
  </si>
  <si>
    <t xml:space="preserve">Operations Security</t>
  </si>
  <si>
    <t xml:space="preserve">Not a direct configuration item - operations security processes protecting critical information about system operations</t>
  </si>
  <si>
    <t xml:space="preserve">ไม่ใช่การ config โดยตรง - กระบวนการ OPSEC เพื่อปกป้องข้อมูลการปฏิบัติงานที่สำคัญ</t>
  </si>
  <si>
    <t xml:space="preserve">ESBIT-SC-39</t>
  </si>
  <si>
    <t xml:space="preserve">SC-39</t>
  </si>
  <si>
    <t xml:space="preserve">Process Isolation</t>
  </si>
  <si>
    <t xml:space="preserve">Enable process/memory isolation, containers and sandboxing with separate execution domains</t>
  </si>
  <si>
    <t xml:space="preserve">เปิดใช้การแยกโปรเซส/หน่วยความจำ Container และ Sandbox ด้วย Execution Domain แยก</t>
  </si>
  <si>
    <t xml:space="preserve">ESBIT-SC-39(01)</t>
  </si>
  <si>
    <t xml:space="preserve">SC-39(01)</t>
  </si>
  <si>
    <t xml:space="preserve">Process Isolation | Hardware Separation</t>
  </si>
  <si>
    <t xml:space="preserve">Enhances SC-39 (Process Isolation): configure and enforce 'Hardware Separation' in addition to the base setting, keep it consistent across applicable systems and document approved exceptions. Base scope: Enable process/memory isolation, containers and sandboxing with separate execution domains</t>
  </si>
  <si>
    <t xml:space="preserve">ส่วนขยายของ SC-39: กำหนดค่าและบังคับใช้ 'Hardware Separation' เพิ่มเติมจากค่าพื้นฐาน ให้สอดคล้องทุกระบบที่เกี่ยวข้อง และบันทึกข้อยกเว้น - เปิดใช้การแยกโปรเซส/หน่วยความจำ Container และ Sandbox ด้วย Execution Domain แยก</t>
  </si>
  <si>
    <t xml:space="preserve">ESBIT-SC-39(02)</t>
  </si>
  <si>
    <t xml:space="preserve">SC-39(02)</t>
  </si>
  <si>
    <t xml:space="preserve">Process Isolation | Separate Execution Domain Per Thread</t>
  </si>
  <si>
    <t xml:space="preserve">Enhances SC-39 (Process Isolation): configure and enforce 'Separate Execution Domain Per Thread' in addition to the base setting, keep it consistent across applicable systems and document approved exceptions. Base scope: Enable process/memory isolation, containers and sandboxing with separate execution domains</t>
  </si>
  <si>
    <t xml:space="preserve">ส่วนขยายของ SC-39: กำหนดค่าและบังคับใช้ 'Separate Execution Domain Per Thread' เพิ่มเติมจากค่าพื้นฐาน ให้สอดคล้องทุกระบบที่เกี่ยวข้อง และบันทึกข้อยกเว้น - เปิดใช้การแยกโปรเซส/หน่วยความจำ Container และ Sandbox ด้วย Execution Domain แยก</t>
  </si>
  <si>
    <t xml:space="preserve">ESBIT-SC-40</t>
  </si>
  <si>
    <t xml:space="preserve">SC-40</t>
  </si>
  <si>
    <t xml:space="preserve">Wireless Link Protection</t>
  </si>
  <si>
    <t xml:space="preserve">Configure wireless link protections against jamming and interception</t>
  </si>
  <si>
    <t xml:space="preserve">ตั้งค่าการป้องกันลิงก์ไร้สายจากการรบกวนและดักฟัง</t>
  </si>
  <si>
    <t xml:space="preserve">ESBIT-SC-40(01)</t>
  </si>
  <si>
    <t xml:space="preserve">SC-40(01)</t>
  </si>
  <si>
    <t xml:space="preserve">Wireless Link Protection | Electromagnetic Interference</t>
  </si>
  <si>
    <t xml:space="preserve">Enhances SC-40 (Wireless Link Protection): configure and enforce 'Electromagnetic Interference' in addition to the base setting, keep it consistent across applicable systems and document approved exceptions. Base scope: Configure wireless link protections against jamming and interception</t>
  </si>
  <si>
    <t xml:space="preserve">ส่วนขยายของ SC-40: กำหนดค่าและบังคับใช้ 'Electromagnetic Interference' เพิ่มเติมจากค่าพื้นฐาน ให้สอดคล้องทุกระบบที่เกี่ยวข้อง และบันทึกข้อยกเว้น - ตั้งค่าการป้องกันลิงก์ไร้สายจากการรบกวนและดักฟัง</t>
  </si>
  <si>
    <t xml:space="preserve">ESBIT-SC-40(02)</t>
  </si>
  <si>
    <t xml:space="preserve">SC-40(02)</t>
  </si>
  <si>
    <t xml:space="preserve">Wireless Link Protection | Reduce Detection Potential</t>
  </si>
  <si>
    <t xml:space="preserve">Enhances SC-40 (Wireless Link Protection): configure and enforce 'Reduce Detection Potential' in addition to the base setting, keep it consistent across applicable systems and document approved exceptions. Base scope: Configure wireless link protections against jamming and interception</t>
  </si>
  <si>
    <t xml:space="preserve">ส่วนขยายของ SC-40: กำหนดค่าและบังคับใช้ 'Reduce Detection Potential' เพิ่มเติมจากค่าพื้นฐาน ให้สอดคล้องทุกระบบที่เกี่ยวข้อง และบันทึกข้อยกเว้น - ตั้งค่าการป้องกันลิงก์ไร้สายจากการรบกวนและดักฟัง</t>
  </si>
  <si>
    <t xml:space="preserve">ESBIT-SC-40(03)</t>
  </si>
  <si>
    <t xml:space="preserve">SC-40(03)</t>
  </si>
  <si>
    <t xml:space="preserve">Wireless Link Protection | Imitative or Manipulative Communications Deception</t>
  </si>
  <si>
    <t xml:space="preserve">Enhances SC-40 (Wireless Link Protection): configure and enforce 'Imitative or Manipulative Communications Deception' in addition to the base setting, keep it consistent across applicable systems and document approved exceptions. Base scope: Configure wireless link protections against jamming and interception</t>
  </si>
  <si>
    <t xml:space="preserve">ส่วนขยายของ SC-40: กำหนดค่าและบังคับใช้ 'Imitative or Manipulative Communications Deception' เพิ่มเติมจากค่าพื้นฐาน ให้สอดคล้องทุกระบบที่เกี่ยวข้อง และบันทึกข้อยกเว้น - ตั้งค่าการป้องกันลิงก์ไร้สายจากการรบกวนและดักฟัง</t>
  </si>
  <si>
    <t xml:space="preserve">ESBIT-SC-40(04)</t>
  </si>
  <si>
    <t xml:space="preserve">SC-40(04)</t>
  </si>
  <si>
    <t xml:space="preserve">Wireless Link Protection | Signal Parameter Identification</t>
  </si>
  <si>
    <t xml:space="preserve">Enhances SC-40 (Wireless Link Protection): configure and enforce 'Signal Parameter Identification' in addition to the base setting, keep it consistent across applicable systems and document approved exceptions. Base scope: Configure wireless link protections against jamming and interception</t>
  </si>
  <si>
    <t xml:space="preserve">ส่วนขยายของ SC-40: กำหนดค่าและบังคับใช้ 'Signal Parameter Identification' เพิ่มเติมจากค่าพื้นฐาน ให้สอดคล้องทุกระบบที่เกี่ยวข้อง และบันทึกข้อยกเว้น - ตั้งค่าการป้องกันลิงก์ไร้สายจากการรบกวนและดักฟัง</t>
  </si>
  <si>
    <t xml:space="preserve">ESBIT-SC-41</t>
  </si>
  <si>
    <t xml:space="preserve">SC-41</t>
  </si>
  <si>
    <t xml:space="preserve">Port and I/O Device Access</t>
  </si>
  <si>
    <t xml:space="preserve">Physically or logically disable USB, serial and I/O ports not required</t>
  </si>
  <si>
    <t xml:space="preserve">ปิดพอร์ต USB, Serial และ I/O ที่ไม่จำเป็นทางกายภาพหรือทางตรรกะ</t>
  </si>
  <si>
    <t xml:space="preserve">ESBIT-SC-42</t>
  </si>
  <si>
    <t xml:space="preserve">SC-42</t>
  </si>
  <si>
    <t xml:space="preserve">Sensor Capability and Data</t>
  </si>
  <si>
    <t xml:space="preserve">Configure controls limiting sensor capabilities and data collection</t>
  </si>
  <si>
    <t xml:space="preserve">ตั้งค่าจำกัดความสามารถและข้อมูลที่เก็บจากเซนเซอร์</t>
  </si>
  <si>
    <t xml:space="preserve">ESBIT-SC-42(01)</t>
  </si>
  <si>
    <t xml:space="preserve">SC-42(01)</t>
  </si>
  <si>
    <t xml:space="preserve">Sensor Capability and Data | Reporting to Authorized Individuals or Roles</t>
  </si>
  <si>
    <t xml:space="preserve">Enhances SC-42 (Sensor Capability and Data): configure and enforce 'Reporting to Authorized Individuals or Roles' in addition to the base setting, keep it consistent across applicable systems and document approved exceptions. Base scope: Configure controls limiting sensor capabilities and data collection</t>
  </si>
  <si>
    <t xml:space="preserve">ส่วนขยายของ SC-42: กำหนดค่าและบังคับใช้ 'Reporting to Authorized Individuals or Roles' เพิ่มเติมจากค่าพื้นฐาน ให้สอดคล้องทุกระบบที่เกี่ยวข้อง และบันทึกข้อยกเว้น - ตั้งค่าจำกัดความสามารถและข้อมูลที่เก็บจากเซนเซอร์</t>
  </si>
  <si>
    <t xml:space="preserve">ESBIT-SC-42(02)</t>
  </si>
  <si>
    <t xml:space="preserve">SC-42(02)</t>
  </si>
  <si>
    <t xml:space="preserve">Sensor Capability and Data | Authorized Use</t>
  </si>
  <si>
    <t xml:space="preserve">Enhances SC-42 (Sensor Capability and Data): configure and enforce 'Authorized Use' in addition to the base setting, keep it consistent across applicable systems and document approved exceptions. Base scope: Configure controls limiting sensor capabilities and data collection</t>
  </si>
  <si>
    <t xml:space="preserve">ส่วนขยายของ SC-42: กำหนดค่าและบังคับใช้ 'Authorized Use' เพิ่มเติมจากค่าพื้นฐาน ให้สอดคล้องทุกระบบที่เกี่ยวข้อง และบันทึกข้อยกเว้น - ตั้งค่าจำกัดความสามารถและข้อมูลที่เก็บจากเซนเซอร์</t>
  </si>
  <si>
    <t xml:space="preserve">ESBIT-SC-42(04)</t>
  </si>
  <si>
    <t xml:space="preserve">SC-42(04)</t>
  </si>
  <si>
    <t xml:space="preserve">Sensor Capability and Data | Notice of Collection</t>
  </si>
  <si>
    <t xml:space="preserve">Enhances SC-42 (Sensor Capability and Data): configure and enforce 'Notice of Collection' in addition to the base setting, keep it consistent across applicable systems and document approved exceptions. Base scope: Configure controls limiting sensor capabilities and data collection</t>
  </si>
  <si>
    <t xml:space="preserve">ส่วนขยายของ SC-42: กำหนดค่าและบังคับใช้ 'Notice of Collection' เพิ่มเติมจากค่าพื้นฐาน ให้สอดคล้องทุกระบบที่เกี่ยวข้อง และบันทึกข้อยกเว้น - ตั้งค่าจำกัดความสามารถและข้อมูลที่เก็บจากเซนเซอร์</t>
  </si>
  <si>
    <t xml:space="preserve">ESBIT-SC-42(05)</t>
  </si>
  <si>
    <t xml:space="preserve">SC-42(05)</t>
  </si>
  <si>
    <t xml:space="preserve">Sensor Capability and Data | Collection Minimization</t>
  </si>
  <si>
    <t xml:space="preserve">Enhances SC-42 (Sensor Capability and Data): configure and enforce 'Collection Minimization' in addition to the base setting, keep it consistent across applicable systems and document approved exceptions. Base scope: Configure controls limiting sensor capabilities and data collection</t>
  </si>
  <si>
    <t xml:space="preserve">ส่วนขยายของ SC-42: กำหนดค่าและบังคับใช้ 'Collection Minimization' เพิ่มเติมจากค่าพื้นฐาน ให้สอดคล้องทุกระบบที่เกี่ยวข้อง และบันทึกข้อยกเว้น - ตั้งค่าจำกัดความสามารถและข้อมูลที่เก็บจากเซนเซอร์</t>
  </si>
  <si>
    <t xml:space="preserve">ESBIT-SC-43</t>
  </si>
  <si>
    <t xml:space="preserve">SC-43</t>
  </si>
  <si>
    <t xml:space="preserve">Usage Restrictions</t>
  </si>
  <si>
    <t xml:space="preserve">Configure usage restrictions for technologies such as VoIP, mobile code and wireless</t>
  </si>
  <si>
    <t xml:space="preserve">กำหนดข้อจำกัดการใช้เทคโนโลยี เช่น VoIP, Mobile Code, Wireless</t>
  </si>
  <si>
    <t xml:space="preserve">ESBIT-SC-44</t>
  </si>
  <si>
    <t xml:space="preserve">SC-44</t>
  </si>
  <si>
    <t xml:space="preserve">Detonation Chambers</t>
  </si>
  <si>
    <t xml:space="preserve">Configure sandbox/detonation for suspicious files and email attachments</t>
  </si>
  <si>
    <t xml:space="preserve">ตั้งค่า Sandbox/Detonation ตรวจไฟล์และไฟล์แนบอีเมลที่น่าสงสัย</t>
  </si>
  <si>
    <t xml:space="preserve">ESBIT-SC-45</t>
  </si>
  <si>
    <t xml:space="preserve">SC-45</t>
  </si>
  <si>
    <t xml:space="preserve">System Time Synchronization</t>
  </si>
  <si>
    <t xml:space="preserve">Synchronize system clocks with authoritative time sources (NTP) across all systems</t>
  </si>
  <si>
    <t xml:space="preserve">ซิงค์นาฬิการะบบกับแหล่งเวลาที่เชื่อถือได้ (NTP) ทุกระบบ</t>
  </si>
  <si>
    <t xml:space="preserve">ESBIT-SC-45(01)</t>
  </si>
  <si>
    <t xml:space="preserve">SC-45(01)</t>
  </si>
  <si>
    <t xml:space="preserve">System Time Synchronization | Synchronization with Authoritative Time Source</t>
  </si>
  <si>
    <t xml:space="preserve">Enhances SC-45 (System Time Synchronization): configure and enforce 'Synchronization with Authoritative Time Source' in addition to the base setting, keep it consistent across applicable systems and document approved exceptions. Base scope: Synchronize system clocks with authoritative time sources (NTP) across all systems</t>
  </si>
  <si>
    <t xml:space="preserve">ส่วนขยายของ SC-45: กำหนดค่าและบังคับใช้ 'Synchronization with Authoritative Time Source' เพิ่มเติมจากค่าพื้นฐาน ให้สอดคล้องทุกระบบที่เกี่ยวข้อง และบันทึกข้อยกเว้น - ซิงค์นาฬิการะบบกับแหล่งเวลาที่เชื่อถือได้ (NTP) ทุกระบบ</t>
  </si>
  <si>
    <t xml:space="preserve">ESBIT-SC-45(02)</t>
  </si>
  <si>
    <t xml:space="preserve">SC-45(02)</t>
  </si>
  <si>
    <t xml:space="preserve">System Time Synchronization | Secondary Authoritative Time Source</t>
  </si>
  <si>
    <t xml:space="preserve">Enhances SC-45 (System Time Synchronization): configure and enforce 'Secondary Authoritative Time Source' in addition to the base setting, keep it consistent across applicable systems and document approved exceptions. Base scope: Synchronize system clocks with authoritative time sources (NTP) across all systems</t>
  </si>
  <si>
    <t xml:space="preserve">ส่วนขยายของ SC-45: กำหนดค่าและบังคับใช้ 'Secondary Authoritative Time Source' เพิ่มเติมจากค่าพื้นฐาน ให้สอดคล้องทุกระบบที่เกี่ยวข้อง และบันทึกข้อยกเว้น - ซิงค์นาฬิการะบบกับแหล่งเวลาที่เชื่อถือได้ (NTP) ทุกระบบ</t>
  </si>
  <si>
    <t xml:space="preserve">ESBIT-SC-46</t>
  </si>
  <si>
    <t xml:space="preserve">SC-46</t>
  </si>
  <si>
    <t xml:space="preserve">Cross Domain Policy Enforcement</t>
  </si>
  <si>
    <t xml:space="preserve">Implement cross-domain solution to enforce policy between security domains</t>
  </si>
  <si>
    <t xml:space="preserve">ใช้ Cross Domain Solution บังคับนโยบายระหว่างโดเมนความปลอดภัย</t>
  </si>
  <si>
    <t xml:space="preserve">ESBIT-SC-47</t>
  </si>
  <si>
    <t xml:space="preserve">SC-47</t>
  </si>
  <si>
    <t xml:space="preserve">Alternate Communications Paths</t>
  </si>
  <si>
    <t xml:space="preserve">Configure alternate communications paths for system command and control</t>
  </si>
  <si>
    <t xml:space="preserve">ตั้งค่าเส้นทางสื่อสารสำรองสำหรับการควบคุมระบบ</t>
  </si>
  <si>
    <t xml:space="preserve">ESBIT-SC-48</t>
  </si>
  <si>
    <t xml:space="preserve">SC-48</t>
  </si>
  <si>
    <t xml:space="preserve">Sensor Relocation</t>
  </si>
  <si>
    <t xml:space="preserve">Relocate sensors and monitoring capabilities to defined locations under defined conditions</t>
  </si>
  <si>
    <t xml:space="preserve">ย้าย Sensor/เครื่องมือเฝ้าระวังตามเงื่อนไขที่กำหนด</t>
  </si>
  <si>
    <t xml:space="preserve">ESBIT-SC-48(01)</t>
  </si>
  <si>
    <t xml:space="preserve">SC-48(01)</t>
  </si>
  <si>
    <t xml:space="preserve">Sensor Relocation | Dynamic Relocation of Sensors or Monitoring Capabilities</t>
  </si>
  <si>
    <t xml:space="preserve">Enhances SC-48 (Sensor Relocation): configure and enforce 'Dynamic Relocation of Sensors or Monitoring Capabilities' in addition to the base setting, keep it consistent across applicable systems and document approved exceptions. Base scope: Relocate sensors and monitoring capabilities to defined locations under defined conditions</t>
  </si>
  <si>
    <t xml:space="preserve">ส่วนขยายของ SC-48: กำหนดค่าและบังคับใช้ 'Dynamic Relocation of Sensors or Monitoring Capabilities' เพิ่มเติมจากค่าพื้นฐาน ให้สอดคล้องทุกระบบที่เกี่ยวข้อง และบันทึกข้อยกเว้น - ย้าย Sensor/เครื่องมือเฝ้าระวังตามเงื่อนไขที่กำหนด</t>
  </si>
  <si>
    <t xml:space="preserve">ESBIT-SC-49</t>
  </si>
  <si>
    <t xml:space="preserve">SC-49</t>
  </si>
  <si>
    <t xml:space="preserve">Hardware-enforced Separation and Policy Enforcement</t>
  </si>
  <si>
    <t xml:space="preserve">Enforce separation and policy through hardware mechanisms</t>
  </si>
  <si>
    <t xml:space="preserve">บังคับการแยกและนโยบายผ่านกลไกฮาร์ดแวร์</t>
  </si>
  <si>
    <t xml:space="preserve">ESBIT-SC-50</t>
  </si>
  <si>
    <t xml:space="preserve">SC-50</t>
  </si>
  <si>
    <t xml:space="preserve">Software-enforced Separation and Policy Enforcement</t>
  </si>
  <si>
    <t xml:space="preserve">Enforce separation and policy through software mechanisms</t>
  </si>
  <si>
    <t xml:space="preserve">บังคับการแยกและนโยบายผ่านกลไกซอฟต์แวร์</t>
  </si>
  <si>
    <t xml:space="preserve">ESBIT-SC-51</t>
  </si>
  <si>
    <t xml:space="preserve">SC-51</t>
  </si>
  <si>
    <t xml:space="preserve">Hardware-based Protection</t>
  </si>
  <si>
    <t xml:space="preserve">Use hardware-based protection for firmware and boot components</t>
  </si>
  <si>
    <t xml:space="preserve">ใช้การป้องกันแบบฮาร์ดแวร์สำหรับ Firmware และ Boot Component</t>
  </si>
  <si>
    <t xml:space="preserve">ESBIT-SI-01</t>
  </si>
  <si>
    <t xml:space="preserve">SI-01</t>
  </si>
  <si>
    <t xml:space="preserve">System and Information Integrity (SI)</t>
  </si>
  <si>
    <t xml:space="preserve">Not a direct configuration item - define, document, review and communicate the System and Information Integrity policy and procedures that drive the technical configuration standards.</t>
  </si>
  <si>
    <t xml:space="preserve">ไม่ใช่การ config โดยตรง - กำหนด จัดทำเอกสาร และทบทวนนโยบาย/ขั้นตอนของหมวดความสมบูรณ์ของระบบและข้อมูล เพื่อเป็นฐานในการกำหนดมาตรฐาน Config</t>
  </si>
  <si>
    <t xml:space="preserve">ESBIT-SI-02</t>
  </si>
  <si>
    <t xml:space="preserve">SI-02</t>
  </si>
  <si>
    <t xml:space="preserve">Flaw Remediation</t>
  </si>
  <si>
    <t xml:space="preserve">ID.RA-08</t>
  </si>
  <si>
    <t xml:space="preserve">Processes for receiving, analyzing, and responding to vulnerability disclosures are established</t>
  </si>
  <si>
    <t xml:space="preserve">Configure patch management, patch testing, remediation timelines and automated updates for OS, firmware, network devices and applications</t>
  </si>
  <si>
    <t xml:space="preserve">ตั้งค่า Patch Management การทดสอบ Patch กรอบเวลาแก้ไข และการอัปเดตอัตโนมัติสำหรับ OS/Firmware/เครือข่าย/แอป</t>
  </si>
  <si>
    <t xml:space="preserve">ESBIT-SI-02(02)</t>
  </si>
  <si>
    <t xml:space="preserve">SI-02(02)</t>
  </si>
  <si>
    <t xml:space="preserve">Flaw Remediation | Automated Flaw Remediation Status</t>
  </si>
  <si>
    <t xml:space="preserve">Enhances SI-02 (Flaw Remediation): configure and enforce 'Automated Flaw Remediation Status' in addition to the base setting, keep it consistent across applicable systems and document approved exceptions. Base scope: Configure patch management, patch testing, remediation timelines and automated updates for OS, firmware, network devices and applications</t>
  </si>
  <si>
    <t xml:space="preserve">ส่วนขยายของ SI-02: กำหนดค่าและบังคับใช้ 'Automated Flaw Remediation Status' เพิ่มเติมจากค่าพื้นฐาน ให้สอดคล้องทุกระบบที่เกี่ยวข้อง และบันทึกข้อยกเว้น - ตั้งค่า Patch Management การทดสอบ Patch กรอบเวลาแก้ไข และการอัปเดตอัตโนมัติสำหรับ OS/Firmware/เครือข่าย/แอป</t>
  </si>
  <si>
    <t xml:space="preserve">ESBIT-SI-02(03)</t>
  </si>
  <si>
    <t xml:space="preserve">SI-02(03)</t>
  </si>
  <si>
    <t xml:space="preserve">Flaw Remediation | Time to Remediate Flaws and Benchmarks for Corrective Actions</t>
  </si>
  <si>
    <t xml:space="preserve">Enhances SI-02 (Flaw Remediation): configure and enforce 'Time to Remediate Flaws and Benchmarks for Corrective Actions' in addition to the base setting, keep it consistent across applicable systems and document approved exceptions. Base scope: Configure patch management, patch testing, remediation timelines and automated updates for OS, firmware, network devices and applications</t>
  </si>
  <si>
    <t xml:space="preserve">ส่วนขยายของ SI-02: กำหนดค่าและบังคับใช้ 'Time to Remediate Flaws and Benchmarks for Corrective Actions' เพิ่มเติมจากค่าพื้นฐาน ให้สอดคล้องทุกระบบที่เกี่ยวข้อง และบันทึกข้อยกเว้น - ตั้งค่า Patch Management การทดสอบ Patch กรอบเวลาแก้ไข และการอัปเดตอัตโนมัติสำหรับ OS/Firmware/เครือข่าย/แอป</t>
  </si>
  <si>
    <t xml:space="preserve">ESBIT-SI-02(05)</t>
  </si>
  <si>
    <t xml:space="preserve">SI-02(05)</t>
  </si>
  <si>
    <t xml:space="preserve">Flaw Remediation | Automatic Software and Firmware Updates</t>
  </si>
  <si>
    <t xml:space="preserve">Enhances SI-02 (Flaw Remediation): configure and enforce 'Automatic Software and Firmware Updates' in addition to the base setting, keep it consistent across applicable systems and document approved exceptions. Base scope: Configure patch management, patch testing, remediation timelines and automated updates for OS, firmware, network devices and applications</t>
  </si>
  <si>
    <t xml:space="preserve">ส่วนขยายของ SI-02: กำหนดค่าและบังคับใช้ 'Automatic Software and Firmware Updates' เพิ่มเติมจากค่าพื้นฐาน ให้สอดคล้องทุกระบบที่เกี่ยวข้อง และบันทึกข้อยกเว้น - ตั้งค่า Patch Management การทดสอบ Patch กรอบเวลาแก้ไข และการอัปเดตอัตโนมัติสำหรับ OS/Firmware/เครือข่าย/แอป</t>
  </si>
  <si>
    <t xml:space="preserve">ESBIT-SI-02(06)</t>
  </si>
  <si>
    <t xml:space="preserve">SI-02(06)</t>
  </si>
  <si>
    <t xml:space="preserve">Flaw Remediation | Removal of Previous Versions of Software and Firmware</t>
  </si>
  <si>
    <t xml:space="preserve">Enhances SI-02 (Flaw Remediation): configure and enforce 'Removal of Previous Versions of Software and Firmware' in addition to the base setting, keep it consistent across applicable systems and document approved exceptions. Base scope: Configure patch management, patch testing, remediation timelines and automated updates for OS, firmware, network devices and applications</t>
  </si>
  <si>
    <t xml:space="preserve">ส่วนขยายของ SI-02: กำหนดค่าและบังคับใช้ 'Removal of Previous Versions of Software and Firmware' เพิ่มเติมจากค่าพื้นฐาน ให้สอดคล้องทุกระบบที่เกี่ยวข้อง และบันทึกข้อยกเว้น - ตั้งค่า Patch Management การทดสอบ Patch กรอบเวลาแก้ไข และการอัปเดตอัตโนมัติสำหรับ OS/Firmware/เครือข่าย/แอป</t>
  </si>
  <si>
    <t xml:space="preserve">ESBIT-SI-02(07)</t>
  </si>
  <si>
    <t xml:space="preserve">SI-02(07)</t>
  </si>
  <si>
    <t xml:space="preserve">Flaw Remediation | Root Cause Analysis</t>
  </si>
  <si>
    <t xml:space="preserve">Enhances SI-02 (Flaw Remediation): configure and enforce 'Root Cause Analysis' in addition to the base setting, keep it consistent across applicable systems and document approved exceptions. Base scope: Configure patch management, patch testing, remediation timelines and automated updates for OS, firmware, network devices and applications</t>
  </si>
  <si>
    <t xml:space="preserve">ส่วนขยายของ SI-02: กำหนดค่าและบังคับใช้ 'Root Cause Analysis' เพิ่มเติมจากค่าพื้นฐาน ให้สอดคล้องทุกระบบที่เกี่ยวข้อง และบันทึกข้อยกเว้น - ตั้งค่า Patch Management การทดสอบ Patch กรอบเวลาแก้ไข และการอัปเดตอัตโนมัติสำหรับ OS/Firmware/เครือข่าย/แอป</t>
  </si>
  <si>
    <t xml:space="preserve">ESBIT-SI-03</t>
  </si>
  <si>
    <t xml:space="preserve">SI-03</t>
  </si>
  <si>
    <t xml:space="preserve">Malicious Code Protection</t>
  </si>
  <si>
    <t xml:space="preserve">Deploy and configure anti-malware/EDR with real-time scan, signature updates and email/web filtering</t>
  </si>
  <si>
    <t xml:space="preserve">ติดตั้งและตั้งค่า Anti-malware/EDR (Real-time Scan, อัปเดต Signature, กรองอีเมล/เว็บ)</t>
  </si>
  <si>
    <t xml:space="preserve">ESBIT-SI-03(04)</t>
  </si>
  <si>
    <t xml:space="preserve">SI-03(04)</t>
  </si>
  <si>
    <t xml:space="preserve">Malicious Code Protection | Updates Only by Privileged Users</t>
  </si>
  <si>
    <t xml:space="preserve">Enhances SI-03 (Malicious Code Protection): configure and enforce 'Updates Only by Privileged Users' in addition to the base setting, keep it consistent across applicable systems and document approved exceptions. Base scope: Deploy and configure anti-malware/EDR with real-time scan, signature updates and email/web filtering</t>
  </si>
  <si>
    <t xml:space="preserve">ส่วนขยายของ SI-03: กำหนดค่าและบังคับใช้ 'Updates Only by Privileged Users' เพิ่มเติมจากค่าพื้นฐาน ให้สอดคล้องทุกระบบที่เกี่ยวข้อง และบันทึกข้อยกเว้น - ติดตั้งและตั้งค่า Anti-malware/EDR (Real-time Scan, อัปเดต Signature, กรองอีเมล/เว็บ)</t>
  </si>
  <si>
    <t xml:space="preserve">ESBIT-SI-03(06)</t>
  </si>
  <si>
    <t xml:space="preserve">SI-03(06)</t>
  </si>
  <si>
    <t xml:space="preserve">Malicious Code Protection | Testing and Verification</t>
  </si>
  <si>
    <t xml:space="preserve">Enhances SI-03 (Malicious Code Protection): configure and enforce 'Testing and Verification' in addition to the base setting, keep it consistent across applicable systems and document approved exceptions. Base scope: Deploy and configure anti-malware/EDR with real-time scan, signature updates and email/web filtering</t>
  </si>
  <si>
    <t xml:space="preserve">ส่วนขยายของ SI-03: กำหนดค่าและบังคับใช้ 'Testing and Verification' เพิ่มเติมจากค่าพื้นฐาน ให้สอดคล้องทุกระบบที่เกี่ยวข้อง และบันทึกข้อยกเว้น - ติดตั้งและตั้งค่า Anti-malware/EDR (Real-time Scan, อัปเดต Signature, กรองอีเมล/เว็บ)</t>
  </si>
  <si>
    <t xml:space="preserve">ESBIT-SI-03(08)</t>
  </si>
  <si>
    <t xml:space="preserve">SI-03(08)</t>
  </si>
  <si>
    <t xml:space="preserve">Malicious Code Protection | Detect Unauthorized Commands</t>
  </si>
  <si>
    <t xml:space="preserve">Enhances SI-03 (Malicious Code Protection): configure and enforce 'Detect Unauthorized Commands' in addition to the base setting, keep it consistent across applicable systems and document approved exceptions. Base scope: Deploy and configure anti-malware/EDR with real-time scan, signature updates and email/web filtering</t>
  </si>
  <si>
    <t xml:space="preserve">ส่วนขยายของ SI-03: กำหนดค่าและบังคับใช้ 'Detect Unauthorized Commands' เพิ่มเติมจากค่าพื้นฐาน ให้สอดคล้องทุกระบบที่เกี่ยวข้อง และบันทึกข้อยกเว้น - ติดตั้งและตั้งค่า Anti-malware/EDR (Real-time Scan, อัปเดต Signature, กรองอีเมล/เว็บ)</t>
  </si>
  <si>
    <t xml:space="preserve">ESBIT-SI-03(10)</t>
  </si>
  <si>
    <t xml:space="preserve">SI-03(10)</t>
  </si>
  <si>
    <t xml:space="preserve">Malicious Code Protection | Malicious Code Analysis</t>
  </si>
  <si>
    <t xml:space="preserve">Enhances SI-03 (Malicious Code Protection): configure and enforce 'Malicious Code Analysis' in addition to the base setting, keep it consistent across applicable systems and document approved exceptions. Base scope: Deploy and configure anti-malware/EDR with real-time scan, signature updates and email/web filtering</t>
  </si>
  <si>
    <t xml:space="preserve">ส่วนขยายของ SI-03: กำหนดค่าและบังคับใช้ 'Malicious Code Analysis' เพิ่มเติมจากค่าพื้นฐาน ให้สอดคล้องทุกระบบที่เกี่ยวข้อง และบันทึกข้อยกเว้น - ติดตั้งและตั้งค่า Anti-malware/EDR (Real-time Scan, อัปเดต Signature, กรองอีเมล/เว็บ)</t>
  </si>
  <si>
    <t xml:space="preserve">ESBIT-SI-04</t>
  </si>
  <si>
    <t xml:space="preserve">SI-04</t>
  </si>
  <si>
    <t xml:space="preserve">System Monitoring</t>
  </si>
  <si>
    <t xml:space="preserve">Configure IDS/IPS, NDR/EDR, SIEM monitoring and alerting for inbound/outbound traffic and host activity</t>
  </si>
  <si>
    <t xml:space="preserve">ตั้งค่า IDS/IPS, NDR/EDR, การเฝ้าระวังและแจ้งเตือนของ SIEM สำหรับทราฟฟิกและกิจกรรมบนโฮสต์</t>
  </si>
  <si>
    <t xml:space="preserve">ESBIT-SI-04(01)</t>
  </si>
  <si>
    <t xml:space="preserve">SI-04(01)</t>
  </si>
  <si>
    <t xml:space="preserve">System Monitoring | System-wide Intrusion Detection System</t>
  </si>
  <si>
    <t xml:space="preserve">Enhances SI-04 (System Monitoring): configure and enforce 'System-wide Intrusion Detection System'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</si>
  <si>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'System-wide Intrusion Detection System'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</si>
  <si>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ESBIT-SI-04(02)</t>
  </si>
  <si>
    <t xml:space="preserve">SI-04(02)</t>
  </si>
  <si>
    <t xml:space="preserve">System Monitoring | Automated Tools and Mechanisms for Real-time Analysis</t>
  </si>
  <si>
    <t xml:space="preserve">Enhances SI-04 (System Monitoring): configure and enforce 'Automated Tools and Mechanisms for Real-time Analysis'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</si>
  <si>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'Automated Tools and Mechanisms for Real-time Analysis'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</si>
  <si>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ESBIT-SI-04(03)</t>
  </si>
  <si>
    <t xml:space="preserve">SI-04(03)</t>
  </si>
  <si>
    <t xml:space="preserve">System Monitoring | Automated Tool and Mechanism Integration</t>
  </si>
  <si>
    <t xml:space="preserve">Enhances SI-04 (System Monitoring): configure and enforce 'Automated Tool and Mechanism Integration'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</si>
  <si>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'Automated Tool and Mechanism Integration'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</si>
  <si>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ESBIT-SI-04(04)</t>
  </si>
  <si>
    <t xml:space="preserve">SI-04(04)</t>
  </si>
  <si>
    <t xml:space="preserve">System Monitoring | Inbound and Outbound Communications Traffic</t>
  </si>
  <si>
    <t xml:space="preserve">Enhances SI-04 (System Monitoring): configure and enforce 'Inbound and Outbound Communications Traffic'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</si>
  <si>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'Inbound and Outbound Communications Traffic'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</si>
  <si>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ESBIT-SI-04(05)</t>
  </si>
  <si>
    <t xml:space="preserve">SI-04(05)</t>
  </si>
  <si>
    <t xml:space="preserve">System Monitoring | System-generated Alerts</t>
  </si>
  <si>
    <t xml:space="preserve">Enhances SI-04 (System Monitoring): configure and enforce 'System-generated Alerts'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</si>
  <si>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'System-generated Alerts'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</si>
  <si>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ESBIT-SI-04(07)</t>
  </si>
  <si>
    <t xml:space="preserve">SI-04(07)</t>
  </si>
  <si>
    <t xml:space="preserve">System Monitoring | Automated Response to Suspicious Events</t>
  </si>
  <si>
    <t xml:space="preserve">Enhances SI-04 (System Monitoring): configure and enforce 'Automated Response to Suspicious Events'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</si>
  <si>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'Automated Response to Suspicious Events'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</si>
  <si>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ESBIT-SI-04(09)</t>
  </si>
  <si>
    <t xml:space="preserve">SI-04(09)</t>
  </si>
  <si>
    <t xml:space="preserve">System Monitoring | Testing of Monitoring Tools and Mechanisms</t>
  </si>
  <si>
    <t xml:space="preserve">Enhances SI-04 (System Monitoring): configure and enforce 'Testing of Monitoring Tools and Mechanisms'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</si>
  <si>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'Testing of Monitoring Tools and Mechanisms'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</si>
  <si>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ESBIT-SI-04(10)</t>
  </si>
  <si>
    <t xml:space="preserve">SI-04(10)</t>
  </si>
  <si>
    <t xml:space="preserve">System Monitoring | Visibility of Encrypted Communications</t>
  </si>
  <si>
    <t xml:space="preserve">Enhances SI-04 (System Monitoring): configure and enforce 'Visibility of Encrypted Communications'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</si>
  <si>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'Visibility of Encrypted Communications'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</si>
  <si>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ESBIT-SI-04(11)</t>
  </si>
  <si>
    <t xml:space="preserve">SI-04(11)</t>
  </si>
  <si>
    <t xml:space="preserve">System Monitoring | Analyze Communications Traffic Anomalies</t>
  </si>
  <si>
    <t xml:space="preserve">Enhances SI-04 (System Monitoring): configure and enforce 'Analyze Communications Traffic Anomalies'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</si>
  <si>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'Analyze Communications Traffic Anomalies'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</si>
  <si>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ESBIT-SI-04(12)</t>
  </si>
  <si>
    <t xml:space="preserve">SI-04(12)</t>
  </si>
  <si>
    <t xml:space="preserve">System Monitoring | Automated Organization-generated Alerts</t>
  </si>
  <si>
    <t xml:space="preserve">Enhances SI-04 (System Monitoring): configure and enforce 'Automated Organization-generated Alerts'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</si>
  <si>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'Automated Organization-generated Alerts'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</si>
  <si>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ESBIT-SI-04(13)</t>
  </si>
  <si>
    <t xml:space="preserve">SI-04(13)</t>
  </si>
  <si>
    <t xml:space="preserve">System Monitoring | Analyze Traffic and Event Patterns</t>
  </si>
  <si>
    <t xml:space="preserve">Enhances SI-04 (System Monitoring): configure and enforce 'Analyze Traffic and Event Patterns'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</si>
  <si>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'Analyze Traffic and Event Patterns'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</si>
  <si>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ESBIT-SI-04(14)</t>
  </si>
  <si>
    <t xml:space="preserve">SI-04(14)</t>
  </si>
  <si>
    <t xml:space="preserve">System Monitoring | Wireless Intrusion Detection</t>
  </si>
  <si>
    <t xml:space="preserve">Enhances SI-04 (System Monitoring): configure and enforce 'Wireless Intrusion Detection'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</si>
  <si>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'Wireless Intrusion Detection'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</si>
  <si>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ESBIT-SI-04(15)</t>
  </si>
  <si>
    <t xml:space="preserve">SI-04(15)</t>
  </si>
  <si>
    <t xml:space="preserve">System Monitoring | Wireless to Wireline Communications</t>
  </si>
  <si>
    <t xml:space="preserve">Enhances SI-04 (System Monitoring): configure and enforce 'Wireless to Wireline Communications'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</si>
  <si>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'Wireless to Wireline Communications'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</si>
  <si>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ESBIT-SI-04(16)</t>
  </si>
  <si>
    <t xml:space="preserve">SI-04(16)</t>
  </si>
  <si>
    <t xml:space="preserve">System Monitoring | Correlate Monitoring Information</t>
  </si>
  <si>
    <t xml:space="preserve">Enhances SI-04 (System Monitoring): configure and enforce 'Correlate Monitoring Information'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</si>
  <si>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'Correlate Monitoring Information'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</si>
  <si>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ESBIT-SI-04(17)</t>
  </si>
  <si>
    <t xml:space="preserve">SI-04(17)</t>
  </si>
  <si>
    <t xml:space="preserve">System Monitoring | Integrated Situational Awareness</t>
  </si>
  <si>
    <t xml:space="preserve">Enhances SI-04 (System Monitoring): configure and enforce 'Integrated Situational Awareness'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</si>
  <si>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'Integrated Situational Awareness'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</si>
  <si>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ESBIT-SI-04(18)</t>
  </si>
  <si>
    <t xml:space="preserve">SI-04(18)</t>
  </si>
  <si>
    <t xml:space="preserve">System Monitoring | Analyze Traffic and Covert Exfiltration</t>
  </si>
  <si>
    <t xml:space="preserve">Enhances SI-04 (System Monitoring): configure and enforce 'Analyze Traffic and Covert Exfiltration'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</si>
  <si>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'Analyze Traffic and Covert Exfiltration'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</si>
  <si>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ESBIT-SI-04(19)</t>
  </si>
  <si>
    <t xml:space="preserve">SI-04(19)</t>
  </si>
  <si>
    <t xml:space="preserve">System Monitoring | Risk for Individuals</t>
  </si>
  <si>
    <t xml:space="preserve">Enhances SI-04 (System Monitoring): configure and enforce 'Risk for Individuals'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</si>
  <si>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'Risk for Individuals'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</si>
  <si>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ESBIT-SI-04(20)</t>
  </si>
  <si>
    <t xml:space="preserve">SI-04(20)</t>
  </si>
  <si>
    <t xml:space="preserve">System Monitoring | Privileged Users</t>
  </si>
  <si>
    <t xml:space="preserve">Enhances SI-04 (System Monitoring): configure and enforce 'Privileged Users'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</si>
  <si>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'Privileged Users'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</si>
  <si>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ESBIT-SI-04(21)</t>
  </si>
  <si>
    <t xml:space="preserve">SI-04(21)</t>
  </si>
  <si>
    <t xml:space="preserve">System Monitoring | Probationary Periods</t>
  </si>
  <si>
    <t xml:space="preserve">Enhances SI-04 (System Monitoring): configure and enforce 'Probationary Periods'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</si>
  <si>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'Probationary Periods'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</si>
  <si>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ESBIT-SI-04(22)</t>
  </si>
  <si>
    <t xml:space="preserve">SI-04(22)</t>
  </si>
  <si>
    <t xml:space="preserve">System Monitoring | Unauthorized Network Services</t>
  </si>
  <si>
    <t xml:space="preserve">Enhances SI-04 (System Monitoring): configure and enforce 'Unauthorized Network Services'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</si>
  <si>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'Unauthorized Network Services'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</si>
  <si>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ESBIT-SI-04(23)</t>
  </si>
  <si>
    <t xml:space="preserve">SI-04(23)</t>
  </si>
  <si>
    <t xml:space="preserve">System Monitoring | Host-based Devices</t>
  </si>
  <si>
    <t xml:space="preserve">Enhances SI-04 (System Monitoring): configure and enforce 'Host-based Devices'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</si>
  <si>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'Host-based Devices'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</si>
  <si>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ESBIT-SI-04(24)</t>
  </si>
  <si>
    <t xml:space="preserve">SI-04(24)</t>
  </si>
  <si>
    <t xml:space="preserve">System Monitoring | Indicators of Compromise</t>
  </si>
  <si>
    <t xml:space="preserve">Enhances SI-04 (System Monitoring): configure and enforce 'Indicators of Compromise'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</si>
  <si>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'Indicators of Compromise'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</si>
  <si>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ESBIT-SI-04(25)</t>
  </si>
  <si>
    <t xml:space="preserve">SI-04(25)</t>
  </si>
  <si>
    <t xml:space="preserve">System Monitoring | Optimize Network Traffic Analysis</t>
  </si>
  <si>
    <t xml:space="preserve">Enhances SI-04 (System Monitoring): configure and enforce 'Optimize Network Traffic Analysis' in addition to the base setting, keep it consistent across applicable systems and document approved exceptions. Base scope: Configure IDS/IPS, NDR/EDR, SIEM monitoring and alerting for inbound/outbound traffic and host activity</t>
  </si>
  <si>
    <t xml:space="preserve">ส่วนขยายของ SI-04: กำหนดค่าและบังคับใช้ 'Optimize Network Traffic Analysis' เพิ่มเติมจากค่าพื้นฐาน ให้สอดคล้องทุกระบบที่เกี่ยวข้อง และบันทึกข้อยกเว้น - ตั้งค่า IDS/IPS, NDR/EDR, การเฝ้าระวังและแจ้งเตือนของ SIEM สำหรับทราฟฟิกและกิจกรรมบนโฮสต์</t>
  </si>
  <si>
    <t xml:space="preserve">ESBIT-SI-05</t>
  </si>
  <si>
    <t xml:space="preserve">SI-05</t>
  </si>
  <si>
    <t xml:space="preserve">Security Alerts, Advisories, and Directives</t>
  </si>
  <si>
    <t xml:space="preserve">Subscribe to vendor and CERT advisories and configure automated alert distribution to system owners</t>
  </si>
  <si>
    <t xml:space="preserve">ติดตามประกาศจากผู้ผลิต/CERT และตั้งค่าการแจ้งเตือนอัตโนมัติถึงเจ้าของระบบ</t>
  </si>
  <si>
    <t xml:space="preserve">Network, Cloud, Application, Governance</t>
  </si>
  <si>
    <t xml:space="preserve">ESBIT-SI-05(01)</t>
  </si>
  <si>
    <t xml:space="preserve">SI-05(01)</t>
  </si>
  <si>
    <t xml:space="preserve">Security Alerts, Advisories, and Directives | Automated Alerts and Advisories</t>
  </si>
  <si>
    <t xml:space="preserve">Enhances SI-05 (Security Alerts, Advisories, and Directives): configure and enforce 'Automated Alerts and Advisories' in addition to the base setting, keep it consistent across applicable systems and document approved exceptions. Base scope: Subscribe to vendor and CERT advisories and configure automated alert distribution to system owners</t>
  </si>
  <si>
    <t xml:space="preserve">ส่วนขยายของ SI-05: กำหนดค่าและบังคับใช้ 'Automated Alerts and Advisories' เพิ่มเติมจากค่าพื้นฐาน ให้สอดคล้องทุกระบบที่เกี่ยวข้อง และบันทึกข้อยกเว้น - ติดตามประกาศจากผู้ผลิต/CERT และตั้งค่าการแจ้งเตือนอัตโนมัติถึงเจ้าของระบบ</t>
  </si>
  <si>
    <t xml:space="preserve">ESBIT-SI-06</t>
  </si>
  <si>
    <t xml:space="preserve">SI-06</t>
  </si>
  <si>
    <t xml:space="preserve">Security and Privacy Function Verification</t>
  </si>
  <si>
    <t xml:space="preserve">Configure verification that security functions operate correctly at startup and on defined events</t>
  </si>
  <si>
    <t xml:space="preserve">ตั้งค่าการตรวจสอบว่าฟังก์ชันความปลอดภัยทำงานถูกต้องเมื่อเริ่มระบบและตามเหตุการณ์</t>
  </si>
  <si>
    <t xml:space="preserve">ESBIT-SI-06(02)</t>
  </si>
  <si>
    <t xml:space="preserve">SI-06(02)</t>
  </si>
  <si>
    <t xml:space="preserve">Security and Privacy Function Verification | Automation Support for Distributed Testing</t>
  </si>
  <si>
    <t xml:space="preserve">Enhances SI-06 (Security and Privacy Function Verification): configure and enforce 'Automation Support for Distributed Testing' in addition to the base setting, keep it consistent across applicable systems and document approved exceptions. Base scope: Configure verification that security functions operate correctly at startup and on defined events</t>
  </si>
  <si>
    <t xml:space="preserve">ส่วนขยายของ SI-06: กำหนดค่าและบังคับใช้ 'Automation Support for Distributed Testing' เพิ่มเติมจากค่าพื้นฐาน ให้สอดคล้องทุกระบบที่เกี่ยวข้อง และบันทึกข้อยกเว้น - ตั้งค่าการตรวจสอบว่าฟังก์ชันความปลอดภัยทำงานถูกต้องเมื่อเริ่มระบบและตามเหตุการณ์</t>
  </si>
  <si>
    <t xml:space="preserve">ESBIT-SI-06(03)</t>
  </si>
  <si>
    <t xml:space="preserve">SI-06(03)</t>
  </si>
  <si>
    <t xml:space="preserve">Security and Privacy Function Verification | Report Verification Results</t>
  </si>
  <si>
    <t xml:space="preserve">Enhances SI-06 (Security and Privacy Function Verification): configure and enforce 'Report Verification Results' in addition to the base setting, keep it consistent across applicable systems and document approved exceptions. Base scope: Configure verification that security functions operate correctly at startup and on defined events</t>
  </si>
  <si>
    <t xml:space="preserve">ส่วนขยายของ SI-06: กำหนดค่าและบังคับใช้ 'Report Verification Results' เพิ่มเติมจากค่าพื้นฐาน ให้สอดคล้องทุกระบบที่เกี่ยวข้อง และบันทึกข้อยกเว้น - ตั้งค่าการตรวจสอบว่าฟังก์ชันความปลอดภัยทำงานถูกต้องเมื่อเริ่มระบบและตามเหตุการณ์</t>
  </si>
  <si>
    <t xml:space="preserve">ESBIT-SI-07</t>
  </si>
  <si>
    <t xml:space="preserve">SI-07</t>
  </si>
  <si>
    <t xml:space="preserve">Software, Firmware, and Information Integrity</t>
  </si>
  <si>
    <t xml:space="preserve">Enable file integrity monitoring, secure boot, code signing and firmware integrity checks</t>
  </si>
  <si>
    <t xml:space="preserve">เปิดใช้ File Integrity Monitoring, Secure Boot, Code Signing และตรวจ Integrity ของ Firmware</t>
  </si>
  <si>
    <t xml:space="preserve">ESBIT-SI-07(01)</t>
  </si>
  <si>
    <t xml:space="preserve">SI-07(01)</t>
  </si>
  <si>
    <t xml:space="preserve">Software, Firmware, and Information Integrity | Integrity Checks</t>
  </si>
  <si>
    <t xml:space="preserve">Enhances SI-07 (Software, Firmware, and Information Integrity): configure and enforce 'Integrity Checks'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</si>
  <si>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'Integrity Checks'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</si>
  <si>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ESBIT-SI-07(02)</t>
  </si>
  <si>
    <t xml:space="preserve">SI-07(02)</t>
  </si>
  <si>
    <t xml:space="preserve">Software, Firmware, and Information Integrity | Automated Notifications of Integrity Violations</t>
  </si>
  <si>
    <t xml:space="preserve">Enhances SI-07 (Software, Firmware, and Information Integrity): configure and enforce 'Automated Notifications of Integrity Violations'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</si>
  <si>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'Automated Notifications of Integrity Violations'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</si>
  <si>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ESBIT-SI-07(03)</t>
  </si>
  <si>
    <t xml:space="preserve">SI-07(03)</t>
  </si>
  <si>
    <t xml:space="preserve">Software, Firmware, and Information Integrity | Centrally Managed Integrity Tools</t>
  </si>
  <si>
    <t xml:space="preserve">Enhances SI-07 (Software, Firmware, and Information Integrity): configure and enforce 'Centrally Managed Integrity Tools'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</si>
  <si>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'Centrally Managed Integrity Tools'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</si>
  <si>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ESBIT-SI-07(05)</t>
  </si>
  <si>
    <t xml:space="preserve">SI-07(05)</t>
  </si>
  <si>
    <t xml:space="preserve">Software, Firmware, and Information Integrity | Automated Response to Integrity Violations</t>
  </si>
  <si>
    <t xml:space="preserve">Enhances SI-07 (Software, Firmware, and Information Integrity): configure and enforce 'Automated Response to Integrity Violations'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</si>
  <si>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'Automated Response to Integrity Violations'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</si>
  <si>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ESBIT-SI-07(06)</t>
  </si>
  <si>
    <t xml:space="preserve">SI-07(06)</t>
  </si>
  <si>
    <t xml:space="preserve">Software, Firmware, and Information Integrity | Cryptographic Protection</t>
  </si>
  <si>
    <t xml:space="preserve">Enhances SI-07 (Software, Firmware, and Information Integrity): configure and enforce 'Cryptographic Protection'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</si>
  <si>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'Cryptographic Protection'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</si>
  <si>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ESBIT-SI-07(07)</t>
  </si>
  <si>
    <t xml:space="preserve">SI-07(07)</t>
  </si>
  <si>
    <t xml:space="preserve">Software, Firmware, and Information Integrity | Integration of Detection and Response</t>
  </si>
  <si>
    <t xml:space="preserve">Enhances SI-07 (Software, Firmware, and Information Integrity): configure and enforce 'Integration of Detection and Response'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</si>
  <si>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'Integration of Detection and Response'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</si>
  <si>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ESBIT-SI-07(08)</t>
  </si>
  <si>
    <t xml:space="preserve">SI-07(08)</t>
  </si>
  <si>
    <t xml:space="preserve">Software, Firmware, and Information Integrity | Auditing Capability for Significant Events</t>
  </si>
  <si>
    <t xml:space="preserve">Enhances SI-07 (Software, Firmware, and Information Integrity): configure and enforce 'Auditing Capability for Significant Events'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</si>
  <si>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'Auditing Capability for Significant Events'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</si>
  <si>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ESBIT-SI-07(09)</t>
  </si>
  <si>
    <t xml:space="preserve">SI-07(09)</t>
  </si>
  <si>
    <t xml:space="preserve">Software, Firmware, and Information Integrity | Verify Boot Process</t>
  </si>
  <si>
    <t xml:space="preserve">Enhances SI-07 (Software, Firmware, and Information Integrity): configure and enforce 'Verify Boot Process'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</si>
  <si>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'Verify Boot Process'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</si>
  <si>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ESBIT-SI-07(10)</t>
  </si>
  <si>
    <t xml:space="preserve">SI-07(10)</t>
  </si>
  <si>
    <t xml:space="preserve">Software, Firmware, and Information Integrity | Protection of Boot Firmware</t>
  </si>
  <si>
    <t xml:space="preserve">Enhances SI-07 (Software, Firmware, and Information Integrity): configure and enforce 'Protection of Boot Firmware'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</si>
  <si>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'Protection of Boot Firmware'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</si>
  <si>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ESBIT-SI-07(11)</t>
  </si>
  <si>
    <t xml:space="preserve">SI-07(11)</t>
  </si>
  <si>
    <t xml:space="preserve">Software, Firmware, and Information Integrity | Confined Environments with Limited Privileges</t>
  </si>
  <si>
    <t xml:space="preserve">Enhances SI-07 (Software, Firmware, and Information Integrity): configure and enforce 'Confined Environments with Limited Privileges'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</si>
  <si>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'Confined Environments with Limited Privileges'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</si>
  <si>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ESBIT-SI-07(12)</t>
  </si>
  <si>
    <t xml:space="preserve">SI-07(12)</t>
  </si>
  <si>
    <t xml:space="preserve">Software, Firmware, and Information Integrity | Integrity Verification</t>
  </si>
  <si>
    <t xml:space="preserve">Enhances SI-07 (Software, Firmware, and Information Integrity): configure and enforce 'Integrity Verification'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</si>
  <si>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'Integrity Verification'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</si>
  <si>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ESBIT-SI-07(13)</t>
  </si>
  <si>
    <t xml:space="preserve">SI-07(13)</t>
  </si>
  <si>
    <t xml:space="preserve">Software, Firmware, and Information Integrity | Code Execution in Protected Environments</t>
  </si>
  <si>
    <t xml:space="preserve">Enhances SI-07 (Software, Firmware, and Information Integrity): configure and enforce 'Code Execution in Protected Environments'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</si>
  <si>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'Code Execution in Protected Environments'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</si>
  <si>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ESBIT-SI-07(14)</t>
  </si>
  <si>
    <t xml:space="preserve">SI-07(14)</t>
  </si>
  <si>
    <t xml:space="preserve">Software, Firmware, and Information Integrity | Binary or Machine Executable Code</t>
  </si>
  <si>
    <t xml:space="preserve">Enhances SI-07 (Software, Firmware, and Information Integrity): configure and enforce 'Binary or Machine Executable Code'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</si>
  <si>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'Binary or Machine Executable Code'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</si>
  <si>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ESBIT-SI-07(15)</t>
  </si>
  <si>
    <t xml:space="preserve">SI-07(15)</t>
  </si>
  <si>
    <t xml:space="preserve">Software, Firmware, and Information Integrity | Code Authentication</t>
  </si>
  <si>
    <t xml:space="preserve">Enhances SI-07 (Software, Firmware, and Information Integrity): configure and enforce 'Code Authentication'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</si>
  <si>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'Code Authentication'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</si>
  <si>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ESBIT-SI-07(16)</t>
  </si>
  <si>
    <t xml:space="preserve">SI-07(16)</t>
  </si>
  <si>
    <t xml:space="preserve">Software, Firmware, and Information Integrity | Time Limit on Process Execution Without Supervision</t>
  </si>
  <si>
    <t xml:space="preserve">Enhances SI-07 (Software, Firmware, and Information Integrity): configure and enforce 'Time Limit on Process Execution Without Supervision'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</si>
  <si>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'Time Limit on Process Execution Without Supervision'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</si>
  <si>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ESBIT-SI-07(17)</t>
  </si>
  <si>
    <t xml:space="preserve">SI-07(17)</t>
  </si>
  <si>
    <t xml:space="preserve">Software, Firmware, and Information Integrity | Runtime Application Self-protection</t>
  </si>
  <si>
    <t xml:space="preserve">Enhances SI-07 (Software, Firmware, and Information Integrity): configure and enforce 'Runtime Application Self-protection' in addition to the base setting, keep it consistent across applicable systems and document approved exceptions. Base scope: Enable file integrity monitoring, secure boot, code signing and firmware integrity checks</t>
  </si>
  <si>
    <t xml:space="preserve">ส่วนขยายของ SI-07: กำหนดค่าและบังคับใช้ 'Runtime Application Self-protection' เพิ่มเติมจากค่าพื้นฐาน ให้สอดคล้องทุกระบบที่เกี่ยวข้อง และบันทึกข้อยกเว้น - เปิดใช้ File Integrity Monitoring, Secure Boot, Code Signing และตรวจ Integrity ของ Firmware</t>
  </si>
  <si>
    <t xml:space="preserve">ESBIT-SI-08</t>
  </si>
  <si>
    <t xml:space="preserve">SI-08</t>
  </si>
  <si>
    <t xml:space="preserve">Spam Protection</t>
  </si>
  <si>
    <t xml:space="preserve">Configure email gateway anti-spam and anti-phishing with automatic rule updates</t>
  </si>
  <si>
    <t xml:space="preserve">ตั้งค่า Email Gateway ป้องกันสแปม/ฟิชชิงพร้อมอัปเดตกฎอัตโนมัติ</t>
  </si>
  <si>
    <t xml:space="preserve">ESBIT-SI-08(01)</t>
  </si>
  <si>
    <t xml:space="preserve">SI-08(01)</t>
  </si>
  <si>
    <t xml:space="preserve">Spam Protection | Central Management</t>
  </si>
  <si>
    <t xml:space="preserve">Enhances SI-08 (Spam Protection): configure and enforce 'Central Management' in addition to the base setting, keep it consistent across applicable systems and document approved exceptions. Base scope: Configure email gateway anti-spam and anti-phishing with automatic rule updates</t>
  </si>
  <si>
    <t xml:space="preserve">ส่วนขยายของ SI-08: กำหนดค่าและบังคับใช้ 'Central Management' เพิ่มเติมจากค่าพื้นฐาน ให้สอดคล้องทุกระบบที่เกี่ยวข้อง และบันทึกข้อยกเว้น - ตั้งค่า Email Gateway ป้องกันสแปม/ฟิชชิงพร้อมอัปเดตกฎอัตโนมัติ</t>
  </si>
  <si>
    <t xml:space="preserve">ESBIT-SI-08(02)</t>
  </si>
  <si>
    <t xml:space="preserve">SI-08(02)</t>
  </si>
  <si>
    <t xml:space="preserve">Spam Protection | Automatic Updates</t>
  </si>
  <si>
    <t xml:space="preserve">Enhances SI-08 (Spam Protection): configure and enforce 'Automatic Updates' in addition to the base setting, keep it consistent across applicable systems and document approved exceptions. Base scope: Configure email gateway anti-spam and anti-phishing with automatic rule updates</t>
  </si>
  <si>
    <t xml:space="preserve">ส่วนขยายของ SI-08: กำหนดค่าและบังคับใช้ 'Automatic Updates' เพิ่มเติมจากค่าพื้นฐาน ให้สอดคล้องทุกระบบที่เกี่ยวข้อง และบันทึกข้อยกเว้น - ตั้งค่า Email Gateway ป้องกันสแปม/ฟิชชิงพร้อมอัปเดตกฎอัตโนมัติ</t>
  </si>
  <si>
    <t xml:space="preserve">ESBIT-SI-08(03)</t>
  </si>
  <si>
    <t xml:space="preserve">SI-08(03)</t>
  </si>
  <si>
    <t xml:space="preserve">Spam Protection | Continuous Learning Capabilities</t>
  </si>
  <si>
    <t xml:space="preserve">Enhances SI-08 (Spam Protection): configure and enforce 'Continuous Learning Capabilities' in addition to the base setting, keep it consistent across applicable systems and document approved exceptions. Base scope: Configure email gateway anti-spam and anti-phishing with automatic rule updates</t>
  </si>
  <si>
    <t xml:space="preserve">ส่วนขยายของ SI-08: กำหนดค่าและบังคับใช้ 'Continuous Learning Capabilities' เพิ่มเติมจากค่าพื้นฐาน ให้สอดคล้องทุกระบบที่เกี่ยวข้อง และบันทึกข้อยกเว้น - ตั้งค่า Email Gateway ป้องกันสแปม/ฟิชชิงพร้อมอัปเดตกฎอัตโนมัติ</t>
  </si>
  <si>
    <t xml:space="preserve">ESBIT-SI-10</t>
  </si>
  <si>
    <t xml:space="preserve">SI-10</t>
  </si>
  <si>
    <t xml:space="preserve">Information Input Validation</t>
  </si>
  <si>
    <t xml:space="preserve">Configure input validation, parameterized queries and WAF rules against injection and malformed input</t>
  </si>
  <si>
    <t xml:space="preserve">ตั้งค่า Input Validation, Parameterized Query และ WAF ป้องกัน Injection และข้อมูลผิดรูป</t>
  </si>
  <si>
    <t xml:space="preserve">ESBIT-SI-10(01)</t>
  </si>
  <si>
    <t xml:space="preserve">SI-10(01)</t>
  </si>
  <si>
    <t xml:space="preserve">Information Input Validation | Manual Override</t>
  </si>
  <si>
    <t xml:space="preserve">Enhances SI-10 (Information Input Validation): configure and enforce 'Manual Override' in addition to the base setting, keep it consistent across applicable systems and document approved exceptions. Base scope: Configure input validation, parameterized queries and WAF rules against injection and malformed input</t>
  </si>
  <si>
    <t xml:space="preserve">ส่วนขยายของ SI-10: กำหนดค่าและบังคับใช้ 'Manual Override' เพิ่มเติมจากค่าพื้นฐาน ให้สอดคล้องทุกระบบที่เกี่ยวข้อง และบันทึกข้อยกเว้น - ตั้งค่า Input Validation, Parameterized Query และ WAF ป้องกัน Injection และข้อมูลผิดรูป</t>
  </si>
  <si>
    <t xml:space="preserve">ESBIT-SI-10(02)</t>
  </si>
  <si>
    <t xml:space="preserve">SI-10(02)</t>
  </si>
  <si>
    <t xml:space="preserve">Information Input Validation | Review and Resolve Errors</t>
  </si>
  <si>
    <t xml:space="preserve">Enhances SI-10 (Information Input Validation): configure and enforce 'Review and Resolve Errors' in addition to the base setting, keep it consistent across applicable systems and document approved exceptions. Base scope: Configure input validation, parameterized queries and WAF rules against injection and malformed input</t>
  </si>
  <si>
    <t xml:space="preserve">ส่วนขยายของ SI-10: กำหนดค่าและบังคับใช้ 'Review and Resolve Errors' เพิ่มเติมจากค่าพื้นฐาน ให้สอดคล้องทุกระบบที่เกี่ยวข้อง และบันทึกข้อยกเว้น - ตั้งค่า Input Validation, Parameterized Query และ WAF ป้องกัน Injection และข้อมูลผิดรูป</t>
  </si>
  <si>
    <t xml:space="preserve">ESBIT-SI-10(03)</t>
  </si>
  <si>
    <t xml:space="preserve">SI-10(03)</t>
  </si>
  <si>
    <t xml:space="preserve">Information Input Validation | Predictable Behavior</t>
  </si>
  <si>
    <t xml:space="preserve">Enhances SI-10 (Information Input Validation): configure and enforce 'Predictable Behavior' in addition to the base setting, keep it consistent across applicable systems and document approved exceptions. Base scope: Configure input validation, parameterized queries and WAF rules against injection and malformed input</t>
  </si>
  <si>
    <t xml:space="preserve">ส่วนขยายของ SI-10: กำหนดค่าและบังคับใช้ 'Predictable Behavior' เพิ่มเติมจากค่าพื้นฐาน ให้สอดคล้องทุกระบบที่เกี่ยวข้อง และบันทึกข้อยกเว้น - ตั้งค่า Input Validation, Parameterized Query และ WAF ป้องกัน Injection และข้อมูลผิดรูป</t>
  </si>
  <si>
    <t xml:space="preserve">ESBIT-SI-10(04)</t>
  </si>
  <si>
    <t xml:space="preserve">SI-10(04)</t>
  </si>
  <si>
    <t xml:space="preserve">Information Input Validation | Timing Interactions</t>
  </si>
  <si>
    <t xml:space="preserve">Enhances SI-10 (Information Input Validation): configure and enforce 'Timing Interactions' in addition to the base setting, keep it consistent across applicable systems and document approved exceptions. Base scope: Configure input validation, parameterized queries and WAF rules against injection and malformed input</t>
  </si>
  <si>
    <t xml:space="preserve">ส่วนขยายของ SI-10: กำหนดค่าและบังคับใช้ 'Timing Interactions' เพิ่มเติมจากค่าพื้นฐาน ให้สอดคล้องทุกระบบที่เกี่ยวข้อง และบันทึกข้อยกเว้น - ตั้งค่า Input Validation, Parameterized Query และ WAF ป้องกัน Injection และข้อมูลผิดรูป</t>
  </si>
  <si>
    <t xml:space="preserve">ESBIT-SI-10(05)</t>
  </si>
  <si>
    <t xml:space="preserve">SI-10(05)</t>
  </si>
  <si>
    <t xml:space="preserve">Information Input Validation | Restrict Inputs to Trusted Sources and Approved Formats</t>
  </si>
  <si>
    <t xml:space="preserve">Enhances SI-10 (Information Input Validation): configure and enforce 'Restrict Inputs to Trusted Sources and Approved Formats' in addition to the base setting, keep it consistent across applicable systems and document approved exceptions. Base scope: Configure input validation, parameterized queries and WAF rules against injection and malformed input</t>
  </si>
  <si>
    <t xml:space="preserve">ส่วนขยายของ SI-10: กำหนดค่าและบังคับใช้ 'Restrict Inputs to Trusted Sources and Approved Formats' เพิ่มเติมจากค่าพื้นฐาน ให้สอดคล้องทุกระบบที่เกี่ยวข้อง และบันทึกข้อยกเว้น - ตั้งค่า Input Validation, Parameterized Query และ WAF ป้องกัน Injection และข้อมูลผิดรูป</t>
  </si>
  <si>
    <t xml:space="preserve">ESBIT-SI-10(06)</t>
  </si>
  <si>
    <t xml:space="preserve">SI-10(06)</t>
  </si>
  <si>
    <t xml:space="preserve">Information Input Validation | Injection Prevention</t>
  </si>
  <si>
    <t xml:space="preserve">Enhances SI-10 (Information Input Validation): configure and enforce 'Injection Prevention' in addition to the base setting, keep it consistent across applicable systems and document approved exceptions. Base scope: Configure input validation, parameterized queries and WAF rules against injection and malformed input</t>
  </si>
  <si>
    <t xml:space="preserve">ส่วนขยายของ SI-10: กำหนดค่าและบังคับใช้ 'Injection Prevention' เพิ่มเติมจากค่าพื้นฐาน ให้สอดคล้องทุกระบบที่เกี่ยวข้อง และบันทึกข้อยกเว้น - ตั้งค่า Input Validation, Parameterized Query และ WAF ป้องกัน Injection และข้อมูลผิดรูป</t>
  </si>
  <si>
    <t xml:space="preserve">ESBIT-SI-11</t>
  </si>
  <si>
    <t xml:space="preserve">SI-11</t>
  </si>
  <si>
    <t xml:space="preserve">Error Handling</t>
  </si>
  <si>
    <t xml:space="preserve">Configure generic error messages that do not expose system details and log detailed errors internally</t>
  </si>
  <si>
    <t xml:space="preserve">ตั้งค่าข้อความ Error ทั่วไปไม่เปิดเผยรายละเอียดระบบ และบันทึกรายละเอียดภายใน</t>
  </si>
  <si>
    <t xml:space="preserve">ESBIT-SI-12</t>
  </si>
  <si>
    <t xml:space="preserve">SI-12</t>
  </si>
  <si>
    <t xml:space="preserve">Information Management and Retention</t>
  </si>
  <si>
    <t xml:space="preserve">Configure data retention, archiving and deletion schedules for information handled by systems</t>
  </si>
  <si>
    <t xml:space="preserve">ตั้งค่าระยะเวลาเก็บ ตารางลบ และ Archive ข้อมูลของระบบ</t>
  </si>
  <si>
    <t xml:space="preserve">ESBIT-SI-12(01)</t>
  </si>
  <si>
    <t xml:space="preserve">SI-12(01)</t>
  </si>
  <si>
    <t xml:space="preserve">Information Management and Retention | Limit Personally Identifiable Information Elements</t>
  </si>
  <si>
    <t xml:space="preserve">Enhances SI-12 (Information Management and Retention): configure and enforce 'Limit Personally Identifiable Information Elements' in addition to the base setting, keep it consistent across applicable systems and document approved exceptions. Base scope: Configure data retention, archiving and deletion schedules for information handled by systems</t>
  </si>
  <si>
    <t xml:space="preserve">ส่วนขยายของ SI-12: กำหนดค่าและบังคับใช้ 'Limit Personally Identifiable Information Elements' เพิ่มเติมจากค่าพื้นฐาน ให้สอดคล้องทุกระบบที่เกี่ยวข้อง และบันทึกข้อยกเว้น - ตั้งค่าระยะเวลาเก็บ ตารางลบ และ Archive ข้อมูลของระบบ</t>
  </si>
  <si>
    <t xml:space="preserve">ESBIT-SI-12(02)</t>
  </si>
  <si>
    <t xml:space="preserve">SI-12(02)</t>
  </si>
  <si>
    <t xml:space="preserve">Information Management and Retention | Minimize Personally Identifiable Information in Testing, Training, and Research</t>
  </si>
  <si>
    <t xml:space="preserve">Enhances SI-12 (Information Management and Retention): configure and enforce 'Minimize Personally Identifiable Information in Testing, Training, and Research' in addition to the base setting, keep it consistent across applicable systems and document approved exceptions. Base scope: Configure data retention, archiving and deletion schedules for information handled by systems</t>
  </si>
  <si>
    <t xml:space="preserve">ส่วนขยายของ SI-12: กำหนดค่าและบังคับใช้ 'Minimize Personally Identifiable Information in Testing, Training, and Research' เพิ่มเติมจากค่าพื้นฐาน ให้สอดคล้องทุกระบบที่เกี่ยวข้อง และบันทึกข้อยกเว้น - ตั้งค่าระยะเวลาเก็บ ตารางลบ และ Archive ข้อมูลของระบบ</t>
  </si>
  <si>
    <t xml:space="preserve">ESBIT-SI-12(03)</t>
  </si>
  <si>
    <t xml:space="preserve">SI-12(03)</t>
  </si>
  <si>
    <t xml:space="preserve">Information Management and Retention | Information Disposal</t>
  </si>
  <si>
    <t xml:space="preserve">Enhances SI-12 (Information Management and Retention): configure and enforce 'Information Disposal' in addition to the base setting, keep it consistent across applicable systems and document approved exceptions. Base scope: Configure data retention, archiving and deletion schedules for information handled by systems</t>
  </si>
  <si>
    <t xml:space="preserve">ส่วนขยายของ SI-12: กำหนดค่าและบังคับใช้ 'Information Disposal' เพิ่มเติมจากค่าพื้นฐาน ให้สอดคล้องทุกระบบที่เกี่ยวข้อง และบันทึกข้อยกเว้น - ตั้งค่าระยะเวลาเก็บ ตารางลบ และ Archive ข้อมูลของระบบ</t>
  </si>
  <si>
    <t xml:space="preserve">ESBIT-SI-13</t>
  </si>
  <si>
    <t xml:space="preserve">SI-13</t>
  </si>
  <si>
    <t xml:space="preserve">Predictable Failure Prevention</t>
  </si>
  <si>
    <t xml:space="preserve">Monitor component health and replace before predicted failure</t>
  </si>
  <si>
    <t xml:space="preserve">เฝ้าระวังสุขภาพคอมโพเนนต์และเปลี่ยนก่อนความล้มเหลว</t>
  </si>
  <si>
    <t xml:space="preserve">ESBIT-SI-13(01)</t>
  </si>
  <si>
    <t xml:space="preserve">SI-13(01)</t>
  </si>
  <si>
    <t xml:space="preserve">Predictable Failure Prevention | Transferring Component Responsibilities</t>
  </si>
  <si>
    <t xml:space="preserve">Enhances SI-13 (Predictable Failure Prevention): configure and enforce 'Transferring Component Responsibilities' in addition to the base setting, keep it consistent across applicable systems and document approved exceptions. Base scope: Monitor component health and replace before predicted failure</t>
  </si>
  <si>
    <t xml:space="preserve">ส่วนขยายของ SI-13: กำหนดค่าและบังคับใช้ 'Transferring Component Responsibilities' เพิ่มเติมจากค่าพื้นฐาน ให้สอดคล้องทุกระบบที่เกี่ยวข้อง และบันทึกข้อยกเว้น - เฝ้าระวังสุขภาพคอมโพเนนต์และเปลี่ยนก่อนความล้มเหลว</t>
  </si>
  <si>
    <t xml:space="preserve">ESBIT-SI-13(03)</t>
  </si>
  <si>
    <t xml:space="preserve">SI-13(03)</t>
  </si>
  <si>
    <t xml:space="preserve">Predictable Failure Prevention | Manual Transfer Between Components</t>
  </si>
  <si>
    <t xml:space="preserve">Enhances SI-13 (Predictable Failure Prevention): configure and enforce 'Manual Transfer Between Components' in addition to the base setting, keep it consistent across applicable systems and document approved exceptions. Base scope: Monitor component health and replace before predicted failure</t>
  </si>
  <si>
    <t xml:space="preserve">ส่วนขยายของ SI-13: กำหนดค่าและบังคับใช้ 'Manual Transfer Between Components' เพิ่มเติมจากค่าพื้นฐาน ให้สอดคล้องทุกระบบที่เกี่ยวข้อง และบันทึกข้อยกเว้น - เฝ้าระวังสุขภาพคอมโพเนนต์และเปลี่ยนก่อนความล้มเหลว</t>
  </si>
  <si>
    <t xml:space="preserve">ESBIT-SI-13(04)</t>
  </si>
  <si>
    <t xml:space="preserve">SI-13(04)</t>
  </si>
  <si>
    <t xml:space="preserve">Predictable Failure Prevention | Standby Component Installation and Notification</t>
  </si>
  <si>
    <t xml:space="preserve">Enhances SI-13 (Predictable Failure Prevention): configure and enforce 'Standby Component Installation and Notification' in addition to the base setting, keep it consistent across applicable systems and document approved exceptions. Base scope: Monitor component health and replace before predicted failure</t>
  </si>
  <si>
    <t xml:space="preserve">ส่วนขยายของ SI-13: กำหนดค่าและบังคับใช้ 'Standby Component Installation and Notification' เพิ่มเติมจากค่าพื้นฐาน ให้สอดคล้องทุกระบบที่เกี่ยวข้อง และบันทึกข้อยกเว้น - เฝ้าระวังสุขภาพคอมโพเนนต์และเปลี่ยนก่อนความล้มเหลว</t>
  </si>
  <si>
    <t xml:space="preserve">ESBIT-SI-13(05)</t>
  </si>
  <si>
    <t xml:space="preserve">SI-13(05)</t>
  </si>
  <si>
    <t xml:space="preserve">Predictable Failure Prevention | Failover Capability</t>
  </si>
  <si>
    <t xml:space="preserve">Enhances SI-13 (Predictable Failure Prevention): configure and enforce 'Failover Capability' in addition to the base setting, keep it consistent across applicable systems and document approved exceptions. Base scope: Monitor component health and replace before predicted failure</t>
  </si>
  <si>
    <t xml:space="preserve">ส่วนขยายของ SI-13: กำหนดค่าและบังคับใช้ 'Failover Capability' เพิ่มเติมจากค่าพื้นฐาน ให้สอดคล้องทุกระบบที่เกี่ยวข้อง และบันทึกข้อยกเว้น - เฝ้าระวังสุขภาพคอมโพเนนต์และเปลี่ยนก่อนความล้มเหลว</t>
  </si>
  <si>
    <t xml:space="preserve">ESBIT-SI-14</t>
  </si>
  <si>
    <t xml:space="preserve">SI-14</t>
  </si>
  <si>
    <t xml:space="preserve">Non-persistence</t>
  </si>
  <si>
    <t xml:space="preserve">Use non-persistent or refreshed system components and connections</t>
  </si>
  <si>
    <t xml:space="preserve">ใช้คอมโพเนนต์/การเชื่อมต่อแบบไม่ถาวรและรีเฟรชสม่ำเสมอ</t>
  </si>
  <si>
    <t xml:space="preserve">ESBIT-SI-14(01)</t>
  </si>
  <si>
    <t xml:space="preserve">SI-14(01)</t>
  </si>
  <si>
    <t xml:space="preserve">Non-persistence | Refresh from Trusted Sources</t>
  </si>
  <si>
    <t xml:space="preserve">Enhances SI-14 (Non-persistence): configure and enforce 'Refresh from Trusted Sources' in addition to the base setting, keep it consistent across applicable systems and document approved exceptions. Base scope: Use non-persistent or refreshed system components and connections</t>
  </si>
  <si>
    <t xml:space="preserve">ส่วนขยายของ SI-14: กำหนดค่าและบังคับใช้ 'Refresh from Trusted Sources' เพิ่มเติมจากค่าพื้นฐาน ให้สอดคล้องทุกระบบที่เกี่ยวข้อง และบันทึกข้อยกเว้น - ใช้คอมโพเนนต์/การเชื่อมต่อแบบไม่ถาวรและรีเฟรชสม่ำเสมอ</t>
  </si>
  <si>
    <t xml:space="preserve">ESBIT-SI-14(02)</t>
  </si>
  <si>
    <t xml:space="preserve">SI-14(02)</t>
  </si>
  <si>
    <t xml:space="preserve">Non-persistence | Non-persistent Information</t>
  </si>
  <si>
    <t xml:space="preserve">Enhances SI-14 (Non-persistence): configure and enforce 'Non-persistent Information' in addition to the base setting, keep it consistent across applicable systems and document approved exceptions. Base scope: Use non-persistent or refreshed system components and connections</t>
  </si>
  <si>
    <t xml:space="preserve">ส่วนขยายของ SI-14: กำหนดค่าและบังคับใช้ 'Non-persistent Information' เพิ่มเติมจากค่าพื้นฐาน ให้สอดคล้องทุกระบบที่เกี่ยวข้อง และบันทึกข้อยกเว้น - ใช้คอมโพเนนต์/การเชื่อมต่อแบบไม่ถาวรและรีเฟรชสม่ำเสมอ</t>
  </si>
  <si>
    <t xml:space="preserve">ESBIT-SI-14(03)</t>
  </si>
  <si>
    <t xml:space="preserve">SI-14(03)</t>
  </si>
  <si>
    <t xml:space="preserve">Non-persistence | Non-persistent Connectivity</t>
  </si>
  <si>
    <t xml:space="preserve">Enhances SI-14 (Non-persistence): configure and enforce 'Non-persistent Connectivity' in addition to the base setting, keep it consistent across applicable systems and document approved exceptions. Base scope: Use non-persistent or refreshed system components and connections</t>
  </si>
  <si>
    <t xml:space="preserve">ส่วนขยายของ SI-14: กำหนดค่าและบังคับใช้ 'Non-persistent Connectivity' เพิ่มเติมจากค่าพื้นฐาน ให้สอดคล้องทุกระบบที่เกี่ยวข้อง และบันทึกข้อยกเว้น - ใช้คอมโพเนนต์/การเชื่อมต่อแบบไม่ถาวรและรีเฟรชสม่ำเสมอ</t>
  </si>
  <si>
    <t xml:space="preserve">ESBIT-SI-15</t>
  </si>
  <si>
    <t xml:space="preserve">SI-15</t>
  </si>
  <si>
    <t xml:space="preserve">Information Output Filtering</t>
  </si>
  <si>
    <t xml:space="preserve">Validate and filter system output to prevent data leakage</t>
  </si>
  <si>
    <t xml:space="preserve">ตรวจสอบและกรองผลลัพธ์จากระบบเพื่อป้องกันข้อมูลรั่ว</t>
  </si>
  <si>
    <t xml:space="preserve">ESBIT-SI-16</t>
  </si>
  <si>
    <t xml:space="preserve">SI-16</t>
  </si>
  <si>
    <t xml:space="preserve">Memory Protection</t>
  </si>
  <si>
    <t xml:space="preserve">Enable DEP/NX, ASLR and memory protection features on operating systems</t>
  </si>
  <si>
    <t xml:space="preserve">เปิดใช้ DEP/NX, ASLR และคุณสมบัติป้องกันหน่วยความจำบน OS</t>
  </si>
  <si>
    <t xml:space="preserve">ESBIT-SI-17</t>
  </si>
  <si>
    <t xml:space="preserve">SI-17</t>
  </si>
  <si>
    <t xml:space="preserve">Fail-safe Procedures</t>
  </si>
  <si>
    <t xml:space="preserve">Implement defined fail-safe procedures upon failure conditions</t>
  </si>
  <si>
    <t xml:space="preserve">กำหนดขั้นตอน Fail-safe เมื่อเกิดความล้มเหลว</t>
  </si>
  <si>
    <t xml:space="preserve">ESBIT-SI-18</t>
  </si>
  <si>
    <t xml:space="preserve">SI-18</t>
  </si>
  <si>
    <t xml:space="preserve">Personally Identifiable Information Quality Operations</t>
  </si>
  <si>
    <t xml:space="preserve">Not a direct configuration item - maintaining accuracy and relevance of PII</t>
  </si>
  <si>
    <t xml:space="preserve">ไม่ใช่การ config โดยตรง - การรักษาความถูกต้องของ PII</t>
  </si>
  <si>
    <t xml:space="preserve">ESBIT-SI-18(01)</t>
  </si>
  <si>
    <t xml:space="preserve">SI-18(01)</t>
  </si>
  <si>
    <t xml:space="preserve">Personally Identifiable Information Quality Operations | Automation Support</t>
  </si>
  <si>
    <t xml:space="preserve">Not a direct configuration item - enhancement of SI-18 (Personally Identifiable Information Quality Operations): 'Automation Support'; maintaining accuracy and relevance of PII.</t>
  </si>
  <si>
    <t xml:space="preserve">ไม่ใช่การ config โดยตรง - ส่วนขยายของ SI-18: 'Automation Support' - การรักษาความถูกต้องของ PII</t>
  </si>
  <si>
    <t xml:space="preserve">ESBIT-SI-18(02)</t>
  </si>
  <si>
    <t xml:space="preserve">SI-18(02)</t>
  </si>
  <si>
    <t xml:space="preserve">Personally Identifiable Information Quality Operations | Data Tags</t>
  </si>
  <si>
    <t xml:space="preserve">Not a direct configuration item - enhancement of SI-18 (Personally Identifiable Information Quality Operations): 'Data Tags'; maintaining accuracy and relevance of PII.</t>
  </si>
  <si>
    <t xml:space="preserve">ไม่ใช่การ config โดยตรง - ส่วนขยายของ SI-18: 'Data Tags' - การรักษาความถูกต้องของ PII</t>
  </si>
  <si>
    <t xml:space="preserve">ESBIT-SI-18(03)</t>
  </si>
  <si>
    <t xml:space="preserve">SI-18(03)</t>
  </si>
  <si>
    <t xml:space="preserve">Personally Identifiable Information Quality Operations | Collection</t>
  </si>
  <si>
    <t xml:space="preserve">Not a direct configuration item - enhancement of SI-18 (Personally Identifiable Information Quality Operations): 'Collection'; maintaining accuracy and relevance of PII.</t>
  </si>
  <si>
    <t xml:space="preserve">ไม่ใช่การ config โดยตรง - ส่วนขยายของ SI-18: 'Collection' - การรักษาความถูกต้องของ PII</t>
  </si>
  <si>
    <t xml:space="preserve">ESBIT-SI-18(04)</t>
  </si>
  <si>
    <t xml:space="preserve">SI-18(04)</t>
  </si>
  <si>
    <t xml:space="preserve">Personally Identifiable Information Quality Operations | Individual Requests</t>
  </si>
  <si>
    <t xml:space="preserve">Not a direct configuration item - enhancement of SI-18 (Personally Identifiable Information Quality Operations): 'Individual Requests'; maintaining accuracy and relevance of PII.</t>
  </si>
  <si>
    <t xml:space="preserve">ไม่ใช่การ config โดยตรง - ส่วนขยายของ SI-18: 'Individual Requests' - การรักษาความถูกต้องของ PII</t>
  </si>
  <si>
    <t xml:space="preserve">ESBIT-SI-18(05)</t>
  </si>
  <si>
    <t xml:space="preserve">SI-18(05)</t>
  </si>
  <si>
    <t xml:space="preserve">Personally Identifiable Information Quality Operations | Notice of Correction or Deletion</t>
  </si>
  <si>
    <t xml:space="preserve">Not a direct configuration item - enhancement of SI-18 (Personally Identifiable Information Quality Operations): 'Notice of Correction or Deletion'; maintaining accuracy and relevance of PII.</t>
  </si>
  <si>
    <t xml:space="preserve">ไม่ใช่การ config โดยตรง - ส่วนขยายของ SI-18: 'Notice of Correction or Deletion' - การรักษาความถูกต้องของ PII</t>
  </si>
  <si>
    <t xml:space="preserve">ESBIT-SI-19</t>
  </si>
  <si>
    <t xml:space="preserve">SI-19</t>
  </si>
  <si>
    <t xml:space="preserve">De-identification</t>
  </si>
  <si>
    <t xml:space="preserve">Apply de-identification (masking, hashing, tokenization) to datasets</t>
  </si>
  <si>
    <t xml:space="preserve">ใช้การลบเอกลักษณ์ (Masking, Hashing, Tokenization) กับชุดข้อมูล</t>
  </si>
  <si>
    <t xml:space="preserve">ESBIT-SI-19(01)</t>
  </si>
  <si>
    <t xml:space="preserve">SI-19(01)</t>
  </si>
  <si>
    <t xml:space="preserve">De-identification | Collection</t>
  </si>
  <si>
    <t xml:space="preserve">Enhances SI-19 (De-identification): configure and enforce 'Collection' in addition to the base setting, keep it consistent across applicable systems and document approved exceptions. Base scope: Apply de-identification (masking, hashing, tokenization) to datasets</t>
  </si>
  <si>
    <t xml:space="preserve">ส่วนขยายของ SI-19: กำหนดค่าและบังคับใช้ 'Collection' เพิ่มเติมจากค่าพื้นฐาน ให้สอดคล้องทุกระบบที่เกี่ยวข้อง และบันทึกข้อยกเว้น - ใช้การลบเอกลักษณ์ (Masking, Hashing, Tokenization) กับชุดข้อมูล</t>
  </si>
  <si>
    <t xml:space="preserve">ESBIT-SI-19(02)</t>
  </si>
  <si>
    <t xml:space="preserve">SI-19(02)</t>
  </si>
  <si>
    <t xml:space="preserve">De-identification | Archiving</t>
  </si>
  <si>
    <t xml:space="preserve">Enhances SI-19 (De-identification): configure and enforce 'Archiving' in addition to the base setting, keep it consistent across applicable systems and document approved exceptions. Base scope: Apply de-identification (masking, hashing, tokenization) to datasets</t>
  </si>
  <si>
    <t xml:space="preserve">ส่วนขยายของ SI-19: กำหนดค่าและบังคับใช้ 'Archiving' เพิ่มเติมจากค่าพื้นฐาน ให้สอดคล้องทุกระบบที่เกี่ยวข้อง และบันทึกข้อยกเว้น - ใช้การลบเอกลักษณ์ (Masking, Hashing, Tokenization) กับชุดข้อมูล</t>
  </si>
  <si>
    <t xml:space="preserve">ESBIT-SI-19(03)</t>
  </si>
  <si>
    <t xml:space="preserve">SI-19(03)</t>
  </si>
  <si>
    <t xml:space="preserve">De-identification | Release</t>
  </si>
  <si>
    <t xml:space="preserve">Enhances SI-19 (De-identification): configure and enforce 'Release' in addition to the base setting, keep it consistent across applicable systems and document approved exceptions. Base scope: Apply de-identification (masking, hashing, tokenization) to datasets</t>
  </si>
  <si>
    <t xml:space="preserve">ส่วนขยายของ SI-19: กำหนดค่าและบังคับใช้ 'Release' เพิ่มเติมจากค่าพื้นฐาน ให้สอดคล้องทุกระบบที่เกี่ยวข้อง และบันทึกข้อยกเว้น - ใช้การลบเอกลักษณ์ (Masking, Hashing, Tokenization) กับชุดข้อมูล</t>
  </si>
  <si>
    <t xml:space="preserve">ESBIT-SI-19(04)</t>
  </si>
  <si>
    <t xml:space="preserve">SI-19(04)</t>
  </si>
  <si>
    <t xml:space="preserve">De-identification | Removal, Masking, Encryption, Hashing, or Replacement of Direct Identifiers</t>
  </si>
  <si>
    <t xml:space="preserve">Enhances SI-19 (De-identification): configure and enforce 'Removal, Masking, Encryption, Hashing, or Replacement of Direct Identifiers' in addition to the base setting, keep it consistent across applicable systems and document approved exceptions. Base scope: Apply de-identification (masking, hashing, tokenization) to datasets</t>
  </si>
  <si>
    <t xml:space="preserve">ส่วนขยายของ SI-19: กำหนดค่าและบังคับใช้ 'Removal, Masking, Encryption, Hashing, or Replacement of Direct Identifiers' เพิ่มเติมจากค่าพื้นฐาน ให้สอดคล้องทุกระบบที่เกี่ยวข้อง และบันทึกข้อยกเว้น - ใช้การลบเอกลักษณ์ (Masking, Hashing, Tokenization) กับชุดข้อมูล</t>
  </si>
  <si>
    <t xml:space="preserve">ESBIT-SI-19(05)</t>
  </si>
  <si>
    <t xml:space="preserve">SI-19(05)</t>
  </si>
  <si>
    <t xml:space="preserve">De-identification | Statistical Disclosure Control</t>
  </si>
  <si>
    <t xml:space="preserve">Enhances SI-19 (De-identification): configure and enforce 'Statistical Disclosure Control' in addition to the base setting, keep it consistent across applicable systems and document approved exceptions. Base scope: Apply de-identification (masking, hashing, tokenization) to datasets</t>
  </si>
  <si>
    <t xml:space="preserve">ส่วนขยายของ SI-19: กำหนดค่าและบังคับใช้ 'Statistical Disclosure Control' เพิ่มเติมจากค่าพื้นฐาน ให้สอดคล้องทุกระบบที่เกี่ยวข้อง และบันทึกข้อยกเว้น - ใช้การลบเอกลักษณ์ (Masking, Hashing, Tokenization) กับชุดข้อมูล</t>
  </si>
  <si>
    <t xml:space="preserve">ESBIT-SI-19(06)</t>
  </si>
  <si>
    <t xml:space="preserve">SI-19(06)</t>
  </si>
  <si>
    <t xml:space="preserve">De-identification | Differential Privacy</t>
  </si>
  <si>
    <t xml:space="preserve">Enhances SI-19 (De-identification): configure and enforce 'Differential Privacy' in addition to the base setting, keep it consistent across applicable systems and document approved exceptions. Base scope: Apply de-identification (masking, hashing, tokenization) to datasets</t>
  </si>
  <si>
    <t xml:space="preserve">ส่วนขยายของ SI-19: กำหนดค่าและบังคับใช้ 'Differential Privacy' เพิ่มเติมจากค่าพื้นฐาน ให้สอดคล้องทุกระบบที่เกี่ยวข้อง และบันทึกข้อยกเว้น - ใช้การลบเอกลักษณ์ (Masking, Hashing, Tokenization) กับชุดข้อมูล</t>
  </si>
  <si>
    <t xml:space="preserve">ESBIT-SI-19(07)</t>
  </si>
  <si>
    <t xml:space="preserve">SI-19(07)</t>
  </si>
  <si>
    <t xml:space="preserve">De-identification | Validated Algorithms and Software</t>
  </si>
  <si>
    <t xml:space="preserve">Enhances SI-19 (De-identification): configure and enforce 'Validated Algorithms and Software' in addition to the base setting, keep it consistent across applicable systems and document approved exceptions. Base scope: Apply de-identification (masking, hashing, tokenization) to datasets</t>
  </si>
  <si>
    <t xml:space="preserve">ส่วนขยายของ SI-19: กำหนดค่าและบังคับใช้ 'Validated Algorithms and Software' เพิ่มเติมจากค่าพื้นฐาน ให้สอดคล้องทุกระบบที่เกี่ยวข้อง และบันทึกข้อยกเว้น - ใช้การลบเอกลักษณ์ (Masking, Hashing, Tokenization) กับชุดข้อมูล</t>
  </si>
  <si>
    <t xml:space="preserve">ESBIT-SI-19(08)</t>
  </si>
  <si>
    <t xml:space="preserve">SI-19(08)</t>
  </si>
  <si>
    <t xml:space="preserve">De-identification | Motivated Intruder</t>
  </si>
  <si>
    <t xml:space="preserve">Enhances SI-19 (De-identification): configure and enforce 'Motivated Intruder' in addition to the base setting, keep it consistent across applicable systems and document approved exceptions. Base scope: Apply de-identification (masking, hashing, tokenization) to datasets</t>
  </si>
  <si>
    <t xml:space="preserve">ส่วนขยายของ SI-19: กำหนดค่าและบังคับใช้ 'Motivated Intruder' เพิ่มเติมจากค่าพื้นฐาน ให้สอดคล้องทุกระบบที่เกี่ยวข้อง และบันทึกข้อยกเว้น - ใช้การลบเอกลักษณ์ (Masking, Hashing, Tokenization) กับชุดข้อมูล</t>
  </si>
  <si>
    <t xml:space="preserve">ESBIT-SI-20</t>
  </si>
  <si>
    <t xml:space="preserve">SI-20</t>
  </si>
  <si>
    <t xml:space="preserve">Tainting</t>
  </si>
  <si>
    <t xml:space="preserve">Embed data or capabilities to detect exfiltration of information</t>
  </si>
  <si>
    <t xml:space="preserve">ฝังข้อมูล/กลไกเพื่อตรวจจับการนำข้อมูลออกโดยมิชอบ</t>
  </si>
  <si>
    <t xml:space="preserve">ESBIT-SI-21</t>
  </si>
  <si>
    <t xml:space="preserve">SI-21</t>
  </si>
  <si>
    <t xml:space="preserve">Information Refresh</t>
  </si>
  <si>
    <t xml:space="preserve">Refresh information at defined frequencies to reduce stale data risk</t>
  </si>
  <si>
    <t xml:space="preserve">รีเฟรชข้อมูลตามรอบเพื่อลดความเสี่ยงข้อมูลล้าสมัย</t>
  </si>
  <si>
    <t xml:space="preserve">ESBIT-SI-22</t>
  </si>
  <si>
    <t xml:space="preserve">SI-22</t>
  </si>
  <si>
    <t xml:space="preserve">Information Diversity</t>
  </si>
  <si>
    <t xml:space="preserve">Use alternative information sources for critical functions</t>
  </si>
  <si>
    <t xml:space="preserve">ใช้แหล่งข้อมูลทางเลือกสำหรับฟังก์ชันสำคัญ</t>
  </si>
  <si>
    <t xml:space="preserve">ESBIT-SI-23</t>
  </si>
  <si>
    <t xml:space="preserve">SI-23</t>
  </si>
  <si>
    <t xml:space="preserve">Information Fragmentation</t>
  </si>
  <si>
    <t xml:space="preserve">Fragment information across systems to limit exposure</t>
  </si>
  <si>
    <t xml:space="preserve">กระจายข้อมูลเป็นส่วนๆ ข้ามระบบเพื่อจำกัดความเสียหาย</t>
  </si>
  <si>
    <t xml:space="preserve">Cloud</t>
  </si>
  <si>
    <t xml:space="preserve">ESBIT-SR-01</t>
  </si>
  <si>
    <t xml:space="preserve">SR-01</t>
  </si>
  <si>
    <t xml:space="preserve">Supply Chain Risk Management (SR)</t>
  </si>
  <si>
    <t xml:space="preserve">Not a direct configuration item - define, document, review and communicate the Supply Chain Risk Management policy and procedures that drive the technical configuration standards.</t>
  </si>
  <si>
    <t xml:space="preserve">ไม่ใช่การ config โดยตรง - กำหนด จัดทำเอกสาร และทบทวนนโยบาย/ขั้นตอนของหมวดการบริหารความเสี่ยงห่วงโซ่อุปทาน เพื่อเป็นฐานในการกำหนดมาตรฐาน Config</t>
  </si>
  <si>
    <t xml:space="preserve">ESBIT-SR-02</t>
  </si>
  <si>
    <t xml:space="preserve">SR-02</t>
  </si>
  <si>
    <t xml:space="preserve">Supply Chain Risk Management Plan</t>
  </si>
  <si>
    <t xml:space="preserve">GV.SC-03</t>
  </si>
  <si>
    <t xml:space="preserve">Cybersecurity supply chain risk management is integrated into cybersecurity and enterprise risk management, risk assessment, and improvement processes</t>
  </si>
  <si>
    <t xml:space="preserve">Not a direct configuration item - supply chain risk management plan</t>
  </si>
  <si>
    <t xml:space="preserve">ไม่ใช่การ config โดยตรง - แผนบริหารความเสี่ยงห่วงโซ่อุปทาน</t>
  </si>
  <si>
    <t xml:space="preserve">ESBIT-SR-02(01)</t>
  </si>
  <si>
    <t xml:space="preserve">SR-02(01)</t>
  </si>
  <si>
    <t xml:space="preserve">Supply Chain Risk Management Plan | Supply Chain Risk Management Team</t>
  </si>
  <si>
    <t xml:space="preserve">Not a direct configuration item - enhancement of SR-02 (Supply Chain Risk Management Plan): 'Supply Chain Risk Management Team'; supply chain risk management plan.</t>
  </si>
  <si>
    <t xml:space="preserve">ไม่ใช่การ config โดยตรง - ส่วนขยายของ SR-02: 'Supply Chain Risk Management Team' - แผนบริหารความเสี่ยงห่วงโซ่อุปทาน</t>
  </si>
  <si>
    <t xml:space="preserve">ESBIT-SR-03</t>
  </si>
  <si>
    <t xml:space="preserve">SR-03</t>
  </si>
  <si>
    <t xml:space="preserve">Supply Chain Controls and Processes</t>
  </si>
  <si>
    <t xml:space="preserve">Not a direct configuration item - supply chain controls in supplier contracts</t>
  </si>
  <si>
    <t xml:space="preserve">ไม่ใช่การ config โดยตรง - มาตรการห่วงโซ่อุปทานในสัญญาผู้ขาย</t>
  </si>
  <si>
    <t xml:space="preserve">ESBIT-SR-03(01)</t>
  </si>
  <si>
    <t xml:space="preserve">SR-03(01)</t>
  </si>
  <si>
    <t xml:space="preserve">Supply Chain Controls and Processes | Diverse Supply Base</t>
  </si>
  <si>
    <t xml:space="preserve">Not a direct configuration item - enhancement of SR-03 (Supply Chain Controls and Processes): 'Diverse Supply Base'; supply chain controls in supplier contracts.</t>
  </si>
  <si>
    <t xml:space="preserve">ไม่ใช่การ config โดยตรง - ส่วนขยายของ SR-03: 'Diverse Supply Base' - มาตรการห่วงโซ่อุปทานในสัญญาผู้ขาย</t>
  </si>
  <si>
    <t xml:space="preserve">ESBIT-SR-03(02)</t>
  </si>
  <si>
    <t xml:space="preserve">SR-03(02)</t>
  </si>
  <si>
    <t xml:space="preserve">Supply Chain Controls and Processes | Limitation of Harm</t>
  </si>
  <si>
    <t xml:space="preserve">Not a direct configuration item - enhancement of SR-03 (Supply Chain Controls and Processes): 'Limitation of Harm'; supply chain controls in supplier contracts.</t>
  </si>
  <si>
    <t xml:space="preserve">ไม่ใช่การ config โดยตรง - ส่วนขยายของ SR-03: 'Limitation of Harm' - มาตรการห่วงโซ่อุปทานในสัญญาผู้ขาย</t>
  </si>
  <si>
    <t xml:space="preserve">ESBIT-SR-03(03)</t>
  </si>
  <si>
    <t xml:space="preserve">SR-03(03)</t>
  </si>
  <si>
    <t xml:space="preserve">Supply Chain Controls and Processes | Sub-tier Flow Down</t>
  </si>
  <si>
    <t xml:space="preserve">Not a direct configuration item - enhancement of SR-03 (Supply Chain Controls and Processes): 'Sub-tier Flow Down'; supply chain controls in supplier contracts.</t>
  </si>
  <si>
    <t xml:space="preserve">ไม่ใช่การ config โดยตรง - ส่วนขยายของ SR-03: 'Sub-tier Flow Down' - มาตรการห่วงโซ่อุปทานในสัญญาผู้ขาย</t>
  </si>
  <si>
    <t xml:space="preserve">ESBIT-SR-04</t>
  </si>
  <si>
    <t xml:space="preserve">SR-04</t>
  </si>
  <si>
    <t xml:space="preserve">Provenance</t>
  </si>
  <si>
    <t xml:space="preserve">ID.RA-09</t>
  </si>
  <si>
    <t xml:space="preserve">The authenticity and integrity of hardware and software are assessed prior to acquisition and use</t>
  </si>
  <si>
    <t xml:space="preserve">Not a direct configuration item - tracking provenance and authenticity of components</t>
  </si>
  <si>
    <t xml:space="preserve">ไม่ใช่การ config โดยตรง - การติดตามที่มาและความถูกต้องของคอมโพเนนต์</t>
  </si>
  <si>
    <t xml:space="preserve">Third Party</t>
  </si>
  <si>
    <t xml:space="preserve">ESBIT-SR-04(01)</t>
  </si>
  <si>
    <t xml:space="preserve">SR-04(01)</t>
  </si>
  <si>
    <t xml:space="preserve">Provenance | Identity</t>
  </si>
  <si>
    <t xml:space="preserve">Not a direct configuration item - enhancement of SR-04 (Provenance): 'Identity'; tracking provenance and authenticity of components.</t>
  </si>
  <si>
    <t xml:space="preserve">ไม่ใช่การ config โดยตรง - ส่วนขยายของ SR-04: 'Identity' - การติดตามที่มาและความถูกต้องของคอมโพเนนต์</t>
  </si>
  <si>
    <t xml:space="preserve">ESBIT-SR-04(02)</t>
  </si>
  <si>
    <t xml:space="preserve">SR-04(02)</t>
  </si>
  <si>
    <t xml:space="preserve">Provenance | Track and Trace</t>
  </si>
  <si>
    <t xml:space="preserve">Not a direct configuration item - enhancement of SR-04 (Provenance): 'Track and Trace'; tracking provenance and authenticity of components.</t>
  </si>
  <si>
    <t xml:space="preserve">ไม่ใช่การ config โดยตรง - ส่วนขยายของ SR-04: 'Track and Trace' - การติดตามที่มาและความถูกต้องของคอมโพเนนต์</t>
  </si>
  <si>
    <t xml:space="preserve">ESBIT-SR-04(03)</t>
  </si>
  <si>
    <t xml:space="preserve">SR-04(03)</t>
  </si>
  <si>
    <t xml:space="preserve">Provenance | Validate as Genuine and Not Altered</t>
  </si>
  <si>
    <t xml:space="preserve">Not a direct configuration item - enhancement of SR-04 (Provenance): 'Validate as Genuine and Not Altered'; tracking provenance and authenticity of components.</t>
  </si>
  <si>
    <t xml:space="preserve">ไม่ใช่การ config โดยตรง - ส่วนขยายของ SR-04: 'Validate as Genuine and Not Altered' - การติดตามที่มาและความถูกต้องของคอมโพเนนต์</t>
  </si>
  <si>
    <t xml:space="preserve">ESBIT-SR-04(04)</t>
  </si>
  <si>
    <t xml:space="preserve">SR-04(04)</t>
  </si>
  <si>
    <t xml:space="preserve">Provenance | Supply Chain Integrity - Pedigree</t>
  </si>
  <si>
    <t xml:space="preserve">Not a direct configuration item - enhancement of SR-04 (Provenance): 'Supply Chain Integrity - Pedigree'; tracking provenance and authenticity of components.</t>
  </si>
  <si>
    <t xml:space="preserve">ไม่ใช่การ config โดยตรง - ส่วนขยายของ SR-04: 'Supply Chain Integrity - Pedigree' - การติดตามที่มาและความถูกต้องของคอมโพเนนต์</t>
  </si>
  <si>
    <t xml:space="preserve">ESBIT-SR-05</t>
  </si>
  <si>
    <t xml:space="preserve">SR-05</t>
  </si>
  <si>
    <t xml:space="preserve">Acquisition Strategies, Tools, and Methods</t>
  </si>
  <si>
    <t xml:space="preserve">GV.SC-06</t>
  </si>
  <si>
    <t xml:space="preserve">Planning and due diligence are performed to reduce risks before entering into formal supplier or other third-party relationships</t>
  </si>
  <si>
    <t xml:space="preserve">Not a direct configuration item - acquisition strategies to reduce supply chain risk</t>
  </si>
  <si>
    <t xml:space="preserve">ไม่ใช่การ config โดยตรง - กลยุทธ์จัดหาเพื่อลดความเสี่ยงห่วงโซ่อุปทาน</t>
  </si>
  <si>
    <t xml:space="preserve">ESBIT-SR-05(01)</t>
  </si>
  <si>
    <t xml:space="preserve">SR-05(01)</t>
  </si>
  <si>
    <t xml:space="preserve">Acquisition Strategies, Tools, and Methods | Adequate Supply</t>
  </si>
  <si>
    <t xml:space="preserve">Not a direct configuration item - enhancement of SR-05 (Acquisition Strategies, Tools, and Methods): 'Adequate Supply'; acquisition strategies to reduce supply chain risk.</t>
  </si>
  <si>
    <t xml:space="preserve">ไม่ใช่การ config โดยตรง - ส่วนขยายของ SR-05: 'Adequate Supply' - กลยุทธ์จัดหาเพื่อลดความเสี่ยงห่วงโซ่อุปทาน</t>
  </si>
  <si>
    <t xml:space="preserve">ESBIT-SR-05(02)</t>
  </si>
  <si>
    <t xml:space="preserve">SR-05(02)</t>
  </si>
  <si>
    <t xml:space="preserve">Acquisition Strategies, Tools, and Methods | Assessments Prior to Selection, Acceptance, Modification, or Update</t>
  </si>
  <si>
    <t xml:space="preserve">Not a direct configuration item - enhancement of SR-05 (Acquisition Strategies, Tools, and Methods): 'Assessments Prior to Selection, Acceptance, Modification, or Update'; acquisition strategies to reduce supply chain risk.</t>
  </si>
  <si>
    <t xml:space="preserve">ไม่ใช่การ config โดยตรง - ส่วนขยายของ SR-05: 'Assessments Prior to Selection, Acceptance, Modification, or Update' - กลยุทธ์จัดหาเพื่อลดความเสี่ยงห่วงโซ่อุปทาน</t>
  </si>
  <si>
    <t xml:space="preserve">ESBIT-SR-06</t>
  </si>
  <si>
    <t xml:space="preserve">SR-06</t>
  </si>
  <si>
    <t xml:space="preserve">Supplier Assessments and Reviews</t>
  </si>
  <si>
    <t xml:space="preserve">Not a direct configuration item - assessing and reviewing suppliers</t>
  </si>
  <si>
    <t xml:space="preserve">ไม่ใช่การ config โดยตรง - การประเมินและทบทวนผู้ขาย</t>
  </si>
  <si>
    <t xml:space="preserve">ESBIT-SR-06(01)</t>
  </si>
  <si>
    <t xml:space="preserve">SR-06(01)</t>
  </si>
  <si>
    <t xml:space="preserve">Supplier Assessments and Reviews | Testing and Analysis</t>
  </si>
  <si>
    <t xml:space="preserve">Not a direct configuration item - enhancement of SR-06 (Supplier Assessments and Reviews): 'Testing and Analysis'; assessing and reviewing suppliers.</t>
  </si>
  <si>
    <t xml:space="preserve">ไม่ใช่การ config โดยตรง - ส่วนขยายของ SR-06: 'Testing and Analysis' - การประเมินและทบทวนผู้ขาย</t>
  </si>
  <si>
    <t xml:space="preserve">ESBIT-SR-07</t>
  </si>
  <si>
    <t xml:space="preserve">SR-07</t>
  </si>
  <si>
    <t xml:space="preserve">Supply Chain Operations Security</t>
  </si>
  <si>
    <t xml:space="preserve">Not a direct configuration item - operations security for supply chain activities</t>
  </si>
  <si>
    <t xml:space="preserve">ไม่ใช่การ config โดยตรง - ความมั่นคงปลอดภัยการปฏิบัติงานของห่วงโซ่อุปทาน</t>
  </si>
  <si>
    <t xml:space="preserve">ESBIT-SR-08</t>
  </si>
  <si>
    <t xml:space="preserve">SR-08</t>
  </si>
  <si>
    <t xml:space="preserve">Notification Agreements</t>
  </si>
  <si>
    <t xml:space="preserve">GV.SC-08</t>
  </si>
  <si>
    <t xml:space="preserve">Relevant suppliers and other third parties are included in incident planning, response, and recovery activities</t>
  </si>
  <si>
    <t xml:space="preserve">Not a direct configuration item - agreements to be notified of supply chain compromises</t>
  </si>
  <si>
    <t xml:space="preserve">ไม่ใช่การ config โดยตรง - ข้อตกลงแจ้งเตือนเมื่อห่วงโซ่อุปทานถูกโจมตี</t>
  </si>
  <si>
    <t xml:space="preserve">ESBIT-SR-09</t>
  </si>
  <si>
    <t xml:space="preserve">SR-09</t>
  </si>
  <si>
    <t xml:space="preserve">Tamper Resistance and Detection</t>
  </si>
  <si>
    <t xml:space="preserve">Configure tamper-evident seals and detection for hardware and firmware</t>
  </si>
  <si>
    <t xml:space="preserve">ตั้งค่า Tamper-evident/การตรวจจับการแก้ไขฮาร์ดแวร์และ Firmware</t>
  </si>
  <si>
    <t xml:space="preserve">ESBIT-SR-09(01)</t>
  </si>
  <si>
    <t xml:space="preserve">SR-09(01)</t>
  </si>
  <si>
    <t xml:space="preserve">Tamper Resistance and Detection | Multiple Stages of System Development Life Cycle</t>
  </si>
  <si>
    <t xml:space="preserve">Enhances SR-09 (Tamper Resistance and Detection): configure and enforce 'Multiple Stages of System Development Life Cycle' in addition to the base setting, keep it consistent across applicable systems and document approved exceptions. Base scope: Configure tamper-evident seals and detection for hardware and firmware</t>
  </si>
  <si>
    <t xml:space="preserve">ส่วนขยายของ SR-09: กำหนดค่าและบังคับใช้ 'Multiple Stages of System Development Life Cycle' เพิ่มเติมจากค่าพื้นฐาน ให้สอดคล้องทุกระบบที่เกี่ยวข้อง และบันทึกข้อยกเว้น - ตั้งค่า Tamper-evident/การตรวจจับการแก้ไขฮาร์ดแวร์และ Firmware</t>
  </si>
  <si>
    <t xml:space="preserve">ESBIT-SR-10</t>
  </si>
  <si>
    <t xml:space="preserve">SR-10</t>
  </si>
  <si>
    <t xml:space="preserve">Inspection of Systems or Components</t>
  </si>
  <si>
    <t xml:space="preserve">Not a direct configuration item - inspecting systems and components for tampering</t>
  </si>
  <si>
    <t xml:space="preserve">ไม่ใช่การ config โดยตรง - การตรวจสอบระบบและคอมโพเนนต์ว่าถูกแก้ไขหรือไม่</t>
  </si>
  <si>
    <t xml:space="preserve">ESBIT-SR-11</t>
  </si>
  <si>
    <t xml:space="preserve">SR-11</t>
  </si>
  <si>
    <t xml:space="preserve">Component Authenticity</t>
  </si>
  <si>
    <t xml:space="preserve">Detect and prevent counterfeit components via verification and scanning</t>
  </si>
  <si>
    <t xml:space="preserve">ตรวจจับและป้องกันคอมโพเนนต์ปลอมด้วยการตรวจสอบและสแกน</t>
  </si>
  <si>
    <t xml:space="preserve">Network, Physical, Third Party</t>
  </si>
  <si>
    <t xml:space="preserve">ESBIT-SR-11(01)</t>
  </si>
  <si>
    <t xml:space="preserve">SR-11(01)</t>
  </si>
  <si>
    <t xml:space="preserve">Component Authenticity | Training</t>
  </si>
  <si>
    <t xml:space="preserve">Enhances SR-11 (Component Authenticity): configure and enforce 'Training' in addition to the base setting, keep it consistent across applicable systems and document approved exceptions. Base scope: Detect and prevent counterfeit components via verification and scanning</t>
  </si>
  <si>
    <t xml:space="preserve">ส่วนขยายของ SR-11: กำหนดค่าและบังคับใช้ 'Training' เพิ่มเติมจากค่าพื้นฐาน ให้สอดคล้องทุกระบบที่เกี่ยวข้อง และบันทึกข้อยกเว้น - ตรวจจับและป้องกันคอมโพเนนต์ปลอมด้วยการตรวจสอบและสแกน</t>
  </si>
  <si>
    <t xml:space="preserve">ESBIT-SR-11(02)</t>
  </si>
  <si>
    <t xml:space="preserve">SR-11(02)</t>
  </si>
  <si>
    <t xml:space="preserve">Component Authenticity | Configuration Control for Component Service and Repair</t>
  </si>
  <si>
    <t xml:space="preserve">Enhances SR-11 (Component Authenticity): configure and enforce 'Configuration Control for Component Service and Repair' in addition to the base setting, keep it consistent across applicable systems and document approved exceptions. Base scope: Detect and prevent counterfeit components via verification and scanning</t>
  </si>
  <si>
    <t xml:space="preserve">ส่วนขยายของ SR-11: กำหนดค่าและบังคับใช้ 'Configuration Control for Component Service and Repair' เพิ่มเติมจากค่าพื้นฐาน ให้สอดคล้องทุกระบบที่เกี่ยวข้อง และบันทึกข้อยกเว้น - ตรวจจับและป้องกันคอมโพเนนต์ปลอมด้วยการตรวจสอบและสแกน</t>
  </si>
  <si>
    <t xml:space="preserve">ESBIT-SR-11(03)</t>
  </si>
  <si>
    <t xml:space="preserve">SR-11(03)</t>
  </si>
  <si>
    <t xml:space="preserve">Component Authenticity | Anti-counterfeit Scanning</t>
  </si>
  <si>
    <t xml:space="preserve">Enhances SR-11 (Component Authenticity): configure and enforce 'Anti-counterfeit Scanning' in addition to the base setting, keep it consistent across applicable systems and document approved exceptions. Base scope: Detect and prevent counterfeit components via verification and scanning</t>
  </si>
  <si>
    <t xml:space="preserve">ส่วนขยายของ SR-11: กำหนดค่าและบังคับใช้ 'Anti-counterfeit Scanning' เพิ่มเติมจากค่าพื้นฐาน ให้สอดคล้องทุกระบบที่เกี่ยวข้อง และบันทึกข้อยกเว้น - ตรวจจับและป้องกันคอมโพเนนต์ปลอมด้วยการตรวจสอบและสแกน</t>
  </si>
  <si>
    <t xml:space="preserve">ESBIT-SR-12</t>
  </si>
  <si>
    <t xml:space="preserve">SR-12</t>
  </si>
  <si>
    <t xml:space="preserve">Component Disposal</t>
  </si>
  <si>
    <t xml:space="preserve">Dispose of components using secure sanitization and destruction</t>
  </si>
  <si>
    <t xml:space="preserve">กำจัดคอมโพเนนต์ด้วยการลบข้อมูลและทำลายอย่างปลอดภัย</t>
  </si>
  <si>
    <t xml:space="preserve">Total</t>
  </si>
  <si>
    <t xml:space="preserve">IT Domain Summary - counts of control families, base controls and control IDs (a control can appear in more than one domain)</t>
  </si>
  <si>
    <t xml:space="preserve">Families</t>
  </si>
  <si>
    <t xml:space="preserve">Base Controls</t>
  </si>
  <si>
    <t xml:space="preserve">Control IDs (base + enhancements)</t>
  </si>
  <si>
    <t xml:space="preserve">Unique rows in register (all domains)</t>
  </si>
  <si>
    <t xml:space="preserve">Note: domain rows overlap, so they add up to more than the unique total.</t>
  </si>
  <si>
    <t xml:space="preserve">Scope and assignment note</t>
  </si>
  <si>
    <t xml:space="preserve">Routers, switches, firewalls, wireless and DNS/NTP. Baseline scope: AC, AU, CA, CM, CP (links), IA, IR, MA (remote), PL, RA, SA (unsupported devices), SC, SI, SR (authentic components).</t>
  </si>
  <si>
    <t xml:space="preserve">IaaS/PaaS/SaaS tenant and workload configuration. Baseline scope: AC, AU, CA, CM, CP, IA, IR, RA, SA, SC, SI, SR, plus MP-6, PL-8/9, PS-4/5.</t>
  </si>
  <si>
    <t xml:space="preserve">Account, authentication and privilege management (IAM, directory, SSO/MFA).</t>
  </si>
  <si>
    <t xml:space="preserve">Logging, SIEM, monitoring and detection tooling.</t>
  </si>
  <si>
    <t xml:space="preserve">Database engines, data stores and data-level protection.</t>
  </si>
  <si>
    <t xml:space="preserve">Applications and the operating-system/endpoint software layer (former Infrastructure and Endpoint items were placed here).</t>
  </si>
  <si>
    <t xml:space="preserve">Backup, DR, alternate sites and resilience.</t>
  </si>
  <si>
    <t xml:space="preserve">Policies, procedures, training, risk and privacy governance (non-technical controls).</t>
  </si>
  <si>
    <t xml:space="preserve">Facilities, data center, media, hardware maintenance and hardware supply chain.</t>
  </si>
  <si>
    <t xml:space="preserve">Suppliers, outsourced services and supply chain risk.</t>
  </si>
  <si>
    <t xml:space="preserve">Control IDs (base + enhancements) by domain and family</t>
  </si>
  <si>
    <t xml:space="preserve">AC</t>
  </si>
  <si>
    <t xml:space="preserve">AT</t>
  </si>
  <si>
    <t xml:space="preserve">AU</t>
  </si>
  <si>
    <t xml:space="preserve">CA</t>
  </si>
  <si>
    <t xml:space="preserve">CM</t>
  </si>
  <si>
    <t xml:space="preserve">CP</t>
  </si>
  <si>
    <t xml:space="preserve">IA</t>
  </si>
  <si>
    <t xml:space="preserve">IR</t>
  </si>
  <si>
    <t xml:space="preserve">MA</t>
  </si>
  <si>
    <t xml:space="preserve">MP</t>
  </si>
  <si>
    <t xml:space="preserve">PE</t>
  </si>
  <si>
    <t xml:space="preserve">PL</t>
  </si>
  <si>
    <t xml:space="preserve">PM</t>
  </si>
  <si>
    <t xml:space="preserve">PS</t>
  </si>
  <si>
    <t xml:space="preserve">PT</t>
  </si>
  <si>
    <t xml:space="preserve">RA</t>
  </si>
  <si>
    <t xml:space="preserve">SA</t>
  </si>
  <si>
    <t xml:space="preserve">SC</t>
  </si>
  <si>
    <t xml:space="preserve">SI</t>
  </si>
  <si>
    <t xml:space="preserve">SR</t>
  </si>
  <si>
    <t xml:space="preserve">Base controls only, by domain and family</t>
  </si>
  <si>
    <t xml:space="preserve">Configuration Baseline Summary - control families and control IDs used by each topic</t>
  </si>
  <si>
    <t xml:space="preserve">How to read: "Control families" = number of NIST SP 800-53 families (AC, AU, CA ...) that have at least one row in the topic baseline sheet. "Control IDs" = number of rows (base controls plus enhancements) in that sheet. All values are formulas that read the topic sheets. "Tagged in master" comes from Domain Summary (every control tagged to the domain in Config Baseline) so you can see how much of it each baseline keeps. Network and Cloud are the existing sheets; the other eight topics use the same core-item approach (only rows tagged to that domain, similar controls consolidated).</t>
  </si>
  <si>
    <t xml:space="preserve">Topic (IT Domain)</t>
  </si>
  <si>
    <t xml:space="preserve">Baseline sheet</t>
  </si>
  <si>
    <t xml:space="preserve">Control families used</t>
  </si>
  <si>
    <t xml:space="preserve">Control IDs used</t>
  </si>
  <si>
    <t xml:space="preserve">Families tagged in master</t>
  </si>
  <si>
    <t xml:space="preserve">IDs tagged in master</t>
  </si>
  <si>
    <t xml:space="preserve">IDs used as % of tagged</t>
  </si>
  <si>
    <t xml:space="preserve">Network Config Baseline</t>
  </si>
  <si>
    <t xml:space="preserve">Cloud Config Baseline</t>
  </si>
  <si>
    <t xml:space="preserve">Identity Config Baseline</t>
  </si>
  <si>
    <t xml:space="preserve">Monitoring Config Baseline</t>
  </si>
  <si>
    <t xml:space="preserve">Database Config Baseline</t>
  </si>
  <si>
    <t xml:space="preserve">Application Config Baseline</t>
  </si>
  <si>
    <t xml:space="preserve">Backup Config Baseline</t>
  </si>
  <si>
    <t xml:space="preserve">Governance Config Baseline</t>
  </si>
  <si>
    <t xml:space="preserve">Physical Config Baseline</t>
  </si>
  <si>
    <t xml:space="preserve">Third Party Config Baseline</t>
  </si>
  <si>
    <t xml:space="preserve">Total (topics overlap, so IDs add up)</t>
  </si>
  <si>
    <t xml:space="preserve">Unique control IDs across all topic sheets</t>
  </si>
  <si>
    <t xml:space="preserve">Note: a control ID can belong to several topics (for example AC-06 is in Identity, Database, Application and Cloud), so the Total row counts it once per topic and the row above counts it once overall.</t>
  </si>
  <si>
    <t xml:space="preserve">Cloud Configuration Baseline (NIST SP 800-53 Rev. 5 - core configuration items)</t>
  </si>
  <si>
    <t xml:space="preserve">Purpose: this sheet turns the NIST SP 800-53 Rev. 5 controls into the Cloud Configuration Baseline. It lists the settings that administrators must configure, implement, install or enable in a cloud environment (IaaS, PaaS and SaaS tenant configuration) so that every account, subscription or project meets the same security baseline.</t>
  </si>
  <si>
    <t xml:space="preserve">Scope (v3.1 update): the baseline covers the 11 families AC, AU, CA, CM, CP, IA, IR, RA, SA, SC, SI and now contains every control ID that Bitdefender GravityZone evaluated for this organisation (126 IDs, all present) plus the control IDs of the Cloud Baseline Groups sheet (164 representative IDs; 4 of them - AC-12(2), AC-12(3), AC-19(4), SA-15(13) - and SC-7(16) from Bitdefender are not in the Config Baseline master and were added with analyst-assigned Level and CSF mapping). Governance and process controls (policy -1 controls, training, testing, assessment) are now listed as Level 3 rows so the baseline can be compared one-to-one with those files.</t>
  </si>
  <si>
    <t xml:space="preserve">Selection principle: original rows are kept unchanged. Rows added from Bitdefender and Cloud Baseline Groups are marked in column M (Source of Row). Column K gives the Cloud Baseline Groups domain (9 domains), column L the Bitdefender result (PASS / FAIL / NOT EVALUATED) and column N the related control IDs that the Groups sheet folds into the same practice. Use the Cloud Coverage Check sheet to verify coverage.</t>
  </si>
  <si>
    <t xml:space="preserve">Supply chain (SR): SR controls are contractual and process based (supplier assessment, notification agreements) with no direct cloud setting, so they are not listed. The technical side of cloud provider risk is covered by SA-9, SA-9(5) and SA-9(6).</t>
  </si>
  <si>
    <t xml:space="preserve">Examples name AWS, Azure and Google Cloud features and are vendor-neutral guidance; adapt them to the platforms in use. Level is taken from the Config Baseline sheet (Level 1 = mandatory, Level 3 = lowest impact); for the five IDs missing in that sheet the Level is analyst-assigned. Text for added rows is analyst-written guidance and should be validated by the platform owners.</t>
  </si>
  <si>
    <t xml:space="preserve">Action Type legend</t>
  </si>
  <si>
    <t xml:space="preserve">Configure = set a parameter, policy or rule on an existing platform/service.</t>
  </si>
  <si>
    <t xml:space="preserve">Implement = build or deploy a mechanism, template, automation or architecture pattern.</t>
  </si>
  <si>
    <t xml:space="preserve">Install = install or onboard a tool, agent or scanner.</t>
  </si>
  <si>
    <t xml:space="preserve">Enable = turn on a feature, log source or detection service that is off by default.</t>
  </si>
  <si>
    <t xml:space="preserve">Coverage by control family</t>
  </si>
  <si>
    <t xml:space="preserve">Family</t>
  </si>
  <si>
    <t xml:space="preserve">Items</t>
  </si>
  <si>
    <t xml:space="preserve">Configuration focus</t>
  </si>
  <si>
    <t xml:space="preserve">Identity lifecycle, least privilege, root/admin protection, public-access blocking, private management access, cross-account trust.</t>
  </si>
  <si>
    <t xml:space="preserve">Organization-wide audit logging, immutable central log storage, alerts on logging failure, SIEM correlation, retention and time sync.</t>
  </si>
  <si>
    <t xml:space="preserve">Secure connectivity to on-premises and partners, continuous posture assessment (CSPM), documented internal flows.</t>
  </si>
  <si>
    <t xml:space="preserve">Golden images and IaC, pipeline-only change, CIS baseline enforcement with auto-remediation, allowed regions/services, asset inventory, signed artifacts.</t>
  </si>
  <si>
    <t xml:space="preserve">Cross-region replication, multi-AZ and DR failover, scheduled and immutable encrypted backups, automated restore.</t>
  </si>
  <si>
    <t xml:space="preserve">Unique identities, phishing-resistant MFA, SSO, secret rotation and no embedded secrets, workload identities, token validation.</t>
  </si>
  <si>
    <t xml:space="preserve">Automated containment playbooks, alert routing to tickets and notification channels.</t>
  </si>
  <si>
    <t xml:space="preserve">Vulnerability scanning for VMs, containers and images; authenticated scanning; hunting telemetry.</t>
  </si>
  <si>
    <t xml:space="preserve">Shared-responsibility service settings, data residency, customer-managed keys, secure pipeline and scanning, end-of-life blocking.</t>
  </si>
  <si>
    <t xml:space="preserve">DDoS/WAF, private subnets, default-deny and egress control, TLS, KMS key management, encryption at rest, DNSSEC, account isolation.</t>
  </si>
  <si>
    <t xml:space="preserve">Automated patching, EDR/malware scanning, managed threat detection, flow logs, integrity monitoring, secure boot, WAF managed rules.</t>
  </si>
  <si>
    <t xml:space="preserve">Action Type</t>
  </si>
  <si>
    <t xml:space="preserve">Baseline Setting to Configure</t>
  </si>
  <si>
    <t xml:space="preserve">Implementation Example</t>
  </si>
  <si>
    <t xml:space="preserve">Verification / Evidence</t>
  </si>
  <si>
    <t xml:space="preserve">Cloud Baseline Domain
(from Cloud Baseline Groups)</t>
  </si>
  <si>
    <t xml:space="preserve">Bitdefender Check
(All Accounts)</t>
  </si>
  <si>
    <t xml:space="preserve">Source of Row</t>
  </si>
  <si>
    <t xml:space="preserve">Related Control IDs
(Cloud Baseline Groups)</t>
  </si>
  <si>
    <t xml:space="preserve">Implement</t>
  </si>
  <si>
    <t xml:space="preserve">Publish an approved cloud access control policy covering account types, least privilege, remote access and review cycle; review it at least annually</t>
  </si>
  <si>
    <t xml:space="preserve">Policy in the GRC tool, linked to AWS Organizations SCPs, Azure Policy initiatives and GCP Organization Policies</t>
  </si>
  <si>
    <t xml:space="preserve">Signed policy with review date; policy-to-control mapping</t>
  </si>
  <si>
    <t xml:space="preserve">Level 3 - Low</t>
  </si>
  <si>
    <t xml:space="preserve">1. Identity &amp; Access Management (IAM Baseline)</t>
  </si>
  <si>
    <t xml:space="preserve">NOT EVALUATED</t>
  </si>
  <si>
    <t xml:space="preserve">Added - Groups</t>
  </si>
  <si>
    <t xml:space="preserve">AC-1, IA-1</t>
  </si>
  <si>
    <t xml:space="preserve">Configure</t>
  </si>
  <si>
    <t xml:space="preserve">Manage all human, service and break-glass identities in one central directory; require an owner, approval and expiry for each account; remove unused accounts and access keys</t>
  </si>
  <si>
    <t xml:space="preserve">AWS IAM Identity Center, Azure Entra ID, Google Cloud Identity; SCIM provisioning for joiner-mover-leaver</t>
  </si>
  <si>
    <t xml:space="preserve">IAM credential report; Entra access review results</t>
  </si>
  <si>
    <t xml:space="preserve">Level 1 - High</t>
  </si>
  <si>
    <t xml:space="preserve">FAIL</t>
  </si>
  <si>
    <t xml:space="preserve">Original v3</t>
  </si>
  <si>
    <t xml:space="preserve">AC-2</t>
  </si>
  <si>
    <t xml:space="preserve">Automate account creation, modification, disabling and removal for cloud users and service accounts from the authoritative HR/IdP source</t>
  </si>
  <si>
    <t xml:space="preserve">SCIM provisioning to AWS IAM Identity Center, Entra ID lifecycle workflows, Google Cloud Directory Sync</t>
  </si>
  <si>
    <t xml:space="preserve">Provisioning logs; no accounts outside the IdP</t>
  </si>
  <si>
    <t xml:space="preserve">Level 2 - Medium</t>
  </si>
  <si>
    <t xml:space="preserve">Added - Bitdefender + Groups</t>
  </si>
  <si>
    <t xml:space="preserve">AC-2(1), AC-2(4), AC-2(8)</t>
  </si>
  <si>
    <t xml:space="preserve">Create temporary and emergency accounts only with an expiry time and auto-disable them when it lapses; alert on every use</t>
  </si>
  <si>
    <t xml:space="preserve">Entra PIM time-bound eligible roles, AWS IAM roles with session duration and expiring credentials, GCP IAM Conditions on expiry</t>
  </si>
  <si>
    <t xml:space="preserve">Report of temporary accounts with expiry; alert log of break-glass use</t>
  </si>
  <si>
    <t xml:space="preserve">AC-2(2)</t>
  </si>
  <si>
    <t xml:space="preserve">Automatically disable accounts and access keys that are inactive beyond the policy period (for example 45-90 days)</t>
  </si>
  <si>
    <t xml:space="preserve">AWS IAM Access Analyzer unused access, Entra lifecycle workflows, GCP IAM Recommender</t>
  </si>
  <si>
    <t xml:space="preserve">Unused-credential report shows no stale credentials</t>
  </si>
  <si>
    <t xml:space="preserve">AC-2(3), AC-2(13)</t>
  </si>
  <si>
    <t xml:space="preserve">Enable</t>
  </si>
  <si>
    <t xml:space="preserve">Automatically log and notify security when accounts are created, modified, enabled, disabled or removed</t>
  </si>
  <si>
    <t xml:space="preserve">CloudTrail IAM events to EventBridge alert, Entra audit logs to Sentinel, GCP Admin Activity log-based alerts</t>
  </si>
  <si>
    <t xml:space="preserve">Alert rule export; sample alert for an account change</t>
  </si>
  <si>
    <t xml:space="preserve">Added - Bitdefender</t>
  </si>
  <si>
    <t xml:space="preserve">Force console and portal users to log out after the defined period of inactivity</t>
  </si>
  <si>
    <t xml:space="preserve">IAM Identity Center session duration, Entra Conditional Access sign-in frequency, GCP session length control</t>
  </si>
  <si>
    <t xml:space="preserve">Session policy export</t>
  </si>
  <si>
    <t xml:space="preserve">PASS</t>
  </si>
  <si>
    <t xml:space="preserve">AC-2(5)</t>
  </si>
  <si>
    <t xml:space="preserve">Grant privileged access dynamically and just-in-time using policy-based, time-limited elevation rather than standing rights</t>
  </si>
  <si>
    <t xml:space="preserve">Entra PIM, AWS IAM Identity Center temporary elevated access, GCP Privileged Access Manager</t>
  </si>
  <si>
    <t xml:space="preserve">Count of standing admin roles is near zero; PIM activation log</t>
  </si>
  <si>
    <t xml:space="preserve">AC-2(6), AC-2(7), AC-3(2), AC-4(10), AC-4(11), AC-6(2), AC-6(3), AC-6(5), AC-6(6), AC-6(10)</t>
  </si>
  <si>
    <t xml:space="preserve">Define and monitor privileged user accounts; keep them separate from daily-use accounts and review their membership regularly</t>
  </si>
  <si>
    <t xml:space="preserve">Dedicated admin identities, AWS IAM Access Analyzer, Entra privileged role access reviews</t>
  </si>
  <si>
    <t xml:space="preserve">Privileged account list; access review record</t>
  </si>
  <si>
    <t xml:space="preserve">Enforce usage conditions for cloud accounts such as trusted location, compliant device, time window and risk level</t>
  </si>
  <si>
    <t xml:space="preserve">Entra Conditional Access, AWS IAM policy conditions (aws:SourceIp, MFA age), GCP Access Context Manager</t>
  </si>
  <si>
    <t xml:space="preserve">Conditional access policy export; blocked sign-in report</t>
  </si>
  <si>
    <t xml:space="preserve">AC-2(11)</t>
  </si>
  <si>
    <t xml:space="preserve">Monitor cloud accounts for atypical usage (impossible travel, unusual API calls, mass data access) and report to the security team</t>
  </si>
  <si>
    <t xml:space="preserve">Entra ID Protection, Amazon GuardDuty IAM findings, Google Security Command Center, UEBA in SIEM</t>
  </si>
  <si>
    <t xml:space="preserve">Detection rule list; sample atypical-usage alert</t>
  </si>
  <si>
    <t xml:space="preserve">AC-2(12)</t>
  </si>
  <si>
    <t xml:space="preserve">Enforce role-based (and attribute-based where supported) authorization on every cloud resource; deny public access by default</t>
  </si>
  <si>
    <t xml:space="preserve">IAM policies with conditions, Azure RBAC and Policy, GCP Organization Policy constraints</t>
  </si>
  <si>
    <t xml:space="preserve">IAM policy simulator; CSPM public-resource finding</t>
  </si>
  <si>
    <t xml:space="preserve">AC-2(9), AC-3, AC-3(5), AC-3(7), AC-3(8), AC-3(9), AC-3(10), AC-3(11), AC-3(12), AC-3(13), AC-4, AC-4(1), AC-4(2), AC-4(3), AC-4(4), AC-4(5), AC-4(6), AC-4(7), AC-4(8), AC-4(9), AC-4(12), AC-4(13), AC-4(14), AC-4(15), AC-4(17), AC-4(19), AC-4(20), AC-4(21), AC-4(22), AC-4(23), AC-4(24), AC-4(26), AC-4(28), AC-4(29), AC-4(30), AC-4(31), AC-4(32), AC-6(1), AC-6(4), AC-6(7), AC-6(8), AC-7(3), AC-7(4), AC-9(2), AC-9(3), AC-9(4), AC-12(1), AC-14, AC-16, AC-16(1), AC-16(2), AC-16(3), AC-16(4), AC-16(5), AC-16(6), AC-16(7), AC-16(8), AC-16(9), AC-16(10), AC-17(3), AC-17(10), AC-19, AC-20(3), AC-21(1), AC-21(2), AC-24, AC-24(1), AC-24(2), AC-25</t>
  </si>
  <si>
    <t xml:space="preserve">Require dual authorization (two approvers) for critical actions such as deleting backups or logs, changing key policies and disabling security services</t>
  </si>
  <si>
    <t xml:space="preserve">AWS S3 MFA Delete and multi-party approval, Azure Resource Guard for Backup, GCP approval workflows in change pipeline</t>
  </si>
  <si>
    <t xml:space="preserve">Approval records for critical changes</t>
  </si>
  <si>
    <t xml:space="preserve">Where required, enforce mandatory access control labels on sensitive data and workloads independent of resource owner discretion</t>
  </si>
  <si>
    <t xml:space="preserve">Azure Purview sensitivity labels, AWS Organizations SCPs, GCP Organization Policy constraints, SELinux enforcing on VMs</t>
  </si>
  <si>
    <t xml:space="preserve">Policy export; label coverage report</t>
  </si>
  <si>
    <t xml:space="preserve">AC-3(3)</t>
  </si>
  <si>
    <t xml:space="preserve">Restrict owner-managed (discretionary) sharing so owners cannot grant broader access than policy permits</t>
  </si>
  <si>
    <t xml:space="preserve">S3 Block Public Access and bucket ownership controls, Azure storage shared-key disabled, GCP uniform bucket-level access</t>
  </si>
  <si>
    <t xml:space="preserve">No object-level ACL or unrestricted sharing in CSPM report</t>
  </si>
  <si>
    <t xml:space="preserve">AC-3(4)</t>
  </si>
  <si>
    <t xml:space="preserve">Implement role-based access control with named roles mapped to job functions; assign roles to groups, not individuals</t>
  </si>
  <si>
    <t xml:space="preserve">AWS IAM roles and IAM Identity Center permission sets, Azure RBAC built-in roles, GCP predefined roles</t>
  </si>
  <si>
    <t xml:space="preserve">Role-to-group matrix; no direct user assignments</t>
  </si>
  <si>
    <t xml:space="preserve">Use attribute-based access control (tags, department, data classification) so permissions follow resource and identity attributes</t>
  </si>
  <si>
    <t xml:space="preserve">AWS ABAC with tag conditions, Azure ABAC role assignment conditions, GCP IAM Conditions with resource tags</t>
  </si>
  <si>
    <t xml:space="preserve">Policy showing tag conditions; tag compliance report</t>
  </si>
  <si>
    <t xml:space="preserve">Provide a mechanism for individuals to access their own personal data held in cloud services where privacy law requires it</t>
  </si>
  <si>
    <t xml:space="preserve">Data subject request workflow with export from cloud data stores, Microsoft Priva or equivalent</t>
  </si>
  <si>
    <t xml:space="preserve">Completed data subject request log</t>
  </si>
  <si>
    <t xml:space="preserve">AC-3(14)</t>
  </si>
  <si>
    <t xml:space="preserve">Combine mandatory and discretionary access controls consistently so owner sharing never overrides the mandatory policy</t>
  </si>
  <si>
    <t xml:space="preserve">SCP or Organization Policy guardrails above resource-level IAM, sensitivity labels with sharing restrictions</t>
  </si>
  <si>
    <t xml:space="preserve">Guardrail policy export; test showing owner cannot bypass</t>
  </si>
  <si>
    <t xml:space="preserve">AC-3(15)</t>
  </si>
  <si>
    <t xml:space="preserve">Segment workloads into separate VPC/VNet and subnets by tier; control flows with security groups/NSGs and network ACLs</t>
  </si>
  <si>
    <t xml:space="preserve">AWS Security Groups and NACLs, Azure NSG/ASG, GCP VPC firewall rules</t>
  </si>
  <si>
    <t xml:space="preserve">VPC flow logs; reachability analyzer output</t>
  </si>
  <si>
    <t xml:space="preserve">Tag data and resources with security and privacy attributes (classification, owner, environment) and use them to control flows</t>
  </si>
  <si>
    <t xml:space="preserve">Cloud resource tags and labels enforced by tag policy, Azure Purview labels, AWS Macie classification</t>
  </si>
  <si>
    <t xml:space="preserve">Tag compliance report; classification coverage</t>
  </si>
  <si>
    <t xml:space="preserve">Separate information flows physically or logically by security domain using separate accounts, VPC/VNets and subnets</t>
  </si>
  <si>
    <t xml:space="preserve">Separate AWS accounts per environment, Azure landing-zone subscriptions, GCP projects and Shared VPC</t>
  </si>
  <si>
    <t xml:space="preserve">Network diagram; no peering between prod and non-prod without approval</t>
  </si>
  <si>
    <t xml:space="preserve">Sanitize or filter data when moving between security domains (for example remove secrets and personal data before copying prod data to test)</t>
  </si>
  <si>
    <t xml:space="preserve">Data masking pipeline, AWS Glue DataBrew masking, Azure Data Factory masking, DLP API de-identification</t>
  </si>
  <si>
    <t xml:space="preserve">Masking job logs; test dataset scan shows no personal data</t>
  </si>
  <si>
    <t xml:space="preserve">AC-4(25)</t>
  </si>
  <si>
    <t xml:space="preserve">Log the actions of cross-domain filtering and network filtering devices such as allowed and blocked flows</t>
  </si>
  <si>
    <t xml:space="preserve">VPC flow logs and Route 53 Resolver query logs, Azure Firewall logs, GCP firewall rules logging</t>
  </si>
  <si>
    <t xml:space="preserve">Log delivery confirmed in SIEM</t>
  </si>
  <si>
    <t xml:space="preserve">Apply redundant, independent content filtering layers at cross-domain transfers (for example WAF plus DLP plus malware scan)</t>
  </si>
  <si>
    <t xml:space="preserve">AWS WAF with Macie and GuardDuty Malware Protection for S3, Azure Front Door WAF with Purview DLP, GCP Cloud Armor with Cloud DLP</t>
  </si>
  <si>
    <t xml:space="preserve">Design document; filter chain test results</t>
  </si>
  <si>
    <t xml:space="preserve">AC-4(27)</t>
  </si>
  <si>
    <t xml:space="preserve">Separate administration, security audit, billing and approval roles so no single identity can both change and approve or delete logs</t>
  </si>
  <si>
    <t xml:space="preserve">Separate IAM roles and groups, Azure PIM eligible roles, AWS Organizations SCPs</t>
  </si>
  <si>
    <t xml:space="preserve">Role-to-user matrix; access review record</t>
  </si>
  <si>
    <t xml:space="preserve">AC-5</t>
  </si>
  <si>
    <t xml:space="preserve">Grant minimum permissions only; prohibit wildcard admin permissions; apply permission boundaries and just-in-time elevation</t>
  </si>
  <si>
    <t xml:space="preserve">IAM permission boundaries, Azure PIM, GCP IAM Conditions, Access Analyzer policy generation</t>
  </si>
  <si>
    <t xml:space="preserve">Count of full-admin principals; Access Analyzer findings</t>
  </si>
  <si>
    <t xml:space="preserve">AC-6</t>
  </si>
  <si>
    <t xml:space="preserve">Require administrators to use a separate non-privileged account for email, browsing and other non-security tasks</t>
  </si>
  <si>
    <t xml:space="preserve">Separate admin identities, Entra PIM eligible roles, privileged access workstations</t>
  </si>
  <si>
    <t xml:space="preserve">No admin role on mail-enabled daily accounts</t>
  </si>
  <si>
    <t xml:space="preserve">Allow privileged commands over the network only from approved management paths with MFA and logging</t>
  </si>
  <si>
    <t xml:space="preserve">AWS Session Manager with MFA, Azure Bastion and PIM, GCP IAP with context-aware access, IP allowlist for management APIs</t>
  </si>
  <si>
    <t xml:space="preserve">Management-plane access policy; session logs</t>
  </si>
  <si>
    <t xml:space="preserve">Restrict root/global-admin accounts: no daily use, hardware MFA, no access keys, vaulted break-glass credentials</t>
  </si>
  <si>
    <t xml:space="preserve">AWS root MFA and no keys, Azure emergency access accounts, GCP super admin controls</t>
  </si>
  <si>
    <t xml:space="preserve">Alert on every root/global admin sign-in</t>
  </si>
  <si>
    <t xml:space="preserve">Review all user and service privileges at a fixed interval (for example quarterly) and remove those no longer needed</t>
  </si>
  <si>
    <t xml:space="preserve">Entra access reviews, AWS IAM Access Analyzer unused access, GCP IAM Recommender</t>
  </si>
  <si>
    <t xml:space="preserve">Completed access review with removals</t>
  </si>
  <si>
    <t xml:space="preserve">Log all privileged actions and administrative API calls</t>
  </si>
  <si>
    <t xml:space="preserve">AWS CloudTrail management events, Azure Activity Log, GCP Admin Activity audit logs</t>
  </si>
  <si>
    <t xml:space="preserve">Trail enabled in all regions/subscriptions</t>
  </si>
  <si>
    <t xml:space="preserve">AC-6(9)</t>
  </si>
  <si>
    <t xml:space="preserve">Prevent non-privileged users from executing privileged functions such as changing security services, IAM or logging</t>
  </si>
  <si>
    <t xml:space="preserve">SCPs denying security service changes, Azure Policy deny effects, GCP Organization Policy, permission boundaries</t>
  </si>
  <si>
    <t xml:space="preserve">Policy simulator test denies action for standard user</t>
  </si>
  <si>
    <t xml:space="preserve">Apply sign-in throttling and lockout for repeated failed authentications at the identity provider</t>
  </si>
  <si>
    <t xml:space="preserve">Entra Smart Lockout, IdP lockout policy, Cloud Identity login challenges</t>
  </si>
  <si>
    <t xml:space="preserve">Lockout policy export</t>
  </si>
  <si>
    <t xml:space="preserve">AC-7, AC-9(1)</t>
  </si>
  <si>
    <t xml:space="preserve">Enforce remote wipe or lock of managed mobile devices after repeated failed unlock attempts where devices access cloud data</t>
  </si>
  <si>
    <t xml:space="preserve">Intune or Workspace ONE compliance policy, wipe after failed attempts</t>
  </si>
  <si>
    <t xml:space="preserve">Device compliance report</t>
  </si>
  <si>
    <t xml:space="preserve">AC-7(2)</t>
  </si>
  <si>
    <t xml:space="preserve">Display an approved system use notification before granting access to cloud consoles, bastion hosts and VMs</t>
  </si>
  <si>
    <t xml:space="preserve">Entra custom sign-in banner and terms of use, SSH and RDP login banner via image baseline</t>
  </si>
  <si>
    <t xml:space="preserve">Screenshot of banner; image configuration</t>
  </si>
  <si>
    <t xml:space="preserve">AC-8</t>
  </si>
  <si>
    <t xml:space="preserve">Show users the date and time of their last successful sign-in where the platform supports it</t>
  </si>
  <si>
    <t xml:space="preserve">Entra sign-in activity, OS last-login message on VMs, IdP last login display</t>
  </si>
  <si>
    <t xml:space="preserve">Sample login screen</t>
  </si>
  <si>
    <t xml:space="preserve">AC-9</t>
  </si>
  <si>
    <t xml:space="preserve">Limit concurrent sessions per privileged account and terminate extra sessions</t>
  </si>
  <si>
    <t xml:space="preserve">Entra Conditional Access session controls, IdP concurrent-session limit, bastion session limits</t>
  </si>
  <si>
    <t xml:space="preserve">Lock idle sessions on VMs, bastions and admin workstations after the defined idle time (for example 10-15 minutes)</t>
  </si>
  <si>
    <t xml:space="preserve">GPO or Intune screen lock, tmux or shell TMOUT on Linux, Azure Bastion idle timeout</t>
  </si>
  <si>
    <t xml:space="preserve">Configuration compliance report</t>
  </si>
  <si>
    <t xml:space="preserve">AC-11, AC-11(1)</t>
  </si>
  <si>
    <t xml:space="preserve">Set console and portal session lifetime and idle timeout (for example 15-60 minutes) and force re-authentication</t>
  </si>
  <si>
    <t xml:space="preserve">Entra Conditional Access session controls, IAM Identity Center session duration, GCP session length control</t>
  </si>
  <si>
    <t xml:space="preserve">Policy export</t>
  </si>
  <si>
    <t xml:space="preserve">ESBIT-AC-12(02)</t>
  </si>
  <si>
    <t xml:space="preserve">AC-12(02)</t>
  </si>
  <si>
    <t xml:space="preserve">Termination Message</t>
  </si>
  <si>
    <t xml:space="preserve">Show a message to the user when a session is terminated by policy</t>
  </si>
  <si>
    <t xml:space="preserve">IdP sign-out page message, application session-expired page</t>
  </si>
  <si>
    <t xml:space="preserve">Screenshot of termination message</t>
  </si>
  <si>
    <t xml:space="preserve">AC-12(2)</t>
  </si>
  <si>
    <t xml:space="preserve">ESBIT-AC-12(03)</t>
  </si>
  <si>
    <t xml:space="preserve">AC-12(03)</t>
  </si>
  <si>
    <t xml:space="preserve">Timeout Warning Message</t>
  </si>
  <si>
    <t xml:space="preserve">Warn the user before an idle session is terminated</t>
  </si>
  <si>
    <t xml:space="preserve">IdP or application idle-timeout warning prompt</t>
  </si>
  <si>
    <t xml:space="preserve">Screenshot of timeout warning</t>
  </si>
  <si>
    <t xml:space="preserve">AC-12(3)</t>
  </si>
  <si>
    <t xml:space="preserve">Remove direct public management access (SSH/RDP); provide access only through bastion, private endpoints or session manager with MFA</t>
  </si>
  <si>
    <t xml:space="preserve">AWS Systems Manager Session Manager, Azure Bastion, GCP IAP TCP forwarding</t>
  </si>
  <si>
    <t xml:space="preserve">No security rule allows 0.0.0.0/0 to ports 22/3389</t>
  </si>
  <si>
    <t xml:space="preserve">AC-17, AC-17(1), AC-17(6), AC-17(9)</t>
  </si>
  <si>
    <t xml:space="preserve">Monitor and control all remote access to cloud management and workloads with logging of connections</t>
  </si>
  <si>
    <t xml:space="preserve">AWS Session Manager logging, Azure Bastion session recording, GCP IAP audit logs, VPN logs to SIEM</t>
  </si>
  <si>
    <t xml:space="preserve">Remote session logs available; alert on unapproved paths</t>
  </si>
  <si>
    <t xml:space="preserve">Protect remote access sessions with strong encryption (TLS 1.2+ or IPsec/SSH with approved ciphers)</t>
  </si>
  <si>
    <t xml:space="preserve">TLS-only bastion and VPN gateway, IPsec with AES-256, disable legacy SSH ciphers</t>
  </si>
  <si>
    <t xml:space="preserve">Scan of management endpoints shows only approved protocols</t>
  </si>
  <si>
    <t xml:space="preserve">AC-17(2)</t>
  </si>
  <si>
    <t xml:space="preserve">Permit privileged commands and access via remote sessions only for documented operational needs and log them</t>
  </si>
  <si>
    <t xml:space="preserve">SSM Run Command with approval, PIM with justification, GCP OS Login with 2FA</t>
  </si>
  <si>
    <t xml:space="preserve">Privileged remote session log with justification</t>
  </si>
  <si>
    <t xml:space="preserve">AC-17(4)</t>
  </si>
  <si>
    <t xml:space="preserve">For cloud-managed wireless or IoT access to cloud resources, require authentication, encryption and authorized devices only</t>
  </si>
  <si>
    <t xml:space="preserve">Cloud-managed Wi-Fi with WPA3-Enterprise, AWS IoT Core certificates, Azure IoT Hub device identity</t>
  </si>
  <si>
    <t xml:space="preserve">Wireless configuration export; rogue device report</t>
  </si>
  <si>
    <t xml:space="preserve">AC-18, AC-18(1), AC-18(3), AC-18(4), AC-18(5)</t>
  </si>
  <si>
    <t xml:space="preserve">ESBIT-AC-19(04)</t>
  </si>
  <si>
    <t xml:space="preserve">AC-19(04)</t>
  </si>
  <si>
    <t xml:space="preserve">Access Control for Mobile Devices | Restrictions for Classified Information</t>
  </si>
  <si>
    <t xml:space="preserve">Where classified or highly regulated data is accessed from mobile devices, restrict access to approved managed devices and approved services only</t>
  </si>
  <si>
    <t xml:space="preserve">Conditional Access requiring compliant managed device, app protection policies, no access from unmanaged devices</t>
  </si>
  <si>
    <t xml:space="preserve">Conditional Access policy export</t>
  </si>
  <si>
    <t xml:space="preserve">AC-19(4)</t>
  </si>
  <si>
    <t xml:space="preserve">Require full-device or container-based encryption on mobile devices that access cloud data</t>
  </si>
  <si>
    <t xml:space="preserve">Intune or Jamf encryption compliance policy, managed app containers</t>
  </si>
  <si>
    <t xml:space="preserve">Device encryption compliance report</t>
  </si>
  <si>
    <t xml:space="preserve">AC-19(5)</t>
  </si>
  <si>
    <t xml:space="preserve">Restrict cross-account, cross-tenant and third-party access to approved principals with external ID and time limits</t>
  </si>
  <si>
    <t xml:space="preserve">AWS Organizations SCP and role trust policies, Entra cross-tenant access settings, GCP domain-restricted sharing</t>
  </si>
  <si>
    <t xml:space="preserve">Access Analyzer external-access findings</t>
  </si>
  <si>
    <t xml:space="preserve">AC-20, AC-20(2), AC-20(5)</t>
  </si>
  <si>
    <t xml:space="preserve">Allow use of external systems and personal devices to access cloud data only after verifying required controls are in place</t>
  </si>
  <si>
    <t xml:space="preserve">Conditional Access device compliance, Entra cross-tenant access settings, session-only browser access</t>
  </si>
  <si>
    <t xml:space="preserve">Policy export; external access review</t>
  </si>
  <si>
    <t xml:space="preserve">AC-20(1)</t>
  </si>
  <si>
    <t xml:space="preserve">Prohibit use of unapproved network-accessible or consumer storage services for organisation data</t>
  </si>
  <si>
    <t xml:space="preserve">CASB or DLP block of consumer cloud storage, Organization Policy domain-restricted sharing</t>
  </si>
  <si>
    <t xml:space="preserve">CASB or DLP block report</t>
  </si>
  <si>
    <t xml:space="preserve">AC-20(4)</t>
  </si>
  <si>
    <t xml:space="preserve">Restrict information sharing to authorized partners and approved sharing methods; require approval for external sharing</t>
  </si>
  <si>
    <t xml:space="preserve">S3 Access Points and bucket policies, Azure storage private endpoints, GCP domain-restricted sharing, SaaS external sharing limits</t>
  </si>
  <si>
    <t xml:space="preserve">External sharing report; approvals</t>
  </si>
  <si>
    <t xml:space="preserve">Block anonymous and public exposure of storage, snapshots, images and databases unless formally approved</t>
  </si>
  <si>
    <t xml:space="preserve">S3 Block Public Access, Azure storage public access disabled, GCP public access prevention</t>
  </si>
  <si>
    <t xml:space="preserve">CSPM public-exposure report is empty</t>
  </si>
  <si>
    <t xml:space="preserve">Protect against bulk data mining and harvesting with rate limits, query quotas and anomaly alerts on data services</t>
  </si>
  <si>
    <t xml:space="preserve">API Gateway throttling, AWS WAF rate rules, Azure API Management rate limits, BigQuery quotas and audit alerts</t>
  </si>
  <si>
    <t xml:space="preserve">Rate limit configuration; anomaly alert sample</t>
  </si>
  <si>
    <t xml:space="preserve">Publish an approved audit and logging policy covering scope, retention, protection and review; review it at least annually</t>
  </si>
  <si>
    <t xml:space="preserve">Policy in the GRC tool mapped to cloud logging standard</t>
  </si>
  <si>
    <t xml:space="preserve">Signed policy with review date</t>
  </si>
  <si>
    <t xml:space="preserve">2. Logging &amp; Monitoring</t>
  </si>
  <si>
    <t xml:space="preserve">AU-1</t>
  </si>
  <si>
    <t xml:space="preserve">Enable audit logging for management, data and network events in every account, subscription and project</t>
  </si>
  <si>
    <t xml:space="preserve">AWS CloudTrail organization trail, Azure diagnostic settings, GCP Cloud Audit Logs</t>
  </si>
  <si>
    <t xml:space="preserve">List of accounts with logging enabled</t>
  </si>
  <si>
    <t xml:space="preserve">AU-2, AU-4, AU-4(1), AU-5, AU-5(1), AU-5(2), AU-5(3), AU-5(4), AU-5(5), AU-6, AU-6(1), AU-6(7), AU-7, AU-9, AU-11, AU-12, AU-12(1), AU-12(2), AU-12(3), AU-16</t>
  </si>
  <si>
    <t xml:space="preserve">Ensure log records contain time, source, identity, action, resource and outcome in a structured (JSON) format</t>
  </si>
  <si>
    <t xml:space="preserve">Native audit log schemas; log agent parsing rules</t>
  </si>
  <si>
    <t xml:space="preserve">Sample record review</t>
  </si>
  <si>
    <t xml:space="preserve">AU-3, AU-3(1), AU-6(4), AU-6(5), AU-7(1), AU-8, AU-9(1), AU-9(2), AU-9(5), AU-9(7), AU-10, AU-10(1), AU-10(2), AU-10(3), AU-10(4), AU-11(1), AU-13, AU-13(1), AU-13(2), AU-13(3), AU-14, AU-14(1), AU-14(3), AU-16(1), AU-16(2), AU-16(3)</t>
  </si>
  <si>
    <t xml:space="preserve">Limit personal data in audit records to what is required and mask or tokenize sensitive fields in logs</t>
  </si>
  <si>
    <t xml:space="preserve">Log field filtering or masking in CloudWatch Logs data protection, Azure Monitor transformations, Cloud Logging exclusions</t>
  </si>
  <si>
    <t xml:space="preserve">Sample logs contain no unmasked personal data</t>
  </si>
  <si>
    <t xml:space="preserve">AU-3(3)</t>
  </si>
  <si>
    <t xml:space="preserve">Provision log storage sized for the retention period and set lifecycle and capacity alarms</t>
  </si>
  <si>
    <t xml:space="preserve">Log bucket with lifecycle rules, Log Analytics workspace cap and alerts</t>
  </si>
  <si>
    <t xml:space="preserve">Storage utilization alarm exists</t>
  </si>
  <si>
    <t xml:space="preserve">Automatically transfer audit logs to alternate long-term storage before local capacity is exhausted</t>
  </si>
  <si>
    <t xml:space="preserve">CloudWatch to S3 export, Azure Log Analytics data export to storage, Cloud Logging sink to Cloud Storage</t>
  </si>
  <si>
    <t xml:space="preserve">Log sink configuration; alternate storage has current logs</t>
  </si>
  <si>
    <t xml:space="preserve">Alert when logging is stopped, deleted or log delivery fails</t>
  </si>
  <si>
    <t xml:space="preserve">CloudWatch alarm on StopLogging, Azure Monitor alert on diagnostic setting deletion, GCP log sink error alert</t>
  </si>
  <si>
    <t xml:space="preserve">Test alert received</t>
  </si>
  <si>
    <t xml:space="preserve">Send logs to a SIEM and create correlation rules for privileged use, failed logins and configuration changes</t>
  </si>
  <si>
    <t xml:space="preserve">Microsoft Sentinel, AWS Security Hub and Security Lake, Google Chronicle</t>
  </si>
  <si>
    <t xml:space="preserve">Detection rule inventory</t>
  </si>
  <si>
    <t xml:space="preserve">Integrate audit review, analysis and reporting with automated processes such as SIEM rules and scheduled reports</t>
  </si>
  <si>
    <t xml:space="preserve">Microsoft Sentinel analytics rules, Amazon Security Lake with OpenSearch, Chronicle detections</t>
  </si>
  <si>
    <t xml:space="preserve">Rule list and scheduled report evidence</t>
  </si>
  <si>
    <t xml:space="preserve">Correlate audit records across accounts, subscriptions, projects and platforms in one place to reveal broader patterns</t>
  </si>
  <si>
    <t xml:space="preserve">Org-level CloudTrail into central SIEM, Sentinel multi-workspace, Chronicle SIEM</t>
  </si>
  <si>
    <t xml:space="preserve">Cross-source correlation rule and sample alert</t>
  </si>
  <si>
    <t xml:space="preserve">AU-6(3), AU-6(9)</t>
  </si>
  <si>
    <t xml:space="preserve">Provide central review and analysis of audit records collected from all cloud accounts</t>
  </si>
  <si>
    <t xml:space="preserve">Central logging account, Sentinel or Chronicle workspace</t>
  </si>
  <si>
    <t xml:space="preserve">Dashboard showing all accounts reporting</t>
  </si>
  <si>
    <t xml:space="preserve">Integrate audit analysis with vulnerability, threat and asset data to improve detection</t>
  </si>
  <si>
    <t xml:space="preserve">Sentinel with Defender for Cloud, Security Hub with Inspector and GuardDuty, SCC with Chronicle</t>
  </si>
  <si>
    <t xml:space="preserve">Correlated finding example</t>
  </si>
  <si>
    <t xml:space="preserve">Correlate cloud audit records with physical access and facility monitoring where the organisation controls physical sites</t>
  </si>
  <si>
    <t xml:space="preserve">Badge and CCTV logs forwarded to SIEM alongside cloud sign-in logs</t>
  </si>
  <si>
    <t xml:space="preserve">Correlation rule for physical plus remote access</t>
  </si>
  <si>
    <t xml:space="preserve">AU-6(6)</t>
  </si>
  <si>
    <t xml:space="preserve">Perform full-text analysis of privileged commands and administrative sessions on a separate analysis system</t>
  </si>
  <si>
    <t xml:space="preserve">Session Manager or Bastion recordings analysed in SIEM, auditd and command logging to SIEM</t>
  </si>
  <si>
    <t xml:space="preserve">Privileged command search results in SIEM</t>
  </si>
  <si>
    <t xml:space="preserve">AU-6(8), AU-9(6)</t>
  </si>
  <si>
    <t xml:space="preserve">Provide automatic processing of audit records (search, sort, filter) on the centralized logging platform</t>
  </si>
  <si>
    <t xml:space="preserve">KQL or SQL search in Log Analytics, Athena queries on CloudTrail, BigQuery on audit logs</t>
  </si>
  <si>
    <t xml:space="preserve">Saved queries and reports</t>
  </si>
  <si>
    <t xml:space="preserve">Use the provider time service on all instances and record timestamps in UTC</t>
  </si>
  <si>
    <t xml:space="preserve">Amazon Time Sync Service, Azure host time sync, GCP metadata NTP</t>
  </si>
  <si>
    <t xml:space="preserve">Instance time-sync status</t>
  </si>
  <si>
    <t xml:space="preserve">Store logs in a separate, restricted log-archive account with immutability, versioning and integrity validation</t>
  </si>
  <si>
    <t xml:space="preserve">S3 Object Lock with log file validation, Azure immutable blob storage, GCP bucket lock</t>
  </si>
  <si>
    <t xml:space="preserve">Object lock/retention policy enabled</t>
  </si>
  <si>
    <t xml:space="preserve">Store audit logs in a separate account, subscription or project from the systems that generate them</t>
  </si>
  <si>
    <t xml:space="preserve">Dedicated log archive AWS account, separate Azure subscription, dedicated GCP logging project</t>
  </si>
  <si>
    <t xml:space="preserve">Log archive account owned by security team; write-only access from workloads</t>
  </si>
  <si>
    <t xml:space="preserve">Protect audit information and logs with cryptographic integrity and encryption</t>
  </si>
  <si>
    <t xml:space="preserve">CloudTrail log file validation, S3 SSE-KMS, Azure immutable storage, GCP CMEK on log buckets</t>
  </si>
  <si>
    <t xml:space="preserve">Log validation result; encryption setting</t>
  </si>
  <si>
    <t xml:space="preserve">AU-9(3)</t>
  </si>
  <si>
    <t xml:space="preserve">Limit management of audit logging to a small set of privileged users</t>
  </si>
  <si>
    <t xml:space="preserve">Dedicated logging administrator role, SCP protecting CloudTrail, Azure RBAC on Log Analytics</t>
  </si>
  <si>
    <t xml:space="preserve">Role membership list; deny policy on trail deletion</t>
  </si>
  <si>
    <t xml:space="preserve">AU-9(4)</t>
  </si>
  <si>
    <t xml:space="preserve">Store logs on a component with a different operating system or platform than the source system</t>
  </si>
  <si>
    <t xml:space="preserve">Central log archive on managed storage, separate platform from monitored VMs</t>
  </si>
  <si>
    <t xml:space="preserve">Architecture diagram</t>
  </si>
  <si>
    <t xml:space="preserve">Provide non-repudiation for privileged actions by using unique identities, signed and time-stamped logs and no shared accounts</t>
  </si>
  <si>
    <t xml:space="preserve">CloudTrail digest files, Entra unique admin accounts, log immutability</t>
  </si>
  <si>
    <t xml:space="preserve">Log integrity validation; no shared admin accounts</t>
  </si>
  <si>
    <t xml:space="preserve">Set log retention per legal and business requirement (for example 12 months online, longer in archive)</t>
  </si>
  <si>
    <t xml:space="preserve">Log bucket lifecycle rules, workspace retention setting</t>
  </si>
  <si>
    <t xml:space="preserve">Retention setting export</t>
  </si>
  <si>
    <t xml:space="preserve">Turn on logging for all services: load balancer, DNS, storage, database and network flow logs</t>
  </si>
  <si>
    <t xml:space="preserve">VPC/NSG flow logs, load balancer access logs, DNS query logs, database audit logs</t>
  </si>
  <si>
    <t xml:space="preserve">Service logging compliance check</t>
  </si>
  <si>
    <t xml:space="preserve">Compile audit records from all components into one system-wide audit trail correlated in time</t>
  </si>
  <si>
    <t xml:space="preserve">Organization trail with central log account, NTP or provider time, Sentinel or Chronicle ingestion</t>
  </si>
  <si>
    <t xml:space="preserve">Single timeline query across services</t>
  </si>
  <si>
    <t xml:space="preserve">Use standardized log formats across sources so records can be correlated</t>
  </si>
  <si>
    <t xml:space="preserve">JSON logs, OCSF in Security Lake, Common Event Format or ASIM in Sentinel</t>
  </si>
  <si>
    <t xml:space="preserve">Parser or schema mapping documentation</t>
  </si>
  <si>
    <t xml:space="preserve">Enable query and access auditing for datastores holding personal data</t>
  </si>
  <si>
    <t xml:space="preserve">RDS and Aurora audit logging, Azure SQL auditing, BigQuery data access logs</t>
  </si>
  <si>
    <t xml:space="preserve">Database audit log enabled for personal-data stores</t>
  </si>
  <si>
    <t xml:space="preserve">AU-12(4)</t>
  </si>
  <si>
    <t xml:space="preserve">Capture session audit logs (start, end, commands and activity) for privileged and remote sessions</t>
  </si>
  <si>
    <t xml:space="preserve">Session Manager logging to S3, Azure Bastion recording, GCP OS Login audit logs</t>
  </si>
  <si>
    <t xml:space="preserve">Session logs retained and searchable</t>
  </si>
  <si>
    <t xml:space="preserve">Begin session auditing at system start-up so no activity goes unrecorded</t>
  </si>
  <si>
    <t xml:space="preserve">Agent-based logging in the golden image, boot-time auditd, log agent started by user-data</t>
  </si>
  <si>
    <t xml:space="preserve">Logs present from first boot</t>
  </si>
  <si>
    <t xml:space="preserve">Publish an approved assessment and monitoring policy for cloud environments and review it annually</t>
  </si>
  <si>
    <t xml:space="preserve">Policy in the GRC tool</t>
  </si>
  <si>
    <t xml:space="preserve">8. Risk &amp; Compliance Governance</t>
  </si>
  <si>
    <t xml:space="preserve">CA-1</t>
  </si>
  <si>
    <t xml:space="preserve">Assess cloud controls against the baseline at least annually and on major change, using automated and independent assessment</t>
  </si>
  <si>
    <t xml:space="preserve">AWS Audit Manager, Microsoft Defender for Cloud regulatory compliance, GCP Security Command Center compliance</t>
  </si>
  <si>
    <t xml:space="preserve">Assessment report with findings</t>
  </si>
  <si>
    <t xml:space="preserve">CA-2, CA-2(1), CA-2(2), CA-2(3), CA-3, CA-3(6), CA-3(7), CA-5(1), CA-6, CA-6(1), CA-6(2), CA-7(1), CA-7(5), CA-7(6), CA-8(2), CA-9, CA-9(1)</t>
  </si>
  <si>
    <t xml:space="preserve">Approve and secure every connection to external systems and on-premises: private connectivity, encryption and restricted routes</t>
  </si>
  <si>
    <t xml:space="preserve">VPC peering and Transit Gateway, PrivateLink, ExpressRoute/VPN, Private Service Connect</t>
  </si>
  <si>
    <t xml:space="preserve">Connection inventory with owners</t>
  </si>
  <si>
    <t xml:space="preserve">3. Network &amp; Boundary Protection</t>
  </si>
  <si>
    <t xml:space="preserve">Track remediation of assessment findings in a plan of action with owner, due date and status</t>
  </si>
  <si>
    <t xml:space="preserve">Ticketing system linked to Security Hub, Defender and SCC findings</t>
  </si>
  <si>
    <t xml:space="preserve">POA&amp;M list with owners and dates</t>
  </si>
  <si>
    <t xml:space="preserve">CA-5</t>
  </si>
  <si>
    <t xml:space="preserve">Continuously assess cloud configuration against the baseline and report drift</t>
  </si>
  <si>
    <t xml:space="preserve">AWS Config, Security Hub CSPM, Defender for Cloud, Security Command Center</t>
  </si>
  <si>
    <t xml:space="preserve">Compliance score and open finding trend</t>
  </si>
  <si>
    <t xml:space="preserve">CA-7, CA-7(3), CA-7(4)</t>
  </si>
  <si>
    <t xml:space="preserve">Perform penetration testing of cloud workloads and management plane on a defined schedule within provider rules</t>
  </si>
  <si>
    <t xml:space="preserve">Annual external and internal pen test following AWS, Azure and GCP testing policies</t>
  </si>
  <si>
    <t xml:space="preserve">Pen test report and retest evidence</t>
  </si>
  <si>
    <t xml:space="preserve">CA-8, CA-8(1)</t>
  </si>
  <si>
    <t xml:space="preserve">Where the organisation runs its own sites, include facility penetration testing in the test programme; cloud provider facilities are covered by provider attestations</t>
  </si>
  <si>
    <t xml:space="preserve">Physical pen test scope; provider SOC 2 and ISO 27001 reports</t>
  </si>
  <si>
    <t xml:space="preserve">Test scope statement; provider attestation on file</t>
  </si>
  <si>
    <t xml:space="preserve">CA-8(3)</t>
  </si>
  <si>
    <t xml:space="preserve">Document and restrict internal service-to-service connections so that only required flows are allowed</t>
  </si>
  <si>
    <t xml:space="preserve">Security group references, service mesh authorization policy, private endpoints</t>
  </si>
  <si>
    <t xml:space="preserve">Flow diagram compared with rules</t>
  </si>
  <si>
    <t xml:space="preserve">Run compliance checks on internal system connections (for example private links and peering) to verify they meet baseline</t>
  </si>
  <si>
    <t xml:space="preserve">AWS Config rules for VPC peering and endpoints, Azure Policy for private endpoints, GCP Security Health Analytics</t>
  </si>
  <si>
    <t xml:space="preserve">Compliance report for network connections</t>
  </si>
  <si>
    <t xml:space="preserve">Publish an approved configuration management policy for cloud (baselines, change, inventory) and review it annually</t>
  </si>
  <si>
    <t xml:space="preserve">4. Configuration &amp; Change Management</t>
  </si>
  <si>
    <t xml:space="preserve">CM-1</t>
  </si>
  <si>
    <t xml:space="preserve">Define hardened baseline images and infrastructure-as-code templates for each workload type</t>
  </si>
  <si>
    <t xml:space="preserve">Golden AMI or managed image, Terraform/CloudFormation/Bicep modules, CIS-hardened images</t>
  </si>
  <si>
    <t xml:space="preserve">Baseline image and template registry</t>
  </si>
  <si>
    <t xml:space="preserve">CM-2, CM-2(2), CM-2(6)</t>
  </si>
  <si>
    <t xml:space="preserve">Version and keep previous images and IaC templates so changes can be rolled back</t>
  </si>
  <si>
    <t xml:space="preserve">Git tags, image version history, compute gallery versions</t>
  </si>
  <si>
    <t xml:space="preserve">Version history available</t>
  </si>
  <si>
    <t xml:space="preserve">Deploy changes only through a pipeline with review, approval and logging; block manual console changes in production</t>
  </si>
  <si>
    <t xml:space="preserve">CI/CD with approvals, protected branches, SCP or Policy deny on console writes</t>
  </si>
  <si>
    <t xml:space="preserve">Pipeline change records</t>
  </si>
  <si>
    <t xml:space="preserve">CM-3, CM-3(4)</t>
  </si>
  <si>
    <t xml:space="preserve">Place cryptographic controls (key policies, TLS settings, algorithms) under configuration and change control</t>
  </si>
  <si>
    <t xml:space="preserve">KMS key policies managed as code, Azure Policy for TLS version, change tickets for crypto changes</t>
  </si>
  <si>
    <t xml:space="preserve">Change record; IaC repository history</t>
  </si>
  <si>
    <t xml:space="preserve">CM-3(6)</t>
  </si>
  <si>
    <t xml:space="preserve">Analyze the security impact of each change before deployment using automated checks in the pipeline</t>
  </si>
  <si>
    <t xml:space="preserve">IaC scanning (Checkov, tfsec), policy-as-code, change advisory record</t>
  </si>
  <si>
    <t xml:space="preserve">Pipeline scan result attached to change</t>
  </si>
  <si>
    <t xml:space="preserve">CM-2(3), CM-2(7), CM-3(1), CM-3(2), CM-3(3), CM-3(5), CM-3(7), CM-3(8), CM-4, CM-4(1), CM-4(2), CM-5, CM-5(1), CM-5(4), CM-5(5), CM-5(6), CM-6, CM-6(1), CM-6(2), CM-7, CM-7(1), CM-7(2), CM-7(3), CM-7(4), CM-7(5), CM-7(6), CM-7(9), CM-8, CM-8(1), CM-8(2), CM-8(3), CM-8(4), CM-8(6), CM-8(7), CM-8(8), CM-8(9), CM-9, CM-9(1), CM-10, CM-10(1), CM-11, CM-11(3), CM-12, CM-12(1), CM-13</t>
  </si>
  <si>
    <t xml:space="preserve">Limit who can change infrastructure and pipeline settings; use separate deployment roles per environment</t>
  </si>
  <si>
    <t xml:space="preserve">Deployment roles, Azure RBAC, branch protection rules</t>
  </si>
  <si>
    <t xml:space="preserve">Role assignment review</t>
  </si>
  <si>
    <t xml:space="preserve">Enforce change restrictions automatically and log all violations and changes</t>
  </si>
  <si>
    <t xml:space="preserve">SCPs and Azure Policy deny effects, CI/CD-only deployment roles, CloudTrail and Activity Log alerts</t>
  </si>
  <si>
    <t xml:space="preserve">Denied change events; audit trail of changes</t>
  </si>
  <si>
    <t xml:space="preserve">Apply the provider security baseline (CIS Benchmarks) to accounts, networks, operating systems and services</t>
  </si>
  <si>
    <t xml:space="preserve">CIS Foundations Benchmarks, AWS Config conformance packs, Azure Policy initiatives, GCP Organization Policy</t>
  </si>
  <si>
    <t xml:space="preserve">Benchmark scan result</t>
  </si>
  <si>
    <t xml:space="preserve">Enforce settings automatically and remediate or block non-compliant resources</t>
  </si>
  <si>
    <t xml:space="preserve">AWS Config auto-remediation, Azure Policy deny/modify, GCP org policy constraints</t>
  </si>
  <si>
    <t xml:space="preserve">Auto-remediation events</t>
  </si>
  <si>
    <t xml:space="preserve">Disable unused services, ports, protocols and regions; restrict allowed regions and services</t>
  </si>
  <si>
    <t xml:space="preserve">AWS SCP region deny, Azure Policy allowed locations, GCP resource location constraint</t>
  </si>
  <si>
    <t xml:space="preserve">Open port and enabled service report</t>
  </si>
  <si>
    <t xml:space="preserve">Allow only approved images, software packages and container registries</t>
  </si>
  <si>
    <t xml:space="preserve">Azure Policy approved images, ECR and Service Catalog policies, GCP Binary Authorization</t>
  </si>
  <si>
    <t xml:space="preserve">Denied deployment log</t>
  </si>
  <si>
    <t xml:space="preserve">Run code only in protected execution environments such as managed containers, sandboxes and confidential computing</t>
  </si>
  <si>
    <t xml:space="preserve">Fargate or AKS with pod security standards, Cloud Run, AWS Nitro Enclaves, Azure confidential VMs</t>
  </si>
  <si>
    <t xml:space="preserve">Runtime configuration export</t>
  </si>
  <si>
    <t xml:space="preserve">CM-7(7), CM-7(8)</t>
  </si>
  <si>
    <t xml:space="preserve">Maintain an automated inventory of all cloud resources with owner and mandatory tags (environment, owner, data class)</t>
  </si>
  <si>
    <t xml:space="preserve">AWS Config and Resource Explorer, Azure Resource Graph, GCP Cloud Asset Inventory</t>
  </si>
  <si>
    <t xml:space="preserve">Untagged resources = 0</t>
  </si>
  <si>
    <t xml:space="preserve">Update the component inventory automatically when resources are created or removed</t>
  </si>
  <si>
    <t xml:space="preserve">AWS Config, Azure Resource Graph, GCP Cloud Asset Inventory feeding the CMDB</t>
  </si>
  <si>
    <t xml:space="preserve">Inventory delta report after test deployment</t>
  </si>
  <si>
    <t xml:space="preserve">Maintain the asset inventory automatically with owner, environment and criticality tags</t>
  </si>
  <si>
    <t xml:space="preserve">AWS Systems Manager Inventory, Defender for Cloud inventory, Cloud Asset Inventory with tag policy</t>
  </si>
  <si>
    <t xml:space="preserve">Inventory completeness report; untagged asset count</t>
  </si>
  <si>
    <t xml:space="preserve">Automatically detect unmanaged resources and unknown accounts</t>
  </si>
  <si>
    <t xml:space="preserve">AWS Organizations discovery with Config rules, Defender CSPM, Asset Inventory alerts</t>
  </si>
  <si>
    <t xml:space="preserve">Alert raised for new unmanaged asset</t>
  </si>
  <si>
    <t xml:space="preserve">Allow software installation only through privileged, approved channels</t>
  </si>
  <si>
    <t xml:space="preserve">Approved package repositories, Systems Manager Distributor, Intune app deployment, no local admin for users</t>
  </si>
  <si>
    <t xml:space="preserve">Sudoers or admin group membership report</t>
  </si>
  <si>
    <t xml:space="preserve">CM-11(2)</t>
  </si>
  <si>
    <t xml:space="preserve">Require signed images and artifacts before deployment</t>
  </si>
  <si>
    <t xml:space="preserve">Sigstore cosign, AWS Signer, Azure Trusted Signing, Binary Authorization</t>
  </si>
  <si>
    <t xml:space="preserve">Unsigned deployment is rejected</t>
  </si>
  <si>
    <t xml:space="preserve">Publish an approved contingency policy covering backup, recovery objectives and DR for cloud services; review annually</t>
  </si>
  <si>
    <t xml:space="preserve">6. Backup &amp; Contingency (DR/BCP)</t>
  </si>
  <si>
    <t xml:space="preserve">CP-1</t>
  </si>
  <si>
    <t xml:space="preserve">Maintain a cloud contingency plan with recovery roles, RTO and RPO per service tier</t>
  </si>
  <si>
    <t xml:space="preserve">DR plan referencing AWS Resilience Hub, Azure Site Recovery, GCP DR architecture</t>
  </si>
  <si>
    <t xml:space="preserve">Plan document with RTO and RPO table</t>
  </si>
  <si>
    <t xml:space="preserve">CP-2</t>
  </si>
  <si>
    <t xml:space="preserve">Plan and provision capacity (compute, storage, network) for recovery and failover scenarios</t>
  </si>
  <si>
    <t xml:space="preserve">Pre-provisioned or reserved capacity in DR region, autoscaling limits and quota increases</t>
  </si>
  <si>
    <t xml:space="preserve">Quota report for DR region</t>
  </si>
  <si>
    <t xml:space="preserve">Define alternate processing and storage sites in another region or zone and keep them ready for use</t>
  </si>
  <si>
    <t xml:space="preserve">Multi-region architecture, cross-region replicas, Azure paired regions</t>
  </si>
  <si>
    <t xml:space="preserve">DR site design and readiness test</t>
  </si>
  <si>
    <t xml:space="preserve">Train personnel with recovery roles on the contingency plan initially and at least annually</t>
  </si>
  <si>
    <t xml:space="preserve">Training records for DR team, runbook walkthrough</t>
  </si>
  <si>
    <t xml:space="preserve">Training attendance records</t>
  </si>
  <si>
    <t xml:space="preserve">CP-3, CP-3(1), CP-3(2), CP-8(4)</t>
  </si>
  <si>
    <t xml:space="preserve">Test the contingency plan and restores at least annually and after major change; record results and fixes</t>
  </si>
  <si>
    <t xml:space="preserve">Scheduled DR failover test, AWS Backup restore testing, Azure Site Recovery test failover</t>
  </si>
  <si>
    <t xml:space="preserve">Test report with RTO and RPO achieved</t>
  </si>
  <si>
    <t xml:space="preserve">CP-2(1), CP-2(2), CP-2(3), CP-2(5), CP-2(6), CP-2(7), CP-2(8), CP-4, CP-4(1), CP-4(3), CP-4(4), CP-4(5), CP-7(2), CP-7(6), CP-8, CP-8(1), CP-8(2), CP-8(3), CP-8(5), CP-10, CP-10(2), CP-10(4), CP-10(6), CP-11, CP-12, CP-13</t>
  </si>
  <si>
    <t xml:space="preserve">Replicate critical data to a separate region or account</t>
  </si>
  <si>
    <t xml:space="preserve">S3 Cross-Region Replication, Azure geo-redundant storage, GCP dual-region buckets</t>
  </si>
  <si>
    <t xml:space="preserve">Replication status healthy</t>
  </si>
  <si>
    <t xml:space="preserve">CP-4(2), CP-6, CP-6(1), CP-6(2), CP-6(3), CP-7, CP-7(1), CP-7(3), CP-7(4), CP-9, CP-9(1), CP-9(2), CP-9(5), CP-9(7)</t>
  </si>
  <si>
    <t xml:space="preserve">Keep the alternate storage site separated from the primary site so one event cannot affect both</t>
  </si>
  <si>
    <t xml:space="preserve">Backups stored in different region and account</t>
  </si>
  <si>
    <t xml:space="preserve">Backup location report</t>
  </si>
  <si>
    <t xml:space="preserve">Configure the alternate storage so replication and backup meet the defined RTO and RPO</t>
  </si>
  <si>
    <t xml:space="preserve">S3 Replication Time Control, Azure GRS or GZRS, GCP dual-region buckets</t>
  </si>
  <si>
    <t xml:space="preserve">Replication lag metric within RPO</t>
  </si>
  <si>
    <t xml:space="preserve">Deploy critical workloads across multiple availability zones plus a DR region with tested failover</t>
  </si>
  <si>
    <t xml:space="preserve">Multi-AZ databases and autoscaling groups, Azure zones and Site Recovery, GCP regional instance groups</t>
  </si>
  <si>
    <t xml:space="preserve">DR test report</t>
  </si>
  <si>
    <t xml:space="preserve">Enable scheduled backups for compute, disks and databases with defined retention</t>
  </si>
  <si>
    <t xml:space="preserve">AWS Backup, Azure Backup, GCP Backup and DR</t>
  </si>
  <si>
    <t xml:space="preserve">Backup job success report</t>
  </si>
  <si>
    <t xml:space="preserve">Keep backups in an isolated account or vault with delete protection</t>
  </si>
  <si>
    <t xml:space="preserve">AWS Backup Vault Lock, Azure immutable vault, separate backup project</t>
  </si>
  <si>
    <t xml:space="preserve">Vault lock enabled</t>
  </si>
  <si>
    <t xml:space="preserve">CP-9(3)</t>
  </si>
  <si>
    <t xml:space="preserve">Maintain a redundant secondary system that can take over from backup data</t>
  </si>
  <si>
    <t xml:space="preserve">Warm standby or pilot light in DR region, database read replica with promotion runbook</t>
  </si>
  <si>
    <t xml:space="preserve">Failover test evidence</t>
  </si>
  <si>
    <t xml:space="preserve">CP-9(6)</t>
  </si>
  <si>
    <t xml:space="preserve">Encrypt backups with customer-managed keys</t>
  </si>
  <si>
    <t xml:space="preserve">KMS customer-managed key on backup vault, Azure Backup CMK, Cloud KMS CMEK</t>
  </si>
  <si>
    <t xml:space="preserve">Key attached to every vault</t>
  </si>
  <si>
    <t xml:space="preserve">CP-9(8)</t>
  </si>
  <si>
    <t xml:space="preserve">Prepare automated restore and rebuild (IaC redeploy and image restore) to return to a known good state</t>
  </si>
  <si>
    <t xml:space="preserve">Terraform redeploy pipeline, restore runbook automation, Site Recovery plans</t>
  </si>
  <si>
    <t xml:space="preserve">Restore test time compared with RTO</t>
  </si>
  <si>
    <t xml:space="preserve">Give every user a unique identity from the corporate identity provider and disable shared logins</t>
  </si>
  <si>
    <t xml:space="preserve">Entra ID, IAM Identity Center, Cloud Identity federation</t>
  </si>
  <si>
    <t xml:space="preserve">No local shared IAM users</t>
  </si>
  <si>
    <t xml:space="preserve">IA-2, IA-2(5), IA-2(8), IA-2(12), IA-2(13), IA-3, IA-3(3), IA-3(4), IA-4, IA-4(1), IA-4(4), IA-4(5), IA-4(6), IA-4(8), IA-4(9), IA-5, IA-5(5), IA-5(6), IA-5(7), IA-5(8), IA-5(9), IA-5(10), IA-5(12), IA-5(13), IA-5(15), IA-5(16), IA-5(17), IA-6, IA-8, IA-8(1), IA-8(2), IA-8(4), IA-8(6), IA-9, IA-10, IA-11, IA-12, IA-12(1), IA-12(2), IA-12(3), IA-12(4), IA-12(5), IA-12(6), IA-13, IA-13(2), IA-13(3)</t>
  </si>
  <si>
    <t xml:space="preserve">Require phishing-resistant MFA for all privileged and administrative access</t>
  </si>
  <si>
    <t xml:space="preserve">FIDO2 keys, Entra Conditional Access, IAM Identity Center MFA enforcement</t>
  </si>
  <si>
    <t xml:space="preserve">MFA registration report for admins is 100 percent</t>
  </si>
  <si>
    <t xml:space="preserve">IA-2(1), IA-2(2)</t>
  </si>
  <si>
    <t xml:space="preserve">Require MFA for all other users of consoles, CLI and APIs</t>
  </si>
  <si>
    <t xml:space="preserve">Conditional Access policy for all users, IdP MFA policy</t>
  </si>
  <si>
    <t xml:space="preserve">MFA coverage report</t>
  </si>
  <si>
    <t xml:space="preserve">Require access to privileged and non-privileged accounts through a separate device or managed session (hardware key or managed workstation)</t>
  </si>
  <si>
    <t xml:space="preserve">FIDO2 security keys, Entra Conditional Access requiring compliant device, privileged access workstations</t>
  </si>
  <si>
    <t xml:space="preserve">Conditional Access policy export; device compliance</t>
  </si>
  <si>
    <t xml:space="preserve">IA-2(6)</t>
  </si>
  <si>
    <t xml:space="preserve">Use replay-resistant authentication (FIDO2, passkeys, certificate-based or number-matching MFA) for cloud accounts</t>
  </si>
  <si>
    <t xml:space="preserve">Entra phishing-resistant authentication strength, AWS IAM Identity Center passkeys, Google Titan keys</t>
  </si>
  <si>
    <t xml:space="preserve">Authentication strength policy; MFA method report</t>
  </si>
  <si>
    <t xml:space="preserve">Use single sign-on with the identity provider for all cloud consoles and applications</t>
  </si>
  <si>
    <t xml:space="preserve">SAML/OIDC federation, IAM Identity Center</t>
  </si>
  <si>
    <t xml:space="preserve">Local console users = 0</t>
  </si>
  <si>
    <t xml:space="preserve">IA-2(10)</t>
  </si>
  <si>
    <t xml:space="preserve">Enforce a naming standard for users, roles and service accounts and disable dormant identifiers</t>
  </si>
  <si>
    <t xml:space="preserve">Naming convention policy, Access Analyzer unused access</t>
  </si>
  <si>
    <t xml:space="preserve">Identifier inventory</t>
  </si>
  <si>
    <t xml:space="preserve">Set authenticator policy: long passphrase (14+ characters or per policy), no reuse, rotate keys and secrets, remove default credentials</t>
  </si>
  <si>
    <t xml:space="preserve">IdP password policy, automatic rotation in Secrets Manager, Key Vault or Secret Manager</t>
  </si>
  <si>
    <t xml:space="preserve">Password policy export; secret age report</t>
  </si>
  <si>
    <t xml:space="preserve">Enforce password policy: minimum length (14+), breached-password check, no periodic forced change without evidence of compromise, store only salted hashes</t>
  </si>
  <si>
    <t xml:space="preserve">Entra Password Protection, AWS IAM account password policy, Cloud Identity password policy</t>
  </si>
  <si>
    <t xml:space="preserve">Password policy export</t>
  </si>
  <si>
    <t xml:space="preserve">IA-5(1)</t>
  </si>
  <si>
    <t xml:space="preserve">Prefer public key or certificate authentication for workloads and administrators; validate certificate chains and protect private keys</t>
  </si>
  <si>
    <t xml:space="preserve">SSH keys via Session Manager or OS Login, mTLS with private CA, managed identities</t>
  </si>
  <si>
    <t xml:space="preserve">No password-only SSH; key inventory</t>
  </si>
  <si>
    <t xml:space="preserve">IA-5(2), IA-5(14), IA-8(5)</t>
  </si>
  <si>
    <t xml:space="preserve">Remove hard-coded credentials from code, images and configuration; retrieve secrets at runtime</t>
  </si>
  <si>
    <t xml:space="preserve">Secrets Manager, Key Vault, Secret Manager, repository secret scanning</t>
  </si>
  <si>
    <t xml:space="preserve">Secret scan is clean</t>
  </si>
  <si>
    <t xml:space="preserve">Provide an approved enterprise password manager or secrets vault for staff and administrators</t>
  </si>
  <si>
    <t xml:space="preserve">Approved password manager with SSO, AWS Secrets Manager, Azure Key Vault, GCP Secret Manager</t>
  </si>
  <si>
    <t xml:space="preserve">Password manager enrolment report</t>
  </si>
  <si>
    <t xml:space="preserve">IA-5(18)</t>
  </si>
  <si>
    <t xml:space="preserve">Authenticate to cryptographic modules using validated modules and hardware-backed keys where required</t>
  </si>
  <si>
    <t xml:space="preserve">AWS CloudHSM, Azure Managed HSM and Key Vault Premium, GCP Cloud HSM (FIPS 140-validated)</t>
  </si>
  <si>
    <t xml:space="preserve">HSM configuration and validation certificate</t>
  </si>
  <si>
    <t xml:space="preserve">IA-3(1), IA-7, IA-13(1)</t>
  </si>
  <si>
    <t xml:space="preserve">Authenticate external and customer users through federation with approved identity providers and MFA</t>
  </si>
  <si>
    <t xml:space="preserve">Amazon Cognito, Entra External ID, Google Identity Platform</t>
  </si>
  <si>
    <t xml:space="preserve">Federated IdP list</t>
  </si>
  <si>
    <t xml:space="preserve">Use managed identities or roles for workloads instead of long-lived keys</t>
  </si>
  <si>
    <t xml:space="preserve">IAM roles for service accounts, Azure managed identity, GCP workload identity</t>
  </si>
  <si>
    <t xml:space="preserve">Static access key count = 0</t>
  </si>
  <si>
    <t xml:space="preserve">Require re-authentication for sensitive operations such as role elevation and key deletion</t>
  </si>
  <si>
    <t xml:space="preserve">Step-up MFA, PIM activation, MFA-protected API access</t>
  </si>
  <si>
    <t xml:space="preserve">Step-up sign-in logs</t>
  </si>
  <si>
    <t xml:space="preserve">Protect identity provider signing keys and validate tokens (issuer, audience, expiry)</t>
  </si>
  <si>
    <t xml:space="preserve">OIDC token validation settings, short token lifetime, signing certificate rotation</t>
  </si>
  <si>
    <t xml:space="preserve">Token settings review</t>
  </si>
  <si>
    <t xml:space="preserve">Not in report</t>
  </si>
  <si>
    <t xml:space="preserve">Publish an approved incident response policy that includes cloud scenarios and review it annually</t>
  </si>
  <si>
    <t xml:space="preserve">7. Incident Response</t>
  </si>
  <si>
    <t xml:space="preserve">IR-1</t>
  </si>
  <si>
    <t xml:space="preserve">Train incident responders on cloud incident procedures and tooling at least annually</t>
  </si>
  <si>
    <t xml:space="preserve">Cloud IR training and tabletop attendance</t>
  </si>
  <si>
    <t xml:space="preserve">Training records</t>
  </si>
  <si>
    <t xml:space="preserve">IR-2, IR-2(1), IR-2(2), IR-2(3), IR-4, IR-4(4), IR-4(8)</t>
  </si>
  <si>
    <t xml:space="preserve">Test the cloud incident response plan at least annually using exercises or simulations</t>
  </si>
  <si>
    <t xml:space="preserve">Tabletop exercise, purple team or AWS security game day</t>
  </si>
  <si>
    <t xml:space="preserve">Exercise report with lessons learned</t>
  </si>
  <si>
    <t xml:space="preserve">IR-3, IR-3(1), IR-3(2), IR-3(3), IR-4(1), IR-4(2), IR-4(6), IR-4(7), IR-4(11), IR-6, IR-7, IR-7(1), IR-7(2), IR-8</t>
  </si>
  <si>
    <t xml:space="preserve">Prepare automated containment actions: isolate instance, revoke credentials, snapshot for forensics</t>
  </si>
  <si>
    <t xml:space="preserve">Systems Manager or Lambda playbooks, Sentinel and Logic Apps playbooks, GCP Cloud Functions</t>
  </si>
  <si>
    <t xml:space="preserve">Playbook test run</t>
  </si>
  <si>
    <t xml:space="preserve">Automate incident handling from detection through ticket creation and response</t>
  </si>
  <si>
    <t xml:space="preserve">Security Hub automation rules, Sentinel automation rules, SOAR</t>
  </si>
  <si>
    <t xml:space="preserve">Automated case created in test</t>
  </si>
  <si>
    <t xml:space="preserve">Automatically disable or isolate a compromised system or credential when defined triggers occur</t>
  </si>
  <si>
    <t xml:space="preserve">GuardDuty to Lambda to isolate instance, Defender for Cloud workflow automation, revoke sessions and keys automatically</t>
  </si>
  <si>
    <t xml:space="preserve">Playbook definition and test run log</t>
  </si>
  <si>
    <t xml:space="preserve">Coordinate incident handling with suppliers and cloud providers through defined contacts and escalation paths</t>
  </si>
  <si>
    <t xml:space="preserve">Provider security contacts, AWS Support and Microsoft support plans, contractual notification terms</t>
  </si>
  <si>
    <t xml:space="preserve">Contact list; escalation test</t>
  </si>
  <si>
    <t xml:space="preserve">IR-4(10)</t>
  </si>
  <si>
    <t xml:space="preserve">Analyse malicious code and forensic artefacts found in incidents in an isolated environment</t>
  </si>
  <si>
    <t xml:space="preserve">Isolated forensic account, disk snapshot workflow, malware sandbox</t>
  </si>
  <si>
    <t xml:space="preserve">Forensic runbook; sample case record</t>
  </si>
  <si>
    <t xml:space="preserve">IR-4(12)</t>
  </si>
  <si>
    <t xml:space="preserve">Analyse behaviour of attackers and adversary techniques observed in incidents to improve detections</t>
  </si>
  <si>
    <t xml:space="preserve">MITRE ATT&amp;CK mapped detections in Sentinel or SCC, post-incident detection tuning</t>
  </si>
  <si>
    <t xml:space="preserve">Detection updates linked to incidents</t>
  </si>
  <si>
    <t xml:space="preserve">IR-4(13)</t>
  </si>
  <si>
    <t xml:space="preserve">Route alerts to the incident tracking system with severity and owner</t>
  </si>
  <si>
    <t xml:space="preserve">EventBridge or Event Grid to ticketing tool, on-call platform</t>
  </si>
  <si>
    <t xml:space="preserve">Alert-to-ticket test</t>
  </si>
  <si>
    <t xml:space="preserve">IR-4(3), IR-4(5), IR-4(9), IR-4(14), IR-4(15), IR-5, IR-5(1), IR-6(1), IR-9(3), IR-9(4)</t>
  </si>
  <si>
    <t xml:space="preserve">Configure automatic notifications to the security team and management channels</t>
  </si>
  <si>
    <t xml:space="preserve">SNS topics, Azure Action Groups, Pub/Sub notifications</t>
  </si>
  <si>
    <t xml:space="preserve">Notification test</t>
  </si>
  <si>
    <t xml:space="preserve">Report vulnerabilities uncovered during incidents to the vulnerability management owner for remediation</t>
  </si>
  <si>
    <t xml:space="preserve">Ticket automation from incident to vulnerability backlog</t>
  </si>
  <si>
    <t xml:space="preserve">Linked incident and vulnerability tickets</t>
  </si>
  <si>
    <t xml:space="preserve">IR-6(2)</t>
  </si>
  <si>
    <t xml:space="preserve">Share incident information with suppliers and providers as required by contract</t>
  </si>
  <si>
    <t xml:space="preserve">Supplier notification procedure and contact register</t>
  </si>
  <si>
    <t xml:space="preserve">Notification records</t>
  </si>
  <si>
    <t xml:space="preserve">IR-6(3)</t>
  </si>
  <si>
    <t xml:space="preserve">Include breach response (notification, roles, timelines) in the incident response plan for personal data</t>
  </si>
  <si>
    <t xml:space="preserve">Breach notification runbook with legal and privacy contacts</t>
  </si>
  <si>
    <t xml:space="preserve">Plan section; breach exercise record</t>
  </si>
  <si>
    <t xml:space="preserve">IR-8(1)</t>
  </si>
  <si>
    <t xml:space="preserve">Define how spillage of sensitive data into cloud services is detected, isolated and cleaned up</t>
  </si>
  <si>
    <t xml:space="preserve">Macie or Purview data discovery alerts, quarantine bucket, key rotation and purge procedure</t>
  </si>
  <si>
    <t xml:space="preserve">Spillage runbook; test record</t>
  </si>
  <si>
    <t xml:space="preserve">IR-9</t>
  </si>
  <si>
    <t xml:space="preserve">Train personnel to respond to information spillage</t>
  </si>
  <si>
    <t xml:space="preserve">Spillage response training records</t>
  </si>
  <si>
    <t xml:space="preserve">IR-9(2)</t>
  </si>
  <si>
    <t xml:space="preserve">Publish an approved risk assessment policy that covers cloud risk and review it annually</t>
  </si>
  <si>
    <t xml:space="preserve">RA-1</t>
  </si>
  <si>
    <t xml:space="preserve">Categorize cloud systems and data by impact and record the classification as resource tags</t>
  </si>
  <si>
    <t xml:space="preserve">Data classification standard, resource tags, Purview or Macie labels</t>
  </si>
  <si>
    <t xml:space="preserve">Classification register; tag coverage</t>
  </si>
  <si>
    <t xml:space="preserve">RA-2, RA-2(1), RA-3(2), RA-3(4), RA-5(4), RA-6, RA-7, RA-9, RA-10</t>
  </si>
  <si>
    <t xml:space="preserve">Perform and document a cloud risk assessment at least annually and after major change</t>
  </si>
  <si>
    <t xml:space="preserve">Risk register with cloud threats, provider shared-responsibility review</t>
  </si>
  <si>
    <t xml:space="preserve">Risk assessment report</t>
  </si>
  <si>
    <t xml:space="preserve">RA-3</t>
  </si>
  <si>
    <t xml:space="preserve">Assess supply chain risk of cloud providers, SaaS and software components</t>
  </si>
  <si>
    <t xml:space="preserve">Supplier due diligence, SBOM review, provider attestations</t>
  </si>
  <si>
    <t xml:space="preserve">Supplier risk assessments</t>
  </si>
  <si>
    <t xml:space="preserve">RA-3(1)</t>
  </si>
  <si>
    <t xml:space="preserve">Use threat intelligence feeds to keep the cloud risk assessment and detections current</t>
  </si>
  <si>
    <t xml:space="preserve">Threat intelligence in Sentinel, GuardDuty threat lists, SCC threat intelligence</t>
  </si>
  <si>
    <t xml:space="preserve">Feed configuration; use in detection</t>
  </si>
  <si>
    <t xml:space="preserve">RA-3(3)</t>
  </si>
  <si>
    <t xml:space="preserve">Use predictive analytics and machine learning based detections to anticipate threats</t>
  </si>
  <si>
    <t xml:space="preserve">GuardDuty ML findings, Defender for Cloud analytics, Chronicle and SCC anomaly detection</t>
  </si>
  <si>
    <t xml:space="preserve">Analytics enabled and reviewed</t>
  </si>
  <si>
    <t xml:space="preserve">Install</t>
  </si>
  <si>
    <t xml:space="preserve">Enable vulnerability scanning for VMs, containers, functions and images with a defined frequency</t>
  </si>
  <si>
    <t xml:space="preserve">Amazon Inspector, Defender Vulnerability Management, Security Command Center, ECR/ACR image scanning</t>
  </si>
  <si>
    <t xml:space="preserve">Scan coverage percentage</t>
  </si>
  <si>
    <t xml:space="preserve">RA-5, RA-5(2), RA-5(3), RA-5(6), RA-5(10), RA-5(11)</t>
  </si>
  <si>
    <t xml:space="preserve">Keep scanner vulnerability feeds updated before each scan</t>
  </si>
  <si>
    <t xml:space="preserve">Managed vulnerability database auto-update</t>
  </si>
  <si>
    <t xml:space="preserve">Feed timestamp current</t>
  </si>
  <si>
    <t xml:space="preserve">Use authenticated scanning through agents or service roles for deeper results</t>
  </si>
  <si>
    <t xml:space="preserve">Inspector with SSM agent, Defender agent, OS Config agent</t>
  </si>
  <si>
    <t xml:space="preserve">Agent coverage</t>
  </si>
  <si>
    <t xml:space="preserve">RA-5(5)</t>
  </si>
  <si>
    <t xml:space="preserve">Review historic audit logs to find whether newly discovered vulnerabilities were previously exploited</t>
  </si>
  <si>
    <t xml:space="preserve">CloudTrail Lake queries, Sentinel retrospective hunting, BigQuery audit log search</t>
  </si>
  <si>
    <t xml:space="preserve">Retrospective hunt report</t>
  </si>
  <si>
    <t xml:space="preserve">RA-5(8)</t>
  </si>
  <si>
    <t xml:space="preserve">Perform a privacy impact assessment before deploying cloud systems that process personal data</t>
  </si>
  <si>
    <t xml:space="preserve">PIA template and approval workflow</t>
  </si>
  <si>
    <t xml:space="preserve">Completed PIA</t>
  </si>
  <si>
    <t xml:space="preserve">RA-8</t>
  </si>
  <si>
    <t xml:space="preserve">Enable the telemetry needed for hunting: audit logs, flow logs, DNS logs and endpoint detection</t>
  </si>
  <si>
    <t xml:space="preserve">Athena, Kusto or BigQuery queries over central logs</t>
  </si>
  <si>
    <t xml:space="preserve">Saved hunt queries</t>
  </si>
  <si>
    <t xml:space="preserve">Publish an approved system and services acquisition policy that includes cloud service requirements and review it annually</t>
  </si>
  <si>
    <t xml:space="preserve">9. Secure Development / Supply Chain</t>
  </si>
  <si>
    <t xml:space="preserve">SA-1</t>
  </si>
  <si>
    <t xml:space="preserve">Allocate budget and staff for cloud security as part of every project</t>
  </si>
  <si>
    <t xml:space="preserve">Security requirements in project charter and budget</t>
  </si>
  <si>
    <t xml:space="preserve">Project security budget line</t>
  </si>
  <si>
    <t xml:space="preserve">SA-2, SA-3, SA-3(1), SA-3(2), SA-3(3), SA-4(1), SA-4(2), SA-4(3), SA-4(5), SA-4(9), SA-4(10), SA-4(11), SA-4(12), SA-8, SA-8(1), SA-8(2), SA-8(3), SA-8(4), SA-8(5), SA-8(6), SA-8(7), SA-8(8), SA-8(9), SA-8(10), SA-8(11), SA-8(12), SA-8(13), SA-8(15), SA-8(16), SA-8(17), SA-8(18), SA-8(19), SA-8(20), SA-8(21), SA-8(22), SA-8(23), SA-8(24), SA-8(25), SA-8(26), SA-8(27), SA-8(28), SA-8(29), SA-8(30), SA-8(31), SA-8(32), SA-8(33), SA-9(1), SA-9(3), SA-9(4), SA-9(5), SA-9(8), SA-10, SA-10(1), SA-10(2), SA-10(3), SA-10(4), SA-10(5), SA-10(6), SA-11(1), SA-11(3), SA-11(4), SA-11(6), SA-11(7), SA-11(8), SA-11(9), SA-15, SA-15(1), SA-15(2), SA-15(3), SA-15(5), SA-15(6), SA-15(11), SA-17, SA-17(1), SA-17(2), SA-17(3), SA-17(4), SA-17(5), SA-17(6), SA-17(8), SA-17(9), SA-20, SA-23, SA-24</t>
  </si>
  <si>
    <t xml:space="preserve">Follow a secure system development life cycle with security activities in each phase</t>
  </si>
  <si>
    <t xml:space="preserve">Secure SDLC standard, threat modelling, pipeline gates</t>
  </si>
  <si>
    <t xml:space="preserve">SDLC checklist evidence</t>
  </si>
  <si>
    <t xml:space="preserve">Include security and privacy requirements and shared-responsibility terms in cloud service contracts</t>
  </si>
  <si>
    <t xml:space="preserve">Contract clauses, provider security addendum</t>
  </si>
  <si>
    <t xml:space="preserve">Signed contract with security schedule</t>
  </si>
  <si>
    <t xml:space="preserve">SA-4, SA-9, SA-9(2), SA-9(7), SA-22</t>
  </si>
  <si>
    <t xml:space="preserve">Prefer cloud services and products with recognised independent security validation</t>
  </si>
  <si>
    <t xml:space="preserve">Provider certifications (ISO 27001, SOC 2, FedRAMP), FIPS validated modules</t>
  </si>
  <si>
    <t xml:space="preserve">Certification list on file</t>
  </si>
  <si>
    <t xml:space="preserve">SA-4(6)</t>
  </si>
  <si>
    <t xml:space="preserve">Where required, select products evaluated against approved protection profiles</t>
  </si>
  <si>
    <t xml:space="preserve">Common Criteria evaluated product list</t>
  </si>
  <si>
    <t xml:space="preserve">Product evaluation evidence</t>
  </si>
  <si>
    <t xml:space="preserve">SA-4(7)</t>
  </si>
  <si>
    <t xml:space="preserve">Require suppliers to provide a continuous monitoring plan for their controls</t>
  </si>
  <si>
    <t xml:space="preserve">Provider continuous compliance reports</t>
  </si>
  <si>
    <t xml:space="preserve">Supplier monitoring reports</t>
  </si>
  <si>
    <t xml:space="preserve">SA-4(8)</t>
  </si>
  <si>
    <t xml:space="preserve">Maintain administrator and security documentation for each cloud system (architecture, configuration, runbooks)</t>
  </si>
  <si>
    <t xml:space="preserve">Wiki or repository with architecture and configuration docs</t>
  </si>
  <si>
    <t xml:space="preserve">Documentation up to date and approved</t>
  </si>
  <si>
    <t xml:space="preserve">SA-5</t>
  </si>
  <si>
    <t xml:space="preserve">Design cloud systems on least privilege, granting only required permissions at design and deployment</t>
  </si>
  <si>
    <t xml:space="preserve">IaC with scoped IAM roles, permission boundaries, managed identities</t>
  </si>
  <si>
    <t xml:space="preserve">IAM policy review in design record</t>
  </si>
  <si>
    <t xml:space="preserve">SA-8(14), SA-17(7)</t>
  </si>
  <si>
    <t xml:space="preserve">Design for continuous protection so security controls stay active through failure and change</t>
  </si>
  <si>
    <t xml:space="preserve">Always-on logging and guardrails enforced by policy, fail-closed defaults</t>
  </si>
  <si>
    <t xml:space="preserve">Guardrail coverage report</t>
  </si>
  <si>
    <t xml:space="preserve">Design systems to analyse themselves for misconfiguration and security state</t>
  </si>
  <si>
    <t xml:space="preserve">AWS Config, Defender for Cloud secure score, GCP Security Health Analytics</t>
  </si>
  <si>
    <t xml:space="preserve">Self-assessment findings report</t>
  </si>
  <si>
    <t xml:space="preserve">Design so actions are attributable and traceable to an identity</t>
  </si>
  <si>
    <t xml:space="preserve">Unique identities, log every API call, resource tags for ownership</t>
  </si>
  <si>
    <t xml:space="preserve">Sample trace from action to identity</t>
  </si>
  <si>
    <t xml:space="preserve">Ship systems with secure defaults (private, encrypted, least-privilege) and require justification to relax them</t>
  </si>
  <si>
    <t xml:space="preserve">Hardened IaC modules, default deny, encryption on by default</t>
  </si>
  <si>
    <t xml:space="preserve">IaC module defaults review</t>
  </si>
  <si>
    <t xml:space="preserve">Define shared responsibility and required security settings for each cloud service in use</t>
  </si>
  <si>
    <t xml:space="preserve">Approved cloud service catalog, provider compliance reports, secure service configuration guides</t>
  </si>
  <si>
    <t xml:space="preserve">Approved service list</t>
  </si>
  <si>
    <t xml:space="preserve">Restrict data processing and storage to approved regions</t>
  </si>
  <si>
    <t xml:space="preserve">SCP region deny, Azure Policy allowed locations, GCP location constraint</t>
  </si>
  <si>
    <t xml:space="preserve">Resource region report</t>
  </si>
  <si>
    <t xml:space="preserve">Use organization-controlled encryption keys (BYOK or customer-managed keys)</t>
  </si>
  <si>
    <t xml:space="preserve">KMS CMK, Azure Key Vault CMK/HSM, Cloud KMS CMEK or EKM</t>
  </si>
  <si>
    <t xml:space="preserve">List of services using CMK</t>
  </si>
  <si>
    <t xml:space="preserve">SA-9(6)</t>
  </si>
  <si>
    <t xml:space="preserve">Protect source repositories and pipelines: branch protection, signed commits, secret scanning, least-privilege runners</t>
  </si>
  <si>
    <t xml:space="preserve">GitHub, GitLab or Azure DevOps organization settings</t>
  </si>
  <si>
    <t xml:space="preserve">Repository settings export</t>
  </si>
  <si>
    <t xml:space="preserve">Include security and privacy representatives in change and configuration decisions</t>
  </si>
  <si>
    <t xml:space="preserve">Security member in change advisory board and code review rules</t>
  </si>
  <si>
    <t xml:space="preserve">CAB attendance and approvals</t>
  </si>
  <si>
    <t xml:space="preserve">SA-10(7)</t>
  </si>
  <si>
    <t xml:space="preserve">Integrate SAST, DAST, dependency and IaC scanning in the pipeline with fail thresholds</t>
  </si>
  <si>
    <t xml:space="preserve">CodeQL, Checkov, tfsec, Trivy, OWASP ZAP</t>
  </si>
  <si>
    <t xml:space="preserve">Pipeline scan results</t>
  </si>
  <si>
    <t xml:space="preserve">SA-11, SA-11(2), SA-15(7), SA-15(8)</t>
  </si>
  <si>
    <t xml:space="preserve">Perform penetration testing on applications and cloud infrastructure before release and after major change</t>
  </si>
  <si>
    <t xml:space="preserve">DAST and manual pen test before go-live</t>
  </si>
  <si>
    <t xml:space="preserve">Pen test report</t>
  </si>
  <si>
    <t xml:space="preserve">SA-11(5)</t>
  </si>
  <si>
    <t xml:space="preserve">Reduce attack surface by removing unused services, ports, roles and endpoints in build and deployment</t>
  </si>
  <si>
    <t xml:space="preserve">Minimal container images, disable unused APIs, close unused ports, remove idle resources</t>
  </si>
  <si>
    <t xml:space="preserve">Attack surface scan report</t>
  </si>
  <si>
    <t xml:space="preserve">Require an incident response plan for developed systems and cloud services</t>
  </si>
  <si>
    <t xml:space="preserve">Application incident runbooks and contacts</t>
  </si>
  <si>
    <t xml:space="preserve">Runbook per application</t>
  </si>
  <si>
    <t xml:space="preserve">Minimize personal data used in development and testing; use synthetic or masked data</t>
  </si>
  <si>
    <t xml:space="preserve">Masked datasets in non-prod, synthetic data generation</t>
  </si>
  <si>
    <t xml:space="preserve">Test data scan</t>
  </si>
  <si>
    <t xml:space="preserve">ESBIT-SA-15(13)</t>
  </si>
  <si>
    <t xml:space="preserve">SA-15(13)</t>
  </si>
  <si>
    <t xml:space="preserve">Development Process, Standards, and Tools | Logging Syntax</t>
  </si>
  <si>
    <t xml:space="preserve">Define a standard logging syntax for applications and cloud services so logs are consistent and parseable</t>
  </si>
  <si>
    <t xml:space="preserve">Structured JSON logging standard, common field names</t>
  </si>
  <si>
    <t xml:space="preserve">Logging standard; sample logs</t>
  </si>
  <si>
    <t xml:space="preserve">Provide security training for developers and administrators of cloud systems</t>
  </si>
  <si>
    <t xml:space="preserve">Secure coding and cloud security training</t>
  </si>
  <si>
    <t xml:space="preserve">Structure the design so security-critical parts are isolated and follow least privilege</t>
  </si>
  <si>
    <t xml:space="preserve">Separate security services, isolated accounts, minimal trusted components</t>
  </si>
  <si>
    <t xml:space="preserve">Architecture review</t>
  </si>
  <si>
    <t xml:space="preserve">Screen developers and administrators with access to sensitive systems</t>
  </si>
  <si>
    <t xml:space="preserve">Background checks by role</t>
  </si>
  <si>
    <t xml:space="preserve">Screening records</t>
  </si>
  <si>
    <t xml:space="preserve">Block end-of-life operating system images, runtimes and managed service versions</t>
  </si>
  <si>
    <t xml:space="preserve">Inspector EOL findings, Azure Policy, upgrade policies</t>
  </si>
  <si>
    <t xml:space="preserve">EOL inventory = 0</t>
  </si>
  <si>
    <t xml:space="preserve">Publish an approved system and communications protection policy for cloud networks and cryptography; review annually</t>
  </si>
  <si>
    <t xml:space="preserve">SC-1</t>
  </si>
  <si>
    <t xml:space="preserve">Separate management, user and data planes; expose administrative interfaces only on management networks</t>
  </si>
  <si>
    <t xml:space="preserve">Separate management VPC or VNet, private admin endpoints</t>
  </si>
  <si>
    <t xml:space="preserve">Network diagram; no public admin endpoints</t>
  </si>
  <si>
    <t xml:space="preserve">SC-2, SC-2(2), SC-3(4), SC-3(5), SC-4, SC-4(2), SC-5, SC-5(1), SC-5(3), SC-6, SC-7(3), SC-7(4), SC-7(5), SC-7(7), SC-7(8), SC-7(10), SC-7(11), SC-7(14), SC-7(16), SC-7(17), SC-7(19), SC-7(23), SC-7(28), SC-8(2), SC-8(5), SC-11(1), SC-15, SC-15(1), SC-15(3), SC-15(4), SC-16, SC-16(1), SC-16(2), SC-18, SC-18(1), SC-18(2), SC-18(3), SC-18(4), SC-18(5), SC-23, SC-23(3), SC-24, SC-25, SC-26, SC-27, SC-28, SC-28(2), SC-29, SC-29(1), SC-30, SC-30(2), SC-30(3), SC-30(4), SC-30(5), SC-31, SC-31(1), SC-31(2), SC-31(3), SC-32, SC-34, SC-34(1), SC-34(2), SC-36, SC-36(1), SC-36(2), SC-37, SC-37(1), SC-38, SC-39(2), SC-42, SC-42(1), SC-42(2), SC-42(5), SC-43, SC-44, SC-45, SC-45(1), SC-45(2), SC-46, SC-47, SC-48, SC-48(1), SC-49, SC-50, SC-51</t>
  </si>
  <si>
    <t xml:space="preserve">Do not expose privileged functions to non-privileged users interfaces</t>
  </si>
  <si>
    <t xml:space="preserve">Admin consoles behind VPN or private endpoint and MFA</t>
  </si>
  <si>
    <t xml:space="preserve">Endpoint exposure scan</t>
  </si>
  <si>
    <t xml:space="preserve">SC-2(1), SC-7(15), SC-32(1)</t>
  </si>
  <si>
    <t xml:space="preserve">Isolate security functions (logging, keys, identity, security tooling) from general workloads</t>
  </si>
  <si>
    <t xml:space="preserve">Dedicated security accounts and subscriptions, separate KMS and logging accounts</t>
  </si>
  <si>
    <t xml:space="preserve">Account structure diagram</t>
  </si>
  <si>
    <t xml:space="preserve">SC-3, SC-3(1), SC-3(2), SC-3(3), SC-7(20), SC-11, SC-39, SC-39(1)</t>
  </si>
  <si>
    <t xml:space="preserve">Enable DDoS protection and rate limiting on public endpoints</t>
  </si>
  <si>
    <t xml:space="preserve">AWS Shield and WAF, Azure DDoS Protection, GCP Cloud Armor</t>
  </si>
  <si>
    <t xml:space="preserve">Protection enabled per public endpoint</t>
  </si>
  <si>
    <t xml:space="preserve">Provision bandwidth, capacity and redundancy to absorb DDoS and volumetric attacks</t>
  </si>
  <si>
    <t xml:space="preserve">AWS Shield Advanced, Azure DDoS Network Protection, Cloud Armor with autoscaling</t>
  </si>
  <si>
    <t xml:space="preserve">DDoS plan enabled on public resources</t>
  </si>
  <si>
    <t xml:space="preserve">SC-5(2)</t>
  </si>
  <si>
    <t xml:space="preserve">Monitor and alert on DDoS and traffic attack indicators</t>
  </si>
  <si>
    <t xml:space="preserve">Shield Advanced metrics, Azure DDoS metrics and alerts, Cloud Armor logging</t>
  </si>
  <si>
    <t xml:space="preserve">Alert rule; attack simulation result</t>
  </si>
  <si>
    <t xml:space="preserve">Set service quotas, autoscaling limits and budget alarms</t>
  </si>
  <si>
    <t xml:space="preserve">Service quotas, autoscaling policies, budget alerts</t>
  </si>
  <si>
    <t xml:space="preserve">Quota configuration</t>
  </si>
  <si>
    <t xml:space="preserve">Place only load balancers and WAF in public subnets; keep workloads and databases private; control egress through NAT or firewall</t>
  </si>
  <si>
    <t xml:space="preserve">VPC/VNet design, cloud firewall, WAF, NAT gateway</t>
  </si>
  <si>
    <t xml:space="preserve">Topology review; public IP inventory</t>
  </si>
  <si>
    <t xml:space="preserve">SC-7</t>
  </si>
  <si>
    <t xml:space="preserve">Limit the number of external network access points and route all traffic through managed, inspected entry points</t>
  </si>
  <si>
    <t xml:space="preserve">Central ingress with WAF and load balancer, Transit Gateway inspection, Azure Front Door</t>
  </si>
  <si>
    <t xml:space="preserve">Inventory of internet-facing endpoints</t>
  </si>
  <si>
    <t xml:space="preserve">Manage external telecom connections (VPN, Direct Connect, ExpressRoute) with documented policy and traffic controls</t>
  </si>
  <si>
    <t xml:space="preserve">Approved VPN and private link connections with ACLs and encryption</t>
  </si>
  <si>
    <t xml:space="preserve">Connection register; route table review</t>
  </si>
  <si>
    <t xml:space="preserve">Default deny inbound and outbound traffic; allow only by explicit rule</t>
  </si>
  <si>
    <t xml:space="preserve">Security group defaults, NSG deny rule, firewall policy</t>
  </si>
  <si>
    <t xml:space="preserve">Rules with any-to-any = 0</t>
  </si>
  <si>
    <t xml:space="preserve">Detect and block outbound traffic to malicious destinations</t>
  </si>
  <si>
    <t xml:space="preserve">DNS firewall, AWS Network Firewall domain filtering, Azure Firewall threat intelligence, Cloud NGFW</t>
  </si>
  <si>
    <t xml:space="preserve">Egress filter rules; blocked traffic logs</t>
  </si>
  <si>
    <t xml:space="preserve">SC-7(9)</t>
  </si>
  <si>
    <t xml:space="preserve">Filter egress to approved destinations and use private endpoints to prevent data exfiltration</t>
  </si>
  <si>
    <t xml:space="preserve">VPC endpoints, DNS firewall, Azure Firewall, Private Google Access</t>
  </si>
  <si>
    <t xml:space="preserve">Egress rule review</t>
  </si>
  <si>
    <t xml:space="preserve">Allow inbound traffic only from authorized sources to authorized services</t>
  </si>
  <si>
    <t xml:space="preserve">Security groups scoped to known sources, WAF allow rules, private endpoints</t>
  </si>
  <si>
    <t xml:space="preserve">No open inbound rules to 0.0.0.0/0 except approved</t>
  </si>
  <si>
    <t xml:space="preserve">Deploy host-based firewall and boundary protection on workloads in addition to network controls</t>
  </si>
  <si>
    <t xml:space="preserve">Host firewall via GPO or iptables baseline, Defender for Endpoint, security agent firewall module</t>
  </si>
  <si>
    <t xml:space="preserve">Host firewall compliance report</t>
  </si>
  <si>
    <t xml:space="preserve">SC-7(12), SC-7(18), SC-7(25), SC-7(26), SC-7(27)</t>
  </si>
  <si>
    <t xml:space="preserve">Isolate security tools and support components on separate networks or accounts</t>
  </si>
  <si>
    <t xml:space="preserve">Dedicated security tooling VPC or VNet, separate scanner subnets</t>
  </si>
  <si>
    <t xml:space="preserve">Network segmentation diagram</t>
  </si>
  <si>
    <t xml:space="preserve">SC-7(13), SC-7(29)</t>
  </si>
  <si>
    <t xml:space="preserve">ESBIT-SC-07(16)</t>
  </si>
  <si>
    <t xml:space="preserve">SC-07(16)</t>
  </si>
  <si>
    <t xml:space="preserve">Boundary Protection | Prevent Discovery of System Components</t>
  </si>
  <si>
    <t xml:space="preserve">Prevent discovery of internal system components by external parties; hide internal names, addresses and metadata</t>
  </si>
  <si>
    <t xml:space="preserve">Private subnets and private DNS zones, no public IPs, restrict instance metadata (IMDSv2)</t>
  </si>
  <si>
    <t xml:space="preserve">External scan shows no internal exposure</t>
  </si>
  <si>
    <t xml:space="preserve">Dynamically isolate or segregate components when compromise is detected</t>
  </si>
  <si>
    <t xml:space="preserve">Automated quarantine security group, network isolation via Defender or GuardDuty automation</t>
  </si>
  <si>
    <t xml:space="preserve">Isolation playbook test log</t>
  </si>
  <si>
    <t xml:space="preserve">Isolate system components by function using separate subnets, VPCs or accounts</t>
  </si>
  <si>
    <t xml:space="preserve">Tier-based subnets, account per environment, microsegmentation</t>
  </si>
  <si>
    <t xml:space="preserve">Segmentation review</t>
  </si>
  <si>
    <t xml:space="preserve">SC-7(21)</t>
  </si>
  <si>
    <t xml:space="preserve">Use separate subnets for connections to different security domains</t>
  </si>
  <si>
    <t xml:space="preserve">Dedicated subnets and route tables per domain</t>
  </si>
  <si>
    <t xml:space="preserve">Route table and subnet review</t>
  </si>
  <si>
    <t xml:space="preserve">SC-7(22)</t>
  </si>
  <si>
    <t xml:space="preserve">Apply boundary controls to personal data flows, including data-leak prevention and allowed destinations</t>
  </si>
  <si>
    <t xml:space="preserve">DLP policies, egress allowlists for personal data services</t>
  </si>
  <si>
    <t xml:space="preserve">DLP policy export</t>
  </si>
  <si>
    <t xml:space="preserve">SC-7(24)</t>
  </si>
  <si>
    <t xml:space="preserve">Require TLS 1.2 or higher on all endpoints and disable older protocols</t>
  </si>
  <si>
    <t xml:space="preserve">Load balancer TLS policy, secure transfer required on storage</t>
  </si>
  <si>
    <t xml:space="preserve">TLS scan</t>
  </si>
  <si>
    <t xml:space="preserve">SC-8</t>
  </si>
  <si>
    <t xml:space="preserve">Encrypt all data in transit using approved cryptography (TLS 1.2 or higher)</t>
  </si>
  <si>
    <t xml:space="preserve">ALB and CloudFront TLS policy, Azure minimum TLS version, GCP SSL policies, HTTPS only</t>
  </si>
  <si>
    <t xml:space="preserve">Endpoint TLS scan; policy compliance</t>
  </si>
  <si>
    <t xml:space="preserve">Protect confidentiality and integrity of data during preparation before and handling after transmission</t>
  </si>
  <si>
    <t xml:space="preserve">Encrypt and integrity-check data before transfer and on receipt, checksums and signing</t>
  </si>
  <si>
    <t xml:space="preserve">Transfer job configuration; integrity check log</t>
  </si>
  <si>
    <t xml:space="preserve">Terminate network connections after inactivity or session end</t>
  </si>
  <si>
    <t xml:space="preserve">Load balancer idle timeout, VPN idle timeout, database connection timeout</t>
  </si>
  <si>
    <t xml:space="preserve">Timeout settings export</t>
  </si>
  <si>
    <t xml:space="preserve">Manage encryption keys in cloud KMS/HSM with rotation, separation of duties and restrictive key policies</t>
  </si>
  <si>
    <t xml:space="preserve">AWS KMS, Azure Key Vault, Cloud KMS with automatic rotation</t>
  </si>
  <si>
    <t xml:space="preserve">Key policy and rotation status</t>
  </si>
  <si>
    <t xml:space="preserve">SC-12, SC-12(2)</t>
  </si>
  <si>
    <t xml:space="preserve">Generate, distribute, store and destroy symmetric keys with approved methods and rotation</t>
  </si>
  <si>
    <t xml:space="preserve">KMS automatic key rotation, key policies, scheduled deletion controls</t>
  </si>
  <si>
    <t xml:space="preserve">KMS rotation report</t>
  </si>
  <si>
    <t xml:space="preserve">Manage asymmetric keys and certificates with approved generation, protection and expiry</t>
  </si>
  <si>
    <t xml:space="preserve">Private CA, HSM-backed keys, certificate lifecycle automation</t>
  </si>
  <si>
    <t xml:space="preserve">Key and certificate inventory</t>
  </si>
  <si>
    <t xml:space="preserve">Keep physical control of keys where required using customer-controlled HSMs or external key management</t>
  </si>
  <si>
    <t xml:space="preserve">AWS CloudHSM or External Key Store, Azure Managed HSM, GCP External Key Manager</t>
  </si>
  <si>
    <t xml:space="preserve">Key custody record</t>
  </si>
  <si>
    <t xml:space="preserve">Allow only approved algorithms and key lengths (AES-256, RSA-2048 or higher, SHA-256 or higher)</t>
  </si>
  <si>
    <t xml:space="preserve">KMS key spec settings, TLS cipher policies</t>
  </si>
  <si>
    <t xml:space="preserve">Crypto configuration review</t>
  </si>
  <si>
    <t xml:space="preserve">SC-8(1), SC-8(3), SC-8(4), SC-12(1), SC-12(3), SC-12(6), SC-13, SC-16(3), SC-28(1), SC-28(3), SC-40(1)</t>
  </si>
  <si>
    <t xml:space="preserve">Issue certificates from a trusted CA, auto-renew them and monitor expiry</t>
  </si>
  <si>
    <t xml:space="preserve">AWS Certificate Manager, Key Vault certificates, Certificate Manager</t>
  </si>
  <si>
    <t xml:space="preserve">Certificates nearing expiry = 0</t>
  </si>
  <si>
    <t xml:space="preserve">SC-17, SC-23(5)</t>
  </si>
  <si>
    <t xml:space="preserve">Enable DNSSEC on public zones and restrict zone transfers</t>
  </si>
  <si>
    <t xml:space="preserve">Route 53 DNSSEC, Azure DNS, Cloud DNS DNSSEC</t>
  </si>
  <si>
    <t xml:space="preserve">DNSSEC validation test</t>
  </si>
  <si>
    <t xml:space="preserve">SC-20, SC-20(2), SC-22</t>
  </si>
  <si>
    <t xml:space="preserve">Use secure recursive DNS resolvers with DNSSEC validation and filtering</t>
  </si>
  <si>
    <t xml:space="preserve">Route 53 Resolver DNS Firewall, Azure DNS Private Resolver, Cloud DNS policies</t>
  </si>
  <si>
    <t xml:space="preserve">Resolver configuration export</t>
  </si>
  <si>
    <t xml:space="preserve">Protect session authenticity using TLS, secure and HttpOnly cookies, and token validation</t>
  </si>
  <si>
    <t xml:space="preserve">Secure cookie flags, token signature validation, TLS-only listeners</t>
  </si>
  <si>
    <t xml:space="preserve">Application security scan</t>
  </si>
  <si>
    <t xml:space="preserve">Invalidate session identifiers and tokens at logout</t>
  </si>
  <si>
    <t xml:space="preserve">Token revocation, session invalidation in IdP and application</t>
  </si>
  <si>
    <t xml:space="preserve">Test showing revoked session is rejected</t>
  </si>
  <si>
    <t xml:space="preserve">SC-23(1)</t>
  </si>
  <si>
    <t xml:space="preserve">Enable encryption at rest by default for disks, snapshots, databases and buckets</t>
  </si>
  <si>
    <t xml:space="preserve">EBS/S3/RDS default encryption, Azure storage encryption, GCP CMEK</t>
  </si>
  <si>
    <t xml:space="preserve">Unencrypted resource count = 0</t>
  </si>
  <si>
    <t xml:space="preserve">Encrypt all data at rest with approved cryptography and customer-managed keys for sensitive data</t>
  </si>
  <si>
    <t xml:space="preserve">S3 SSE-KMS, EBS default encryption, Azure Storage and Disk encryption, GCP CMEK</t>
  </si>
  <si>
    <t xml:space="preserve">Encryption compliance report; no unencrypted volumes</t>
  </si>
  <si>
    <t xml:space="preserve">Partition environments into separate accounts, subscriptions or projects (production, non-production, security, logging)</t>
  </si>
  <si>
    <t xml:space="preserve">AWS Organizations, Azure management groups, GCP folders</t>
  </si>
  <si>
    <t xml:space="preserve">Use external detection of malicious code such as sandboxing and threat intelligence scanning</t>
  </si>
  <si>
    <t xml:space="preserve">Defender for Cloud storage malware scanning, GuardDuty Malware Protection, sandbox detonation</t>
  </si>
  <si>
    <t xml:space="preserve">Malware scan enabled on storage</t>
  </si>
  <si>
    <t xml:space="preserve">Distribute processing and storage across multiple zones or regions to limit the impact of failure</t>
  </si>
  <si>
    <t xml:space="preserve">Multi-AZ deployment, multi-region storage and databases</t>
  </si>
  <si>
    <t xml:space="preserve">Architecture and resiliency test</t>
  </si>
  <si>
    <t xml:space="preserve">Isolate workloads: container security contexts, no privileged containers, dedicated hosts where required</t>
  </si>
  <si>
    <t xml:space="preserve">Pod Security Standards, seccomp profiles, sandboxed runtimes</t>
  </si>
  <si>
    <t xml:space="preserve">Privileged container count = 0</t>
  </si>
  <si>
    <t xml:space="preserve">Protect wireless links used by cloud-connected devices with encryption and authentication</t>
  </si>
  <si>
    <t xml:space="preserve">WPA3-Enterprise, device certificates</t>
  </si>
  <si>
    <t xml:space="preserve">Wireless configuration export</t>
  </si>
  <si>
    <t xml:space="preserve">Reduce the detection potential of wireless links where required by policy</t>
  </si>
  <si>
    <t xml:space="preserve">Hidden SSID, reduced transmit power where relevant</t>
  </si>
  <si>
    <t xml:space="preserve">Wireless site survey</t>
  </si>
  <si>
    <t xml:space="preserve">SC-40(2), SC-40(3), SC-40(4)</t>
  </si>
  <si>
    <t xml:space="preserve">Disable or restrict ports and input-output devices that are not needed on cloud workloads</t>
  </si>
  <si>
    <t xml:space="preserve">Disable USB and serial console where unused, restrict serial console access, block unused ports</t>
  </si>
  <si>
    <t xml:space="preserve">Configuration baseline showing disabled devices</t>
  </si>
  <si>
    <t xml:space="preserve">Provide notice to users when sensors or data collection are active on cloud-connected devices</t>
  </si>
  <si>
    <t xml:space="preserve">Consent and privacy notice in application and device onboarding</t>
  </si>
  <si>
    <t xml:space="preserve">Notice text; consent log</t>
  </si>
  <si>
    <t xml:space="preserve">SC-42(4)</t>
  </si>
  <si>
    <t xml:space="preserve">Publish an approved system and information integrity policy covering patching, malware and monitoring; review annually</t>
  </si>
  <si>
    <t xml:space="preserve">5. Vulnerability, Malware &amp; System Integrity</t>
  </si>
  <si>
    <t xml:space="preserve">SI-1</t>
  </si>
  <si>
    <t xml:space="preserve">Automate OS and package patching with maintenance windows and severity-based SLAs</t>
  </si>
  <si>
    <t xml:space="preserve">Systems Manager Patch Manager, Azure Update Manager, GCP OS Patch Management</t>
  </si>
  <si>
    <t xml:space="preserve">Patch compliance percentage</t>
  </si>
  <si>
    <t xml:space="preserve">SI-2, SI-2(2), SI-2(3), SI-2(4)</t>
  </si>
  <si>
    <t xml:space="preserve">Automatically report patch and flaw remediation status across all cloud workloads</t>
  </si>
  <si>
    <t xml:space="preserve">AWS Systems Manager Patch Manager compliance, Azure Update Manager, GCP OS Config</t>
  </si>
  <si>
    <t xml:space="preserve">Patch compliance dashboard</t>
  </si>
  <si>
    <t xml:space="preserve">Enable automatic updates for managed service minor versions and images</t>
  </si>
  <si>
    <t xml:space="preserve">RDS auto minor upgrade, AKS auto-upgrade channel, GKE release channels</t>
  </si>
  <si>
    <t xml:space="preserve">Auto-upgrade flags enabled</t>
  </si>
  <si>
    <t xml:space="preserve">Perform root cause analysis for significant flaws to prevent recurrence</t>
  </si>
  <si>
    <t xml:space="preserve">Post-incident and post-vulnerability review record</t>
  </si>
  <si>
    <t xml:space="preserve">RCA report</t>
  </si>
  <si>
    <t xml:space="preserve">SI-2(7)</t>
  </si>
  <si>
    <t xml:space="preserve">Install anti-malware/EDR on workloads and scan container images and object storage</t>
  </si>
  <si>
    <t xml:space="preserve">Defender for Endpoint, GuardDuty Malware Protection, image scanning</t>
  </si>
  <si>
    <t xml:space="preserve">SI-3</t>
  </si>
  <si>
    <t xml:space="preserve">Allow anti-malware updates and configuration only by privileged users</t>
  </si>
  <si>
    <t xml:space="preserve">Restricted admin rights on endpoint protection console</t>
  </si>
  <si>
    <t xml:space="preserve">Role assignment report</t>
  </si>
  <si>
    <t xml:space="preserve">SI-3(4)</t>
  </si>
  <si>
    <t xml:space="preserve">Test malware detection regularly to verify it works</t>
  </si>
  <si>
    <t xml:space="preserve">EICAR test file, detection validation on a schedule</t>
  </si>
  <si>
    <t xml:space="preserve">Test result log</t>
  </si>
  <si>
    <t xml:space="preserve">SI-3(6)</t>
  </si>
  <si>
    <t xml:space="preserve">Analyse detected malware to learn its behaviour</t>
  </si>
  <si>
    <t xml:space="preserve">Sandbox analysis, EDR investigation tools</t>
  </si>
  <si>
    <t xml:space="preserve">Analysis report</t>
  </si>
  <si>
    <t xml:space="preserve">SI-3(10)</t>
  </si>
  <si>
    <t xml:space="preserve">Enable managed threat detection for accounts, workloads and networks in all regions</t>
  </si>
  <si>
    <t xml:space="preserve">GuardDuty, Defender for Cloud, Security Command Center</t>
  </si>
  <si>
    <t xml:space="preserve">Service enabled in all regions</t>
  </si>
  <si>
    <t xml:space="preserve">SI-2(5), SI-2(6), SI-3(8), SI-4, SI-4(2), SI-4(4), SI-4(5), SI-4(9), SI-4(10), SI-4(11), SI-4(12), SI-4(13), SI-4(16), SI-4(18), SI-4(19), SI-4(21), SI-4(22), SI-4(23), SI-4(24), SI-4(25), SI-5, SI-5(1), SI-6, SI-6(2), SI-6(3), SI-7, SI-7(1), SI-7(2), SI-7(3), SI-7(5), SI-7(8), SI-7(9), SI-7(10), SI-7(12), SI-7(16), SI-7(17), SI-10(3), SI-10(4), SI-10(5), SI-10(6), SI-12, SI-12(3), SI-13, SI-13(1), SI-13(3), SI-13(4), SI-14(1), SI-14(2), SI-14(3), SI-15, SI-16, SI-17, SI-19(4), SI-19(5), SI-19(7), SI-19(8), SI-20, SI-21, SI-22, SI-23</t>
  </si>
  <si>
    <t xml:space="preserve">Deploy a system-wide intrusion detection capability across the cloud estate</t>
  </si>
  <si>
    <t xml:space="preserve">GuardDuty, Defender for Cloud, Cloud IDS, network IDS on traffic mirroring</t>
  </si>
  <si>
    <t xml:space="preserve">IDS enabled in all accounts and regions</t>
  </si>
  <si>
    <t xml:space="preserve">SI-4(1), SI-4(3)</t>
  </si>
  <si>
    <t xml:space="preserve">Use automated tools for near real-time analysis of events</t>
  </si>
  <si>
    <t xml:space="preserve">SIEM streaming analytics, Security Hub, SCC real-time findings</t>
  </si>
  <si>
    <t xml:space="preserve">Alerting latency test</t>
  </si>
  <si>
    <t xml:space="preserve">Enable network flow logs and monitor inbound and outbound traffic</t>
  </si>
  <si>
    <t xml:space="preserve">VPC Flow Logs, NSG flow logs, GCP VPC Flow Logs</t>
  </si>
  <si>
    <t xml:space="preserve">Flow logs on every VPC/VNet</t>
  </si>
  <si>
    <t xml:space="preserve">Generate alerts when compromise indicators are detected and send them to responders</t>
  </si>
  <si>
    <t xml:space="preserve">GuardDuty and Defender alert routing to on-call and ticketing</t>
  </si>
  <si>
    <t xml:space="preserve">Alert route test</t>
  </si>
  <si>
    <t xml:space="preserve">Automate responses to suspicious events such as isolating a host or disabling a key</t>
  </si>
  <si>
    <t xml:space="preserve">EventBridge and Lambda remediation, Sentinel playbooks, SOAR automation</t>
  </si>
  <si>
    <t xml:space="preserve">SI-4(7), SI-7(7)</t>
  </si>
  <si>
    <t xml:space="preserve">Analyse outbound traffic for anomalies indicating compromise or exfiltration</t>
  </si>
  <si>
    <t xml:space="preserve">VPC flow log analytics, Azure Traffic Analytics, network detection tools</t>
  </si>
  <si>
    <t xml:space="preserve">Anomaly detection rule list</t>
  </si>
  <si>
    <t xml:space="preserve">Send automated alerts for organization-defined indicators to designated personnel</t>
  </si>
  <si>
    <t xml:space="preserve">Alert rules to Slack, email, pager and ticketing</t>
  </si>
  <si>
    <t xml:space="preserve">Alert rules and route test</t>
  </si>
  <si>
    <t xml:space="preserve">Where cloud-managed wireless exists, enable wireless intrusion detection</t>
  </si>
  <si>
    <t xml:space="preserve">Cloud-managed WIDS or WIPS rogue detection</t>
  </si>
  <si>
    <t xml:space="preserve">Rogue AP report</t>
  </si>
  <si>
    <t xml:space="preserve">SI-4(14), SI-4(15)</t>
  </si>
  <si>
    <t xml:space="preserve">Correlate monitoring data from cloud, network and endpoint sources for situational awareness</t>
  </si>
  <si>
    <t xml:space="preserve">XDR or SIEM correlation, unified dashboards</t>
  </si>
  <si>
    <t xml:space="preserve">Correlated view of sources</t>
  </si>
  <si>
    <t xml:space="preserve">SI-4(17)</t>
  </si>
  <si>
    <t xml:space="preserve">Analyse traffic to find covert channels and data exfiltration</t>
  </si>
  <si>
    <t xml:space="preserve">DNS tunnelling detection, GuardDuty exfiltration findings, egress analytics</t>
  </si>
  <si>
    <t xml:space="preserve">Exfiltration detection rules enabled</t>
  </si>
  <si>
    <t xml:space="preserve">Give privileged users additional monitoring of their sessions and actions</t>
  </si>
  <si>
    <t xml:space="preserve">Privileged activity alerts, PIM audit, session recording</t>
  </si>
  <si>
    <t xml:space="preserve">Privileged activity dashboard</t>
  </si>
  <si>
    <t xml:space="preserve">SI-4(20)</t>
  </si>
  <si>
    <t xml:space="preserve">Detect unauthorized network services and listening ports</t>
  </si>
  <si>
    <t xml:space="preserve">Inspector network reachability, Defender vulnerability assessment, port scans</t>
  </si>
  <si>
    <t xml:space="preserve">Unauthorized service report</t>
  </si>
  <si>
    <t xml:space="preserve">Optimise network traffic analysis by tuning taps, mirroring and flow log fields</t>
  </si>
  <si>
    <t xml:space="preserve">VPC Traffic Mirroring, flow log custom fields, packet mirroring</t>
  </si>
  <si>
    <t xml:space="preserve">Traffic analysis coverage report</t>
  </si>
  <si>
    <t xml:space="preserve">Enable file integrity monitoring and configuration integrity checks</t>
  </si>
  <si>
    <t xml:space="preserve">Defender FIM, AIDE or Wazuh agents, AWS Config</t>
  </si>
  <si>
    <t xml:space="preserve">Integrity alerts reviewed</t>
  </si>
  <si>
    <t xml:space="preserve">Run integrity checks on software, configuration and data at start-up and on a schedule</t>
  </si>
  <si>
    <t xml:space="preserve">File integrity monitoring, Defender FIM, AIDE, AWS Config drift detection</t>
  </si>
  <si>
    <t xml:space="preserve">Integrity check reports</t>
  </si>
  <si>
    <t xml:space="preserve">Use cryptographic protection (hash, signature) to detect unauthorized changes to software and data</t>
  </si>
  <si>
    <t xml:space="preserve">Signed images, S3 object checksums, Azure Confidential ledger, Binary Authorization</t>
  </si>
  <si>
    <t xml:space="preserve">Signature verification logs</t>
  </si>
  <si>
    <t xml:space="preserve">SI-7(6), SI-7(15)</t>
  </si>
  <si>
    <t xml:space="preserve">Integrate integrity violation detection into the incident response process</t>
  </si>
  <si>
    <t xml:space="preserve">FIM alerts routed to SOC and tickets</t>
  </si>
  <si>
    <t xml:space="preserve">Alert to ticket example</t>
  </si>
  <si>
    <t xml:space="preserve">Log and audit significant integrity violations and take defined action</t>
  </si>
  <si>
    <t xml:space="preserve">FIM alerting, log integrity alerts, automated rollback</t>
  </si>
  <si>
    <t xml:space="preserve">Violation audit records</t>
  </si>
  <si>
    <t xml:space="preserve">Use secure boot and measured boot for virtual machines</t>
  </si>
  <si>
    <t xml:space="preserve">Shielded VMs, Azure Trusted Launch, AWS Nitro secure boot with NitroTPM</t>
  </si>
  <si>
    <t xml:space="preserve">Secure boot enabled</t>
  </si>
  <si>
    <t xml:space="preserve">Deploy spam and phishing protection on email and messaging used by the cloud environment</t>
  </si>
  <si>
    <t xml:space="preserve">Exchange Online Protection, Defender for Office 365, Google Workspace Gmail protection, Amazon SES filtering</t>
  </si>
  <si>
    <t xml:space="preserve">Filter policy export</t>
  </si>
  <si>
    <t xml:space="preserve">SI-8</t>
  </si>
  <si>
    <t xml:space="preserve">Update spam protection signatures and models automatically</t>
  </si>
  <si>
    <t xml:space="preserve">Automatic updates in email protection service</t>
  </si>
  <si>
    <t xml:space="preserve">Update status</t>
  </si>
  <si>
    <t xml:space="preserve">SI-8(2), SI-8(3)</t>
  </si>
  <si>
    <t xml:space="preserve">Deploy WAF with managed rule sets to block injection and malformed input</t>
  </si>
  <si>
    <t xml:space="preserve">AWS WAF, Azure WAF, Cloud Armor</t>
  </si>
  <si>
    <t xml:space="preserve">WAF blocks test payload</t>
  </si>
  <si>
    <t xml:space="preserve">SI-10, SI-10(1), SI-10(2), SI-11</t>
  </si>
  <si>
    <t xml:space="preserve">Set data lifecycle policies for retention and deletion</t>
  </si>
  <si>
    <t xml:space="preserve">S3, Blob and GCS lifecycle rules</t>
  </si>
  <si>
    <t xml:space="preserve">Lifecycle rules present</t>
  </si>
  <si>
    <t xml:space="preserve">Minimize personal data in testing, training and research using masked or synthetic data</t>
  </si>
  <si>
    <t xml:space="preserve">Data masking pipeline, synthetic data</t>
  </si>
  <si>
    <t xml:space="preserve">SI-12(2)</t>
  </si>
  <si>
    <t xml:space="preserve">Provide failover capability for critical services</t>
  </si>
  <si>
    <t xml:space="preserve">Multi-AZ RDS, auto-scaling groups, Azure availability zones, regional failover</t>
  </si>
  <si>
    <t xml:space="preserve">Failover test</t>
  </si>
  <si>
    <t xml:space="preserve">SI-13(5)</t>
  </si>
  <si>
    <t xml:space="preserve">Use non-persistent, rebuildable components and refresh them periodically to limit attacker persistence</t>
  </si>
  <si>
    <t xml:space="preserve">Immutable infrastructure, ephemeral containers, scheduled instance refresh</t>
  </si>
  <si>
    <t xml:space="preserve">Instance age report</t>
  </si>
  <si>
    <t xml:space="preserve">Maintain accuracy and quality of personal data through correction and de-duplication processes</t>
  </si>
  <si>
    <t xml:space="preserve">Data quality rules and correction workflow</t>
  </si>
  <si>
    <t xml:space="preserve">Data quality report</t>
  </si>
  <si>
    <t xml:space="preserve">SI-12(1), SI-18, SI-18(1), SI-18(2), SI-18(3), SI-18(4), SI-18(5), SI-19, SI-19(1), SI-19(2), SI-19(3), SI-19(6)</t>
  </si>
  <si>
    <t xml:space="preserve">Use tainting or data tracing to detect unauthorized data exfiltration or use of data</t>
  </si>
  <si>
    <t xml:space="preserve">Canary tokens, honeytokens, DLP fingerprinting, Macie alerts</t>
  </si>
  <si>
    <t xml:space="preserve">Canary trigger test</t>
  </si>
  <si>
    <t xml:space="preserve">Network Security Configuration Baseline (NIST SP 800-53 Rev. 5 - core configuration items)</t>
  </si>
  <si>
    <t xml:space="preserve">Purpose: this sheet turns the NIST SP 800-53 Rev. 5 controls into the core Network Security Configuration Baseline for routers, switches, firewalls, wireless controllers and access points, VPN and DNS/NTP services. It lists what administrators must configure, implement, install or enable on network devices.</t>
  </si>
  <si>
    <t xml:space="preserve">Scope: only rows tagged Network in the Config Baseline sheet are considered, limited to the 8 families requested (AC, AU, CA, CM, IA, RA, SC, SI). Other families (for example CP, IR, MA, PE) are left to their own baselines, and process controls are excluded.</t>
  </si>
  <si>
    <t xml:space="preserve">Selection principle: controls with a similar effect were consolidated so that only the main baseline items remain. For example AU-8 covers time synchronization (SC-45 is not repeated), AC-12 covers session timeouts (SC-10 is not repeated), and SC-20 covers DNS hardening (SC-21 and SC-22 are not repeated).</t>
  </si>
  <si>
    <t xml:space="preserve">Examples use common vendor terms (Cisco IOS, Junos, Palo Alto, FortiGate) as guidance only; map each item to the exact syntax and feature of the devices in use. Level is taken from the Config Baseline sheet (Level 1 = mandatory, Level 3 = lowest impact).</t>
  </si>
  <si>
    <t xml:space="preserve">Central AAA, role-based command authorization, management-plane restriction, lockout, banner, idle timeout, secure remote access, wireless security.</t>
  </si>
  <si>
    <t xml:space="preserve">Device logging, remote TLS syslog, SIEM correlation, authenticated NTP, retention and failure alerts.</t>
  </si>
  <si>
    <t xml:space="preserve">Secure partner/WAN links, configuration drift monitoring, documented inter-zone flows.</t>
  </si>
  <si>
    <t xml:space="preserve">Golden templates, config backup and versioning, change control, CIS hardening and automation, disabling unused services, inventory and rogue-device detection, signed firmware.</t>
  </si>
  <si>
    <t xml:space="preserve">Named admin accounts, MFA, 802.1X device authentication, strong secrets and SNMPv3, SSH keys, guest authentication.</t>
  </si>
  <si>
    <t xml:space="preserve">Scheduled and credentialed vulnerability scanning of network devices and firmware.</t>
  </si>
  <si>
    <t xml:space="preserve">Management plane separation, DoS protection, perimeter firewall/DMZ, default deny, egress filtering, segmentation, fail-closed, encryption in transit, key/PKI management, DNS hardening, wireless protection.</t>
  </si>
  <si>
    <t xml:space="preserve">Firmware patching, gateway malware inspection, IDS/IPS and flow monitoring, wireless IDS, DHCP snooping/DAI, firmware integrity and secure boot, email gateway.</t>
  </si>
  <si>
    <t xml:space="preserve">Manage administrator accounts centrally through AAA (TACACS+/RADIUS); disable or rename default and local accounts; keep one protected break-glass account</t>
  </si>
  <si>
    <t xml:space="preserve">Cisco ISE or ClearPass TACACS+, Palo Alto and Juniper admin roles via LDAP/SAML</t>
  </si>
  <si>
    <t xml:space="preserve">AAA configuration; local account list</t>
  </si>
  <si>
    <t xml:space="preserve">Enforce role-based command authorization (read-only, operator, administrator) on every network device</t>
  </si>
  <si>
    <t xml:space="preserve">TACACS+ command authorization, Palo Alto admin roles, Junos login classes</t>
  </si>
  <si>
    <t xml:space="preserve">Test login with a read-only user</t>
  </si>
  <si>
    <t xml:space="preserve">Control traffic between zones with ACLs and firewall policy; segment by VLAN/VRF (users, servers, management, guest, IoT)</t>
  </si>
  <si>
    <t xml:space="preserve">Cisco ACL and zone-based firewall, Palo Alto zones, FortiGate policies, VLAN/VRF</t>
  </si>
  <si>
    <t xml:space="preserve">Rulebase and ACL review</t>
  </si>
  <si>
    <t xml:space="preserve">Assign least-privilege levels to administrators; only the network team can change configuration</t>
  </si>
  <si>
    <t xml:space="preserve">Privilege levels, Junos login classes, RBAC profiles</t>
  </si>
  <si>
    <t xml:space="preserve">Role assignment list</t>
  </si>
  <si>
    <t xml:space="preserve">Allow privileged commands only from the management network or jump host</t>
  </si>
  <si>
    <t xml:space="preserve">Management ACL, dedicated management VLAN, control-plane policing</t>
  </si>
  <si>
    <t xml:space="preserve">Access from a non-management IP fails</t>
  </si>
  <si>
    <t xml:space="preserve">Log all privileged commands executed on devices</t>
  </si>
  <si>
    <t xml:space="preserve">TACACS+ accounting, archive logging, Junos change-log</t>
  </si>
  <si>
    <t xml:space="preserve">Accounting log sample</t>
  </si>
  <si>
    <t xml:space="preserve">Lock out or delay after 3-5 failed logins</t>
  </si>
  <si>
    <t xml:space="preserve">login block-for, Junos login retry-options, firewall admin lockout</t>
  </si>
  <si>
    <t xml:space="preserve">Failed-login test</t>
  </si>
  <si>
    <t xml:space="preserve">Configure a legal warning banner on console, SSH and web management</t>
  </si>
  <si>
    <t xml:space="preserve">banner login and banner motd, Junos login message</t>
  </si>
  <si>
    <t xml:space="preserve">Banner displayed at login</t>
  </si>
  <si>
    <t xml:space="preserve">Set an idle timeout for management sessions (for example 10 minutes)</t>
  </si>
  <si>
    <t xml:space="preserve">exec-timeout, Junos idle-timeout, web admin timeout</t>
  </si>
  <si>
    <t xml:space="preserve">Idle session closes</t>
  </si>
  <si>
    <t xml:space="preserve">Permit management only through SSHv2, HTTPS or VPN from approved sources; disable Telnet and HTTP</t>
  </si>
  <si>
    <t xml:space="preserve">transport input ssh, ip http secure-server only, management access lists</t>
  </si>
  <si>
    <t xml:space="preserve">Port scan shows only 22/443 from management network</t>
  </si>
  <si>
    <t xml:space="preserve">Encrypt remote-access VPN with strong cipher suites</t>
  </si>
  <si>
    <t xml:space="preserve">IPsec IKEv2 with AES-256-GCM, SSL VPN with TLS 1.2 or higher</t>
  </si>
  <si>
    <t xml:space="preserve">VPN cipher report</t>
  </si>
  <si>
    <t xml:space="preserve">Configure WLAN controllers and access points with separate SSIDs (corporate, guest, IoT), disabled WPS and protected management</t>
  </si>
  <si>
    <t xml:space="preserve">Wireless controller SSID-to-VLAN mapping</t>
  </si>
  <si>
    <t xml:space="preserve">SSID inventory</t>
  </si>
  <si>
    <t xml:space="preserve">Use WPA3-Enterprise (802.1X) for corporate wireless and WPA3-Personal or OWE with client isolation for guests</t>
  </si>
  <si>
    <t xml:space="preserve">Controller WLAN security profile with RADIUS</t>
  </si>
  <si>
    <t xml:space="preserve">Wireless security scan</t>
  </si>
  <si>
    <t xml:space="preserve">Enable logging of authentication, configuration changes, ACL and firewall hits, and interface and routing events</t>
  </si>
  <si>
    <t xml:space="preserve">logging trap informational, Junos syslog, firewall traffic and threat logs</t>
  </si>
  <si>
    <t xml:space="preserve">Event list compared with standard</t>
  </si>
  <si>
    <t xml:space="preserve">Log timestamp, source, user, action, result and device name in standard syslog format</t>
  </si>
  <si>
    <t xml:space="preserve">logging origin-id, timestamps with milliseconds</t>
  </si>
  <si>
    <t xml:space="preserve">Sample log review</t>
  </si>
  <si>
    <t xml:space="preserve">Size local log buffers and provision remote log storage capacity</t>
  </si>
  <si>
    <t xml:space="preserve">logging buffered size, remote syslog storage sizing</t>
  </si>
  <si>
    <t xml:space="preserve">Buffer setting</t>
  </si>
  <si>
    <t xml:space="preserve">Alert when logging fails or the syslog server is unreachable</t>
  </si>
  <si>
    <t xml:space="preserve">Syslog heartbeat check, SNMP trap or monitoring alert</t>
  </si>
  <si>
    <t xml:space="preserve">Forward logs to the SIEM with rules for brute force, configuration change and deny-rate spikes</t>
  </si>
  <si>
    <t xml:space="preserve">SIEM use cases</t>
  </si>
  <si>
    <t xml:space="preserve">Rule inventory</t>
  </si>
  <si>
    <t xml:space="preserve">Synchronize device clocks to internal authoritative NTP servers with authentication and UTC time</t>
  </si>
  <si>
    <t xml:space="preserve">ntp server with authentication key, clock timezone UTC</t>
  </si>
  <si>
    <t xml:space="preserve">NTP status shows synchronized</t>
  </si>
  <si>
    <t xml:space="preserve">Send logs to a remote server over a secured channel and restrict access to the log server</t>
  </si>
  <si>
    <t xml:space="preserve">Syslog over TLS, dedicated log VLAN</t>
  </si>
  <si>
    <t xml:space="preserve">TLS syslog test</t>
  </si>
  <si>
    <t xml:space="preserve">Retain logs per policy (for example 12 months) and archive older logs</t>
  </si>
  <si>
    <t xml:space="preserve">SIEM retention setting</t>
  </si>
  <si>
    <t xml:space="preserve">Enable logging on all device types and interfaces, including hits on the final deny rule</t>
  </si>
  <si>
    <t xml:space="preserve">log on deny-all rule, flow export enabled</t>
  </si>
  <si>
    <t xml:space="preserve">Logging compliance report</t>
  </si>
  <si>
    <t xml:space="preserve">Secure partner and WAN connections with site-to-site IPsec, restrictive edge ACLs and documented per-connection rules</t>
  </si>
  <si>
    <t xml:space="preserve">IPsec VPN, per-partner firewall policy</t>
  </si>
  <si>
    <t xml:space="preserve">Connection register</t>
  </si>
  <si>
    <t xml:space="preserve">Continuously compare running configuration with the baseline and alert on drift</t>
  </si>
  <si>
    <t xml:space="preserve">Network configuration management tool, Ansible check mode, RANCID</t>
  </si>
  <si>
    <t xml:space="preserve">Drift report</t>
  </si>
  <si>
    <t xml:space="preserve">Restrict internal connections between zones to documented flows</t>
  </si>
  <si>
    <t xml:space="preserve">Inter-VLAN ACL, internal firewall policy</t>
  </si>
  <si>
    <t xml:space="preserve">Flow matrix compared with rules</t>
  </si>
  <si>
    <t xml:space="preserve">Maintain hardened configuration templates per device role (router, switch, firewall, access point)</t>
  </si>
  <si>
    <t xml:space="preserve">Golden configuration templates, Ansible Jinja templates</t>
  </si>
  <si>
    <t xml:space="preserve">Template repository</t>
  </si>
  <si>
    <t xml:space="preserve">Back up and version every configuration after each change</t>
  </si>
  <si>
    <t xml:space="preserve">Automated configuration backup, Git, archive config</t>
  </si>
  <si>
    <t xml:space="preserve">Backup age under 24 hours</t>
  </si>
  <si>
    <t xml:space="preserve">Apply changes through approved change requests with pre-checks and post-checks, and log every change</t>
  </si>
  <si>
    <t xml:space="preserve">Change ticket, config archive, commit confirmed</t>
  </si>
  <si>
    <t xml:space="preserve">Change record compared with config diff</t>
  </si>
  <si>
    <t xml:space="preserve">Allow only authorized administrators to enter configuration mode and require commit approval where supported</t>
  </si>
  <si>
    <t xml:space="preserve">Privilege 15 restricted, Junos commit confirmed</t>
  </si>
  <si>
    <t xml:space="preserve">Access list review</t>
  </si>
  <si>
    <t xml:space="preserve">Apply CIS or vendor hardening benchmark settings to every device</t>
  </si>
  <si>
    <t xml:space="preserve">CIS benchmarks for Cisco IOS/NX-OS, Palo Alto and Fortinet</t>
  </si>
  <si>
    <t xml:space="preserve">Benchmark scan</t>
  </si>
  <si>
    <t xml:space="preserve">Automate deployment and compliance verification of settings</t>
  </si>
  <si>
    <t xml:space="preserve">Ansible, NAPALM, network automation compliance checks</t>
  </si>
  <si>
    <t xml:space="preserve">Compliance percentage</t>
  </si>
  <si>
    <t xml:space="preserve">Alert on or automatically revert unauthorized configuration changes</t>
  </si>
  <si>
    <t xml:space="preserve">Configuration change detection with rollback</t>
  </si>
  <si>
    <t xml:space="preserve">Test alert or rollback</t>
  </si>
  <si>
    <t xml:space="preserve">Disable unused ports, services and protocols (Telnet, HTTP, CDP/LLDP where unneeded, SNMPv1/v2c, small services) and shut unused interfaces</t>
  </si>
  <si>
    <t xml:space="preserve">no ip http server, no cdp run, shutdown unused ports in a parking VLAN</t>
  </si>
  <si>
    <t xml:space="preserve">Service and port audit</t>
  </si>
  <si>
    <t xml:space="preserve">Maintain an inventory of network devices with firmware, serial number and owner</t>
  </si>
  <si>
    <t xml:space="preserve">CMDB, NetBox</t>
  </si>
  <si>
    <t xml:space="preserve">Inventory reconciliation</t>
  </si>
  <si>
    <t xml:space="preserve">Detect rogue devices on the network automatically</t>
  </si>
  <si>
    <t xml:space="preserve">NAC profiling, port security, rogue AP detection</t>
  </si>
  <si>
    <t xml:space="preserve">Rogue device alert</t>
  </si>
  <si>
    <t xml:space="preserve">Install only vendor-signed firmware and verify image hashes before upgrade</t>
  </si>
  <si>
    <t xml:space="preserve">verify /sha512, secure boot, signed images</t>
  </si>
  <si>
    <t xml:space="preserve">Hash verification record</t>
  </si>
  <si>
    <t xml:space="preserve">Require unique named administrator accounts integrated with the directory; no shared accounts</t>
  </si>
  <si>
    <t xml:space="preserve">TACACS+/RADIUS with LDAP</t>
  </si>
  <si>
    <t xml:space="preserve">Account audit</t>
  </si>
  <si>
    <t xml:space="preserve">Require MFA for administrative access to network devices and management consoles</t>
  </si>
  <si>
    <t xml:space="preserve">TACACS+ with MFA, SSO for management portals</t>
  </si>
  <si>
    <t xml:space="preserve">MFA login test</t>
  </si>
  <si>
    <t xml:space="preserve">Authenticate devices before granting network access using 802.1X, MAB, certificates and port security</t>
  </si>
  <si>
    <t xml:space="preserve">802.1X with EAP-TLS, ISE or ClearPass, MACsec</t>
  </si>
  <si>
    <t xml:space="preserve">Unauthorized device is denied</t>
  </si>
  <si>
    <t xml:space="preserve">Set a strong secret policy: replace defaults, use type-8/9 hashing and SNMPv3 authPriv, rotate keys</t>
  </si>
  <si>
    <t xml:space="preserve">enable algorithm-type scrypt, SNMPv3 authPriv, long IKE pre-shared keys</t>
  </si>
  <si>
    <t xml:space="preserve">Configuration audit for weak secrets</t>
  </si>
  <si>
    <t xml:space="preserve">Use SSH public-key or certificate authentication for administrative access</t>
  </si>
  <si>
    <t xml:space="preserve">ip ssh pubkey-chain, Junos SSH keys</t>
  </si>
  <si>
    <t xml:space="preserve">Password login disabled</t>
  </si>
  <si>
    <t xml:space="preserve">Store no plaintext credentials in configurations</t>
  </si>
  <si>
    <t xml:space="preserve">service password-encryption, secrets held in vault</t>
  </si>
  <si>
    <t xml:space="preserve">Configuration scan for cleartext secrets</t>
  </si>
  <si>
    <t xml:space="preserve">Authenticate guest and external users through a captive portal or sponsor with isolation</t>
  </si>
  <si>
    <t xml:space="preserve">Guest portal with isolated VLAN</t>
  </si>
  <si>
    <t xml:space="preserve">Guest access test</t>
  </si>
  <si>
    <t xml:space="preserve">Scan network devices and firmware for vulnerabilities on a schedule</t>
  </si>
  <si>
    <t xml:space="preserve">Nessus, Qualys or Rapid7 network scan policy</t>
  </si>
  <si>
    <t xml:space="preserve">Scan report</t>
  </si>
  <si>
    <t xml:space="preserve">Use credentialed scans over SSH or SNMPv3</t>
  </si>
  <si>
    <t xml:space="preserve">Scanner credentials for network devices</t>
  </si>
  <si>
    <t xml:space="preserve">Credentialed scan coverage</t>
  </si>
  <si>
    <t xml:space="preserve">Separate the management plane from the data plane through out-of-band or a dedicated management VRF</t>
  </si>
  <si>
    <t xml:space="preserve">Management VRF, out-of-band network</t>
  </si>
  <si>
    <t xml:space="preserve">Management isolation test</t>
  </si>
  <si>
    <t xml:space="preserve">Enable rate limiting, control-plane policing, SYN-flood protection and uRPF</t>
  </si>
  <si>
    <t xml:space="preserve">CoPP, storm-control, DoS protection profile</t>
  </si>
  <si>
    <t xml:space="preserve">CoPP policy present</t>
  </si>
  <si>
    <t xml:space="preserve">Deploy a perimeter firewall and DMZ with managed interfaces and traffic inspection (IPS, application control)</t>
  </si>
  <si>
    <t xml:space="preserve">NGFW zones, DMZ VLAN</t>
  </si>
  <si>
    <t xml:space="preserve">Rulebase review</t>
  </si>
  <si>
    <t xml:space="preserve">Deny all by default and permit only by explicit rule</t>
  </si>
  <si>
    <t xml:space="preserve">Explicit deny-all rule at the end of each policy</t>
  </si>
  <si>
    <t xml:space="preserve">Any-to-any rules = 0</t>
  </si>
  <si>
    <t xml:space="preserve">Prevent split tunneling on remote-access VPN</t>
  </si>
  <si>
    <t xml:space="preserve">Full-tunnel VPN policy</t>
  </si>
  <si>
    <t xml:space="preserve">VPN policy check</t>
  </si>
  <si>
    <t xml:space="preserve">Filter egress traffic and block spoofed source addresses</t>
  </si>
  <si>
    <t xml:space="preserve">uRPF, anti-spoofing ACL, egress rules</t>
  </si>
  <si>
    <t xml:space="preserve">Egress rule check</t>
  </si>
  <si>
    <t xml:space="preserve">Block data exfiltration paths using DNS filtering, URL filtering and egress inspection</t>
  </si>
  <si>
    <t xml:space="preserve">Web filter, DNS security profile</t>
  </si>
  <si>
    <t xml:space="preserve">Block test</t>
  </si>
  <si>
    <t xml:space="preserve">Isolate security tools (SIEM, management, NAC) on a protected management segment</t>
  </si>
  <si>
    <t xml:space="preserve">Dedicated VLAN and firewall zone</t>
  </si>
  <si>
    <t xml:space="preserve">Segment ACL review</t>
  </si>
  <si>
    <t xml:space="preserve">Fail closed when a security device fails</t>
  </si>
  <si>
    <t xml:space="preserve">Firewall fail-closed and HA policy</t>
  </si>
  <si>
    <t xml:space="preserve">Isolate critical components using VLAN, VRF or microsegmentation</t>
  </si>
  <si>
    <t xml:space="preserve">VRF-lite, VXLAN segments</t>
  </si>
  <si>
    <t xml:space="preserve">Segmentation test</t>
  </si>
  <si>
    <t xml:space="preserve">Encrypt traffic in transit with IPsec, MACsec or TLS and disable legacy protocols</t>
  </si>
  <si>
    <t xml:space="preserve">IPsec IKEv2 with AES-GCM, MACsec on uplinks</t>
  </si>
  <si>
    <t xml:space="preserve">Protocol scan</t>
  </si>
  <si>
    <t xml:space="preserve">Manage VPN and device keys: length, lifetime, rotation and secure storage</t>
  </si>
  <si>
    <t xml:space="preserve">PKI, IKE key lifetime settings</t>
  </si>
  <si>
    <t xml:space="preserve">Key lifetime settings</t>
  </si>
  <si>
    <t xml:space="preserve">Allow only approved cryptography: AES-256, SHA-256 or higher, DH group 14 or higher or ECDH, TLS 1.2 or higher</t>
  </si>
  <si>
    <t xml:space="preserve">Device crypto policy</t>
  </si>
  <si>
    <t xml:space="preserve">Cipher scan</t>
  </si>
  <si>
    <t xml:space="preserve">Install device certificates from the enterprise PKI with automatic enrollment</t>
  </si>
  <si>
    <t xml:space="preserve">SCEP or EST enrollment</t>
  </si>
  <si>
    <t xml:space="preserve">Certificate expiry list</t>
  </si>
  <si>
    <t xml:space="preserve">Harden DNS servers: enable DNSSEC validation, restrict recursion and zone transfers</t>
  </si>
  <si>
    <t xml:space="preserve">BIND or Windows DNS hardening</t>
  </si>
  <si>
    <t xml:space="preserve">DNS configuration test</t>
  </si>
  <si>
    <t xml:space="preserve">Protect wireless links with WPA3, protected management frames and rogue AP containment</t>
  </si>
  <si>
    <t xml:space="preserve">Controller WIPS settings</t>
  </si>
  <si>
    <t xml:space="preserve">Wireless assessment</t>
  </si>
  <si>
    <t xml:space="preserve">Patch device firmware and OS on a schedule with severity SLAs, testing in a lab first</t>
  </si>
  <si>
    <t xml:space="preserve">Vendor advisories, maintenance windows</t>
  </si>
  <si>
    <t xml:space="preserve">Firmware version report</t>
  </si>
  <si>
    <t xml:space="preserve">Enable malware and sandbox inspection at network gateways</t>
  </si>
  <si>
    <t xml:space="preserve">NGFW antivirus and sandbox profile</t>
  </si>
  <si>
    <t xml:space="preserve">Profile enabled</t>
  </si>
  <si>
    <t xml:space="preserve">Deploy IDS/IPS and export NetFlow or sFlow to monitoring</t>
  </si>
  <si>
    <t xml:space="preserve">Threat prevention profiles, Zeek or Suricata sensors</t>
  </si>
  <si>
    <t xml:space="preserve">Sensor coverage</t>
  </si>
  <si>
    <t xml:space="preserve">Monitor inbound and outbound traffic and alert on anomalies</t>
  </si>
  <si>
    <t xml:space="preserve">NetFlow analyzer, NDR</t>
  </si>
  <si>
    <t xml:space="preserve">Alert rule present</t>
  </si>
  <si>
    <t xml:space="preserve">Deploy wireless intrusion detection to find rogue access points and attacks</t>
  </si>
  <si>
    <t xml:space="preserve">Controller WIPS</t>
  </si>
  <si>
    <t xml:space="preserve">Rogue AP alert</t>
  </si>
  <si>
    <t xml:space="preserve">Detect unauthorized network services and rogue DHCP or DNS</t>
  </si>
  <si>
    <t xml:space="preserve">DHCP snooping, dynamic ARP inspection, IP source guard</t>
  </si>
  <si>
    <t xml:space="preserve">Snooping enabled</t>
  </si>
  <si>
    <t xml:space="preserve">Verify integrity of firmware and configuration</t>
  </si>
  <si>
    <t xml:space="preserve">Image signature verification, configuration hash</t>
  </si>
  <si>
    <t xml:space="preserve">Verification log</t>
  </si>
  <si>
    <t xml:space="preserve">Enable secure boot or trust anchor on devices</t>
  </si>
  <si>
    <t xml:space="preserve">Cisco Trust Anchor, secure boot</t>
  </si>
  <si>
    <t xml:space="preserve">Secure boot status</t>
  </si>
  <si>
    <t xml:space="preserve">Deploy an email and spam gateway with filtering and automatic updates</t>
  </si>
  <si>
    <t xml:space="preserve">Secure email gateway</t>
  </si>
  <si>
    <t xml:space="preserve">Filter policy enabled</t>
  </si>
  <si>
    <t xml:space="preserve">Identity Configuration Baseline (NIST SP 800-53 Rev. 5 - core configuration items)</t>
  </si>
  <si>
    <t xml:space="preserve">Purpose: this sheet turns the NIST SP 800-53 Rev. 5 controls into the core Identity Configuration Baseline for directories (Active Directory, Entra ID, LDAP), identity providers and SSO, privileged access management and identity governance. It lists the settings administrators must configure, implement, install or enable.</t>
  </si>
  <si>
    <t xml:space="preserve">Scope: only rows tagged Identity in the Config Baseline sheet are considered, limited to the 3 families AC, IA, PS. Controls for other domains are left to their own baselines.</t>
  </si>
  <si>
    <t xml:space="preserve">Selection principle: controls with a similar effect were consolidated so that only the main baseline items remain. Only rows tagged for this domain in the Config Baseline sheet were considered; base controls and the enhancements that add a distinct setting are kept.</t>
  </si>
  <si>
    <t xml:space="preserve">Examples use common product terms (Active Directory, Entra ID, Okta, SailPoint, CyberArk) as guidance only; map each item to the products in use. Level is taken from the Config Baseline sheet (Level 1 = mandatory, Level 3 = lowest impact).</t>
  </si>
  <si>
    <t xml:space="preserve">Covers: Account Management, Access Enforcement, Separation of Duties, Least Privilege, Unsuccessful Logon Attempts, Concurrent Session Control, Session Termination.</t>
  </si>
  <si>
    <t xml:space="preserve">Covers: Identification and Authentication (Organizational Users), Identifier Management, Authenticator Management, Identification and Authentication (Non-organizational Users), Service Identification and Authentication, Re-authentication, Identity Providers and Authorization Servers.</t>
  </si>
  <si>
    <t xml:space="preserve">Covers: Personnel Termination, Personnel Transfer.</t>
  </si>
  <si>
    <t xml:space="preserve">Manage all human, service and privileged accounts in one authoritative directory; require owner, approval and expiry; remove shared and unused accounts</t>
  </si>
  <si>
    <t xml:space="preserve">Active Directory, Entra ID, Okta, FreeIPA; HR-driven joiner-mover-leaver workflow</t>
  </si>
  <si>
    <t xml:space="preserve">Account inventory with owner and last logon; no orphan accounts</t>
  </si>
  <si>
    <t xml:space="preserve">Automate account creation, change, disable and removal from the HR or IGA source of truth</t>
  </si>
  <si>
    <t xml:space="preserve">SailPoint, Entra lifecycle workflows, Okta Lifecycle Management, SCIM connectors</t>
  </si>
  <si>
    <t xml:space="preserve">Provisioning logs; reconciliation report shows no drift</t>
  </si>
  <si>
    <t xml:space="preserve">Issue temporary and emergency accounts with an automatic expiry and alert on every use</t>
  </si>
  <si>
    <t xml:space="preserve">Time-bound accounts in AD, PIM eligible roles, vaulted break-glass accounts</t>
  </si>
  <si>
    <t xml:space="preserve">List of temporary accounts with expiry; break-glass alert log</t>
  </si>
  <si>
    <t xml:space="preserve">Disable accounts automatically after the inactivity period (for example 45-90 days) or on expiry</t>
  </si>
  <si>
    <t xml:space="preserve">AD inactive-account script or GPO, Entra inactive user workflow, IGA rule</t>
  </si>
  <si>
    <t xml:space="preserve">Report of disabled inactive accounts; no stale enabled accounts</t>
  </si>
  <si>
    <t xml:space="preserve">Audit and notify security on account creation, modification, enabling, disabling and removal</t>
  </si>
  <si>
    <t xml:space="preserve">AD events 4720-4726 to SIEM, Entra audit logs, IGA notifications</t>
  </si>
  <si>
    <t xml:space="preserve">SIEM rule and sample alert for account change</t>
  </si>
  <si>
    <t xml:space="preserve">Grant privileged access just-in-time with policy-based, time-limited elevation instead of standing rights</t>
  </si>
  <si>
    <t xml:space="preserve">Entra PIM, CyberArk or BeyondTrust JIT elevation, sudo with approval</t>
  </si>
  <si>
    <t xml:space="preserve">Count of standing privileged accounts; elevation log</t>
  </si>
  <si>
    <t xml:space="preserve">Keep privileged accounts separate from daily accounts, named per administrator and reviewed on a schedule</t>
  </si>
  <si>
    <t xml:space="preserve">Tiered admin accounts, privileged access workstations, PAM vault</t>
  </si>
  <si>
    <t xml:space="preserve">Privileged account list and review record</t>
  </si>
  <si>
    <t xml:space="preserve">Prohibit shared and group accounts unless approved; where unavoidable, vault credentials and record each checkout</t>
  </si>
  <si>
    <t xml:space="preserve">Password vault checkout with session recording, no shared local admin</t>
  </si>
  <si>
    <t xml:space="preserve">Shared account register with approvals</t>
  </si>
  <si>
    <t xml:space="preserve">Restrict account use by conditions such as time, location, device compliance and risk level</t>
  </si>
  <si>
    <t xml:space="preserve">Entra Conditional Access, Okta sign-on policy, AD logon-hour restrictions</t>
  </si>
  <si>
    <t xml:space="preserve">Monitor accounts for atypical use (impossible travel, unusual hours, mass access) and report to security</t>
  </si>
  <si>
    <t xml:space="preserve">Entra ID Protection, UEBA in SIEM, Okta ThreatInsight</t>
  </si>
  <si>
    <t xml:space="preserve">Detection rule list; sample alert</t>
  </si>
  <si>
    <t xml:space="preserve">Disable accounts of individuals identified as high risk (for example resigned with notice or under investigation) within the defined time</t>
  </si>
  <si>
    <t xml:space="preserve">HR-triggered immediate disable, IGA high-risk flag, PAM session revocation</t>
  </si>
  <si>
    <t xml:space="preserve">Disable timestamp versus HR trigger</t>
  </si>
  <si>
    <t xml:space="preserve">Enforce approved authorizations for logical access to resources through groups and policy, deny by default</t>
  </si>
  <si>
    <t xml:space="preserve">AD groups and ACLs, Entra app assignment, Okta access policies</t>
  </si>
  <si>
    <t xml:space="preserve">Permission report per resource; access review results</t>
  </si>
  <si>
    <t xml:space="preserve">Implement role-based access control with roles mapped to job functions; assign roles to groups not individuals</t>
  </si>
  <si>
    <t xml:space="preserve">RBAC role catalogue, Entra entitlement management, IGA role mining</t>
  </si>
  <si>
    <t xml:space="preserve">Role-to-permission matrix; no direct user grants</t>
  </si>
  <si>
    <t xml:space="preserve">Where supported, use attribute-based policies (department, location, classification) for access decisions</t>
  </si>
  <si>
    <t xml:space="preserve">Entra dynamic groups and Conditional Access attributes, Okta group rules, XACML-style policy engines</t>
  </si>
  <si>
    <t xml:space="preserve">Attribute policy export; test results</t>
  </si>
  <si>
    <t xml:space="preserve">Separate duties so requester, approver and administrator are different people for sensitive access</t>
  </si>
  <si>
    <t xml:space="preserve">IGA toxic-combination rules, approval workflows, separate admin roles</t>
  </si>
  <si>
    <t xml:space="preserve">SoD rule report with zero unresolved violations</t>
  </si>
  <si>
    <t xml:space="preserve">Grant minimum privileges; remove wildcard and domain-admin rights from routine use; review regularly</t>
  </si>
  <si>
    <t xml:space="preserve">Delegated administration, least-privilege groups, LAPS, PIM</t>
  </si>
  <si>
    <t xml:space="preserve">Count of privileged group members; entitlement review</t>
  </si>
  <si>
    <t xml:space="preserve">Restrict privileged accounts to named administrators with hardware MFA and no daily use</t>
  </si>
  <si>
    <t xml:space="preserve">Separate admin tier, FIDO2 keys, vaulted credentials</t>
  </si>
  <si>
    <t xml:space="preserve">Privileged logon report; MFA enforcement proof</t>
  </si>
  <si>
    <t xml:space="preserve">Review user and privileged access at a fixed interval (for example quarterly) and remove what is not needed</t>
  </si>
  <si>
    <t xml:space="preserve">Entra access reviews, SailPoint certifications, manager attestations</t>
  </si>
  <si>
    <t xml:space="preserve">Completed review campaigns with removals</t>
  </si>
  <si>
    <t xml:space="preserve">Log all use of privileged functions and administrative actions and send to the SIEM</t>
  </si>
  <si>
    <t xml:space="preserve">Windows audit policy for privilege use, PAM session logs, sudo logging</t>
  </si>
  <si>
    <t xml:space="preserve">Privileged action log in SIEM</t>
  </si>
  <si>
    <t xml:space="preserve">Lock or throttle accounts after repeated failed sign-ins (for example 5 attempts, 15-30 minute lockout)</t>
  </si>
  <si>
    <t xml:space="preserve">AD account lockout policy, Entra Smart Lockout, Okta brute-force protection</t>
  </si>
  <si>
    <t xml:space="preserve">Lockout policy export; lockout event sample</t>
  </si>
  <si>
    <t xml:space="preserve">Limit concurrent sessions per account, especially privileged accounts</t>
  </si>
  <si>
    <t xml:space="preserve">IdP session policy, VPN and bastion concurrent session limits</t>
  </si>
  <si>
    <t xml:space="preserve">Set session lifetime and idle timeout and force re-authentication (for example 15-60 minutes for admin sessions)</t>
  </si>
  <si>
    <t xml:space="preserve">Entra sign-in frequency, Okta session policy, SSO session limits</t>
  </si>
  <si>
    <t xml:space="preserve">Uniquely identify and authenticate every user through the central identity provider; block anonymous and shared logins</t>
  </si>
  <si>
    <t xml:space="preserve">SSO with Entra, Okta or ADFS; disable local logins where possible</t>
  </si>
  <si>
    <t xml:space="preserve">Sign-in log shows unique IDs only</t>
  </si>
  <si>
    <t xml:space="preserve">Require MFA for all privileged accounts on every access path</t>
  </si>
  <si>
    <t xml:space="preserve">Entra and Okta MFA for admin roles, hardware keys for domain admins</t>
  </si>
  <si>
    <t xml:space="preserve">MFA registration and enforcement report for admins</t>
  </si>
  <si>
    <t xml:space="preserve">Require MFA for all non-privileged users, including remote and cloud access</t>
  </si>
  <si>
    <t xml:space="preserve">Conditional Access MFA for all users, Okta MFA policy</t>
  </si>
  <si>
    <t xml:space="preserve">MFA coverage report at or near 100 percent</t>
  </si>
  <si>
    <t xml:space="preserve">Require individual authentication before a user uses a group or shared authenticator</t>
  </si>
  <si>
    <t xml:space="preserve">Individual logon before group account checkout in vault</t>
  </si>
  <si>
    <t xml:space="preserve">Vault checkout log tied to named user</t>
  </si>
  <si>
    <t xml:space="preserve">Require a separate device or hardware factor for privileged and sensitive access</t>
  </si>
  <si>
    <t xml:space="preserve">FIDO2 security keys, smart cards, managed authenticator app on separate device</t>
  </si>
  <si>
    <t xml:space="preserve">Authentication methods report</t>
  </si>
  <si>
    <t xml:space="preserve">Use replay-resistant authentication such as FIDO2, passkeys, certificates or number-matching MFA</t>
  </si>
  <si>
    <t xml:space="preserve">Phishing-resistant authentication strength in Conditional Access, Kerberos with armoring</t>
  </si>
  <si>
    <t xml:space="preserve">Authentication strength policy export</t>
  </si>
  <si>
    <t xml:space="preserve">Provide single sign-on so users authenticate once to many applications</t>
  </si>
  <si>
    <t xml:space="preserve">SAML and OIDC federation with Entra, Okta or Ping; Kerberos SSO</t>
  </si>
  <si>
    <t xml:space="preserve">Application onboarding list showing SSO coverage</t>
  </si>
  <si>
    <t xml:space="preserve">Use out-of-band authentication (push, call-back or hardware token) for high-risk transactions</t>
  </si>
  <si>
    <t xml:space="preserve">Step-up MFA in IdP, transaction signing</t>
  </si>
  <si>
    <t xml:space="preserve">Step-up policy export</t>
  </si>
  <si>
    <t xml:space="preserve">Assign unique, non-reusable identifiers and disable an identifier for a defined period before reuse</t>
  </si>
  <si>
    <t xml:space="preserve">Naming standard, AD sAMAccountName policy, no recycled UPNs</t>
  </si>
  <si>
    <t xml:space="preserve">Identifier standard; duplicate report</t>
  </si>
  <si>
    <t xml:space="preserve">Manage authenticators through their lifecycle: issue, change defaults, protect, revoke and reset with identity proofing</t>
  </si>
  <si>
    <t xml:space="preserve">IdP self-service reset with MFA, hardware key issuance procedure</t>
  </si>
  <si>
    <t xml:space="preserve">Authenticator lifecycle procedure; reset logs</t>
  </si>
  <si>
    <t xml:space="preserve">Enforce password policy: length 14 or more, breached-password screening, store only salted hashes, no forced periodic change without compromise</t>
  </si>
  <si>
    <t xml:space="preserve">AD fine-grained password policy, Entra Password Protection, Okta password policy</t>
  </si>
  <si>
    <t xml:space="preserve">Use public key or certificate authentication for administrators and services with validated chains and protected private keys</t>
  </si>
  <si>
    <t xml:space="preserve">Smart cards, SSH certificates, mutual TLS with private CA</t>
  </si>
  <si>
    <t xml:space="preserve">Certificate and key inventory; no password-only admin SSH</t>
  </si>
  <si>
    <t xml:space="preserve">Change default and vendor-supplied authenticators before delivery or first use</t>
  </si>
  <si>
    <t xml:space="preserve">Forced credential change at onboarding, default-account audit</t>
  </si>
  <si>
    <t xml:space="preserve">Default credential scan shows none</t>
  </si>
  <si>
    <t xml:space="preserve">Protect authenticators at the level of the data they guard; restrict file and memory access to secrets</t>
  </si>
  <si>
    <t xml:space="preserve">Credential Guard, LSA protection, vaulted secrets, tokenized storage</t>
  </si>
  <si>
    <t xml:space="preserve">Endpoint security baseline results</t>
  </si>
  <si>
    <t xml:space="preserve">Prohibit embedded unencrypted static credentials in code, scripts and configuration files</t>
  </si>
  <si>
    <t xml:space="preserve">Secret scanning in repositories, Key Vault or HashiCorp Vault, gMSA</t>
  </si>
  <si>
    <t xml:space="preserve">Secret scan report with zero findings</t>
  </si>
  <si>
    <t xml:space="preserve">Use federated credential management with defined trust and assertion validation between identity providers</t>
  </si>
  <si>
    <t xml:space="preserve">SAML and OIDC federation with signed assertions, cross-tenant access rules</t>
  </si>
  <si>
    <t xml:space="preserve">Federation trust list and metadata review</t>
  </si>
  <si>
    <t xml:space="preserve">Expire cached authenticators and tokens after the defined period</t>
  </si>
  <si>
    <t xml:space="preserve">Kerberos ticket lifetime, token lifetime policy, cached credential count limit</t>
  </si>
  <si>
    <t xml:space="preserve">Token lifetime policy export</t>
  </si>
  <si>
    <t xml:space="preserve">Provide an approved enterprise password manager for staff and administrators</t>
  </si>
  <si>
    <t xml:space="preserve">Enterprise password manager with SSO and MFA</t>
  </si>
  <si>
    <t xml:space="preserve">Enrolment coverage report</t>
  </si>
  <si>
    <t xml:space="preserve">Uniquely identify and authenticate external and non-organizational users before access</t>
  </si>
  <si>
    <t xml:space="preserve">B2B guest accounts, customer identity (CIAM), partner federation with MFA</t>
  </si>
  <si>
    <t xml:space="preserve">Guest account list with sponsor and expiry</t>
  </si>
  <si>
    <t xml:space="preserve">Accept only approved external authenticators and identity providers</t>
  </si>
  <si>
    <t xml:space="preserve">Allow-list of social or partner IdPs, cross-tenant access policy</t>
  </si>
  <si>
    <t xml:space="preserve">Approved IdP list and policy export</t>
  </si>
  <si>
    <t xml:space="preserve">Authenticate services and devices with managed identities, certificates or secrets rotated automatically</t>
  </si>
  <si>
    <t xml:space="preserve">gMSA, Entra managed identities, service principals with certificates, secret rotation</t>
  </si>
  <si>
    <t xml:space="preserve">Service account inventory with rotation date</t>
  </si>
  <si>
    <t xml:space="preserve">Require re-authentication for privileged actions, long idle periods and sensitive changes</t>
  </si>
  <si>
    <t xml:space="preserve">Step-up MFA for admin portals, re-auth for role activation</t>
  </si>
  <si>
    <t xml:space="preserve">Conditional Access re-authentication rules</t>
  </si>
  <si>
    <t xml:space="preserve">Use approved identity providers and authorization servers with signed, validated tokens</t>
  </si>
  <si>
    <t xml:space="preserve">Entra, Okta or Keycloak with OIDC and token signature validation</t>
  </si>
  <si>
    <t xml:space="preserve">Identity provider configuration export</t>
  </si>
  <si>
    <t xml:space="preserve">Protect cryptographic keys used to sign tokens and assertions; rotate and store in HSM or key vault</t>
  </si>
  <si>
    <t xml:space="preserve">IdP signing key in HSM or Key Vault, scheduled rotation</t>
  </si>
  <si>
    <t xml:space="preserve">Key rotation record</t>
  </si>
  <si>
    <t xml:space="preserve">On termination disable accounts, revoke tokens and sessions and recover access devices within the defined time</t>
  </si>
  <si>
    <t xml:space="preserve">HR-triggered disable, IGA leaver workflow, device wipe</t>
  </si>
  <si>
    <t xml:space="preserve">Leaver audit: disable time against termination time</t>
  </si>
  <si>
    <t xml:space="preserve">On transfer review and adjust access, removing rights no longer needed within the defined time</t>
  </si>
  <si>
    <t xml:space="preserve">IGA mover workflow, manager recertification</t>
  </si>
  <si>
    <t xml:space="preserve">Mover review records</t>
  </si>
  <si>
    <t xml:space="preserve">Monitoring Configuration Baseline (NIST SP 800-53 Rev. 5 - core configuration items)</t>
  </si>
  <si>
    <t xml:space="preserve">Purpose: this sheet turns the NIST SP 800-53 Rev. 5 controls into the core Monitoring Configuration Baseline for logging, SIEM, detection, threat hunting and alerting platforms. It lists the settings administrators must configure, implement, install or enable.</t>
  </si>
  <si>
    <t xml:space="preserve">Scope: only rows tagged Monitoring in the Config Baseline sheet are considered, limited to the 5 families AU, CA, IR, RA, SI. Controls for other domains are left to their own baselines.</t>
  </si>
  <si>
    <t xml:space="preserve">Examples use common product terms (Splunk, Microsoft Sentinel, Elastic, EDR, NDR, syslog) as guidance only; map each item to the tools in use. Level is taken from the Config Baseline sheet (Level 1 = mandatory, Level 3 = lowest impact).</t>
  </si>
  <si>
    <t xml:space="preserve">Covers: Event Logging, Content of Audit Records, Audit Log Storage Capacity, Response to Audit Logging Process Failures, Audit Record Review, Analysis, and Reporting, Protection of Audit Information, Audit Record Retention, and related items.</t>
  </si>
  <si>
    <t xml:space="preserve">Covers: Continuous Monitoring.</t>
  </si>
  <si>
    <t xml:space="preserve">Covers: Incident Handling.</t>
  </si>
  <si>
    <t xml:space="preserve">Covers: Threat Hunting.</t>
  </si>
  <si>
    <t xml:space="preserve">Covers: System Monitoring.</t>
  </si>
  <si>
    <t xml:space="preserve">Enable audit logging for authentication, privileged actions, configuration change, security events and data access on every monitored system</t>
  </si>
  <si>
    <t xml:space="preserve">Windows and Linux audit policy, auditd, application audit logs, cloud audit logs</t>
  </si>
  <si>
    <t xml:space="preserve">Logging coverage report per system</t>
  </si>
  <si>
    <t xml:space="preserve">Review and update the list of logged event types on a fixed schedule and after major change</t>
  </si>
  <si>
    <t xml:space="preserve">Annual logging standard review, detection engineering backlog</t>
  </si>
  <si>
    <t xml:space="preserve">Review record and change log of event list</t>
  </si>
  <si>
    <t xml:space="preserve">Ensure each record has time, source, identity, event, resource and outcome in a structured format</t>
  </si>
  <si>
    <t xml:space="preserve">JSON or CEF logging, agent parsing rules</t>
  </si>
  <si>
    <t xml:space="preserve">Add extra detail to records where needed, such as source address, user agent and command line</t>
  </si>
  <si>
    <t xml:space="preserve">Sysmon, command line auditing, web access log fields</t>
  </si>
  <si>
    <t xml:space="preserve">Sample records show added fields</t>
  </si>
  <si>
    <t xml:space="preserve">Size log storage for the retention period and set capacity alarms and lifecycle rules</t>
  </si>
  <si>
    <t xml:space="preserve">SIEM index sizing, hot-warm-cold tiers, storage alerts</t>
  </si>
  <si>
    <t xml:space="preserve">Capacity report and alarm configuration</t>
  </si>
  <si>
    <t xml:space="preserve">Alert on audit logging failures such as agent stop, source silence or full storage</t>
  </si>
  <si>
    <t xml:space="preserve">SIEM silent-source detection, agent health alerts</t>
  </si>
  <si>
    <t xml:space="preserve">Alert rule; test of a stopped agent</t>
  </si>
  <si>
    <t xml:space="preserve">Raise real-time alerts to responders on audit failure events</t>
  </si>
  <si>
    <t xml:space="preserve">Alert routing to on-call and ticketing</t>
  </si>
  <si>
    <t xml:space="preserve">Provide an alternate logging path if the primary logging capability fails</t>
  </si>
  <si>
    <t xml:space="preserve">Secondary syslog relay, local buffering with replay, dual forwarders</t>
  </si>
  <si>
    <t xml:space="preserve">Failover test result</t>
  </si>
  <si>
    <t xml:space="preserve">Review and analyze audit records at a defined frequency and report findings; use automated analytics for scale</t>
  </si>
  <si>
    <t xml:space="preserve">SIEM analytics rules, daily SOC review, weekly reports</t>
  </si>
  <si>
    <t xml:space="preserve">Review record and sample findings</t>
  </si>
  <si>
    <t xml:space="preserve">Correlate audit records across systems, network, endpoint and cloud sources</t>
  </si>
  <si>
    <t xml:space="preserve">SIEM correlation rules across log sources</t>
  </si>
  <si>
    <t xml:space="preserve">Correlation rule list and sample alert</t>
  </si>
  <si>
    <t xml:space="preserve">Integrate log analysis with vulnerability, asset and threat intelligence data</t>
  </si>
  <si>
    <t xml:space="preserve">SIEM enrichment with CMDB, scanner and threat feeds</t>
  </si>
  <si>
    <t xml:space="preserve">Enriched alert example</t>
  </si>
  <si>
    <t xml:space="preserve">Analyze privileged commands in full text on a separate analysis system</t>
  </si>
  <si>
    <t xml:space="preserve">Session recording analytics, auditd command search</t>
  </si>
  <si>
    <t xml:space="preserve">Privileged command hunt results</t>
  </si>
  <si>
    <t xml:space="preserve">Protect audit logs from unauthorized access, change and deletion</t>
  </si>
  <si>
    <t xml:space="preserve">Log forwarding to write-once store, restricted SIEM roles</t>
  </si>
  <si>
    <t xml:space="preserve">Access control list of log stores</t>
  </si>
  <si>
    <t xml:space="preserve">Store logs on a physically or logically separate system from the source</t>
  </si>
  <si>
    <t xml:space="preserve">Central log server or separate log account</t>
  </si>
  <si>
    <t xml:space="preserve">Architecture diagram; write-only access from sources</t>
  </si>
  <si>
    <t xml:space="preserve">Use cryptographic integrity protection and encryption for logs</t>
  </si>
  <si>
    <t xml:space="preserve">Log hashing and signing, TLS syslog, encrypted storage</t>
  </si>
  <si>
    <t xml:space="preserve">Integrity validation output</t>
  </si>
  <si>
    <t xml:space="preserve">Limit management of audit functions to a small set of privileged users</t>
  </si>
  <si>
    <t xml:space="preserve">Dedicated log administrator role</t>
  </si>
  <si>
    <t xml:space="preserve">Role membership list</t>
  </si>
  <si>
    <t xml:space="preserve">Retain audit records for the defined period (for example 12 months online, longer archived) to support investigation and compliance</t>
  </si>
  <si>
    <t xml:space="preserve">SIEM retention policy, archive to object storage</t>
  </si>
  <si>
    <t xml:space="preserve">Generate audit records on every component for the defined event list</t>
  </si>
  <si>
    <t xml:space="preserve">Agent deployment baseline, device syslog, application logging</t>
  </si>
  <si>
    <t xml:space="preserve">Generation test per component type</t>
  </si>
  <si>
    <t xml:space="preserve">Compile records from all components into a system-wide audit trail correlated by synchronized time</t>
  </si>
  <si>
    <t xml:space="preserve">Central SIEM with NTP-synchronized sources</t>
  </si>
  <si>
    <t xml:space="preserve">Single timeline query across sources</t>
  </si>
  <si>
    <t xml:space="preserve">Use standardized log formats across sources</t>
  </si>
  <si>
    <t xml:space="preserve">CEF, LEEF, ECS or OCSF normalization</t>
  </si>
  <si>
    <t xml:space="preserve">Parser mapping documentation</t>
  </si>
  <si>
    <t xml:space="preserve">Audit queries and access to datastores holding personal data</t>
  </si>
  <si>
    <t xml:space="preserve">Database audit logs, file access auditing</t>
  </si>
  <si>
    <t xml:space="preserve">Audit log enabled for personal-data stores</t>
  </si>
  <si>
    <t xml:space="preserve">Run continuous monitoring of control effectiveness with defined metrics, frequencies and reporting</t>
  </si>
  <si>
    <t xml:space="preserve">Security dashboards, automated compliance scans, monthly review</t>
  </si>
  <si>
    <t xml:space="preserve">Monitoring plan and dashboards</t>
  </si>
  <si>
    <t xml:space="preserve">Connect monitoring alerts to an incident handling process with triage, containment and recovery steps</t>
  </si>
  <si>
    <t xml:space="preserve">SOAR playbooks, ticketing integration, runbooks</t>
  </si>
  <si>
    <t xml:space="preserve">Incident tickets linked to alerts</t>
  </si>
  <si>
    <t xml:space="preserve">Run proactive threat hunting on collected telemetry on a schedule</t>
  </si>
  <si>
    <t xml:space="preserve">Hunt queries in SIEM and EDR, MITRE ATT&amp;CK-driven hunts</t>
  </si>
  <si>
    <t xml:space="preserve">Hunt reports and resulting detections</t>
  </si>
  <si>
    <t xml:space="preserve">Monitor systems, network and users to detect attacks, unauthorized use and unauthorized connections</t>
  </si>
  <si>
    <t xml:space="preserve">SIEM, EDR, NDR, IDS</t>
  </si>
  <si>
    <t xml:space="preserve">Monitoring coverage matrix</t>
  </si>
  <si>
    <t xml:space="preserve">Deploy a system-wide intrusion detection capability</t>
  </si>
  <si>
    <t xml:space="preserve">Network IDS, host IDS, cloud threat detection</t>
  </si>
  <si>
    <t xml:space="preserve">IDS coverage map</t>
  </si>
  <si>
    <t xml:space="preserve">Streaming analytics in SIEM, EDR real-time detections</t>
  </si>
  <si>
    <t xml:space="preserve">Alert latency test</t>
  </si>
  <si>
    <t xml:space="preserve">Monitor inbound and outbound traffic for unusual or unauthorized activity</t>
  </si>
  <si>
    <t xml:space="preserve">NetFlow analysis, proxy and firewall logs to SIEM, NDR</t>
  </si>
  <si>
    <t xml:space="preserve">Traffic monitoring rule list</t>
  </si>
  <si>
    <t xml:space="preserve">Generate alerts when compromise indicators are detected and route them to responders</t>
  </si>
  <si>
    <t xml:space="preserve">Automate responses to suspicious events such as isolating a host or disabling an account</t>
  </si>
  <si>
    <t xml:space="preserve">SOAR and EDR containment actions</t>
  </si>
  <si>
    <t xml:space="preserve">Provide visibility into encrypted traffic where policy allows, using inspection or endpoint telemetry</t>
  </si>
  <si>
    <t xml:space="preserve">TLS inspection at approved points, endpoint and DNS telemetry</t>
  </si>
  <si>
    <t xml:space="preserve">Inspection policy and exclusions list</t>
  </si>
  <si>
    <t xml:space="preserve">Send automated alerts for defined indicators to designated staff</t>
  </si>
  <si>
    <t xml:space="preserve">Alert rules to email, chat and pager</t>
  </si>
  <si>
    <t xml:space="preserve">Alert rules and test</t>
  </si>
  <si>
    <t xml:space="preserve">Correlate monitoring information from different tools and layers</t>
  </si>
  <si>
    <t xml:space="preserve">XDR or SIEM correlation across endpoint, network and identity</t>
  </si>
  <si>
    <t xml:space="preserve">Correlated incident example</t>
  </si>
  <si>
    <t xml:space="preserve">Integrate monitoring data into a common operating view for situational awareness</t>
  </si>
  <si>
    <t xml:space="preserve">Unified SOC dashboard</t>
  </si>
  <si>
    <t xml:space="preserve">Dashboard showing all sources</t>
  </si>
  <si>
    <t xml:space="preserve">Give privileged users extra monitoring of sessions and actions</t>
  </si>
  <si>
    <t xml:space="preserve">Privileged session recording, PIM alerts</t>
  </si>
  <si>
    <t xml:space="preserve">Monitor for indicators of compromise from threat intelligence</t>
  </si>
  <si>
    <t xml:space="preserve">IOC feeds in SIEM and EDR, retro-hunt</t>
  </si>
  <si>
    <t xml:space="preserve">IOC feed configuration and matches log</t>
  </si>
  <si>
    <t xml:space="preserve">Database Configuration Baseline (NIST SP 800-53 Rev. 5 - core configuration items)</t>
  </si>
  <si>
    <t xml:space="preserve">Purpose: this sheet turns the NIST SP 800-53 Rev. 5 controls into the core Database Configuration Baseline for relational and NoSQL database engines, data stores and their backups. It lists the settings administrators must configure, implement, install or enable.</t>
  </si>
  <si>
    <t xml:space="preserve">Scope: only rows tagged Database in the Config Baseline sheet are considered, limited to the 7 families AC, CM, CP, IA, RA, SC, SI. Database auditing is covered by the Monitoring baseline and AC-06(09) here, because AU controls are not tagged Database in the master sheet.</t>
  </si>
  <si>
    <t xml:space="preserve">Examples use common engine terms (Oracle, SQL Server, PostgreSQL, MySQL, MongoDB) as guidance only; map each item to the exact syntax of the engines in use. Level is taken from the Config Baseline sheet (Level 1 = mandatory, Level 3 = lowest impact).</t>
  </si>
  <si>
    <t xml:space="preserve">Covers: Account Management, Access Enforcement, Least Privilege, Concurrent Session Control, Session Termination.</t>
  </si>
  <si>
    <t xml:space="preserve">Covers: Baseline Configuration, Configuration Settings.</t>
  </si>
  <si>
    <t xml:space="preserve">Covers: System Backup, System Recovery and Reconstitution.</t>
  </si>
  <si>
    <t xml:space="preserve">Covers: Authenticator Management.</t>
  </si>
  <si>
    <t xml:space="preserve">Covers: Vulnerability Monitoring and Scanning.</t>
  </si>
  <si>
    <t xml:space="preserve">Covers: Protection of Information at Rest.</t>
  </si>
  <si>
    <t xml:space="preserve">Covers: Information Input Validation, Information Management and Retention.</t>
  </si>
  <si>
    <t xml:space="preserve">Manage database accounts (human, application, service, DBA) centrally; require owner and approval, lock or remove default and unused accounts</t>
  </si>
  <si>
    <t xml:space="preserve">Oracle, SQL Server, PostgreSQL, MySQL and MongoDB users via directory integration (AD, LDAP, Kerberos)</t>
  </si>
  <si>
    <t xml:space="preserve">Database user list with owner; default account status</t>
  </si>
  <si>
    <t xml:space="preserve">Disable database accounts that are inactive beyond the policy period</t>
  </si>
  <si>
    <t xml:space="preserve">Scheduled job to lock inactive users, profile with password lifetime and inactive limit</t>
  </si>
  <si>
    <t xml:space="preserve">Inactive account report</t>
  </si>
  <si>
    <t xml:space="preserve">Audit and alert on creation, modification, lock and drop of database accounts and roles</t>
  </si>
  <si>
    <t xml:space="preserve">Oracle Unified Audit, SQL Server Audit, pgAudit, MySQL audit plugin</t>
  </si>
  <si>
    <t xml:space="preserve">Audit entries for account DDL in SIEM</t>
  </si>
  <si>
    <t xml:space="preserve">Keep DBA and other privileged database accounts named, separate from application accounts and reviewed regularly</t>
  </si>
  <si>
    <t xml:space="preserve">Named DBA accounts, no shared SYS or sa use, PAM vaulting</t>
  </si>
  <si>
    <t xml:space="preserve">Prohibit shared DBA and application logins; where unavoidable, vault credentials and record checkout</t>
  </si>
  <si>
    <t xml:space="preserve">Vaulted shared credentials with session recording</t>
  </si>
  <si>
    <t xml:space="preserve">Shared account register</t>
  </si>
  <si>
    <t xml:space="preserve">Enforce authorization on all database objects with deny by default; no access through PUBLIC grants</t>
  </si>
  <si>
    <t xml:space="preserve">GRANT and REVOKE policy, revoke PUBLIC privileges, schema-level permissions</t>
  </si>
  <si>
    <t xml:space="preserve">Privilege report per schema; PUBLIC grant audit</t>
  </si>
  <si>
    <t xml:space="preserve">Use database roles mapped to job functions and grant roles instead of direct privileges</t>
  </si>
  <si>
    <t xml:space="preserve">Roles for read, write, admin; role-based grants in scripts</t>
  </si>
  <si>
    <t xml:space="preserve">Role-to-privilege matrix</t>
  </si>
  <si>
    <t xml:space="preserve">Restrict access to sensitive columns and rows by information type</t>
  </si>
  <si>
    <t xml:space="preserve">Row-level security, column-level grants, dynamic data masking, Oracle Data Redaction</t>
  </si>
  <si>
    <t xml:space="preserve">Masking and row policy export</t>
  </si>
  <si>
    <t xml:space="preserve">Where supported, use attribute-based row and object access decisions</t>
  </si>
  <si>
    <t xml:space="preserve">Oracle VPD, PostgreSQL row-level security policies, SQL Server security predicates</t>
  </si>
  <si>
    <t xml:space="preserve">Policy definition export</t>
  </si>
  <si>
    <t xml:space="preserve">Give applications and users only the minimum privileges; no DBA rights for applications</t>
  </si>
  <si>
    <t xml:space="preserve">Least-privilege application schema owners, separate owner and runtime users</t>
  </si>
  <si>
    <t xml:space="preserve">Privilege review; count of accounts with DBA rights</t>
  </si>
  <si>
    <t xml:space="preserve">Restrict privileged database roles (sysadmin, SYSDBA, superuser) to named administrators with MFA and no daily use</t>
  </si>
  <si>
    <t xml:space="preserve">PAM-brokered DBA access, sysadmin role membership limited</t>
  </si>
  <si>
    <t xml:space="preserve">Privileged role membership list</t>
  </si>
  <si>
    <t xml:space="preserve">Log all privileged database actions, including DDL, grants and use of administrative roles</t>
  </si>
  <si>
    <t xml:space="preserve">Audit policy for privileged roles, SYSDBA audit, pgAudit role logging</t>
  </si>
  <si>
    <t xml:space="preserve">Privileged action audit records</t>
  </si>
  <si>
    <t xml:space="preserve">Prevent non-privileged users from running privileged functions such as altering security settings or extensions</t>
  </si>
  <si>
    <t xml:space="preserve">Restrict ALTER SYSTEM, xp_cmdshell, file and OS command functions</t>
  </si>
  <si>
    <t xml:space="preserve">Configuration check for restricted functions</t>
  </si>
  <si>
    <t xml:space="preserve">Limit concurrent database sessions per user and per application account</t>
  </si>
  <si>
    <t xml:space="preserve">Oracle profile SESSIONS_PER_USER, SQL Server logon triggers, connection limits</t>
  </si>
  <si>
    <t xml:space="preserve">Profile or limit export</t>
  </si>
  <si>
    <t xml:space="preserve">Terminate idle database sessions after the defined idle time</t>
  </si>
  <si>
    <t xml:space="preserve">Oracle IDLE_TIME, PostgreSQL idle_session_timeout, SQL Server connection timeout, pool settings</t>
  </si>
  <si>
    <t xml:space="preserve">Timeout setting export</t>
  </si>
  <si>
    <t xml:space="preserve">Maintain a hardened database baseline (CIS Benchmark) for each engine and version</t>
  </si>
  <si>
    <t xml:space="preserve">CIS Benchmarks for Oracle, SQL Server, PostgreSQL, MySQL; golden build scripts</t>
  </si>
  <si>
    <t xml:space="preserve">Baseline document and build script version</t>
  </si>
  <si>
    <t xml:space="preserve">Retain previous configurations and schema versions so you can roll back</t>
  </si>
  <si>
    <t xml:space="preserve">Version-controlled configuration and migrations, configuration snapshots</t>
  </si>
  <si>
    <t xml:space="preserve">Repository history; rollback test</t>
  </si>
  <si>
    <t xml:space="preserve">Apply secure configuration settings: disable unused features, sample schemas, remote admin and unsafe extensions; enforce TLS</t>
  </si>
  <si>
    <t xml:space="preserve">Disable xp_cmdshell, remove sample databases, restrict listener and network binding</t>
  </si>
  <si>
    <t xml:space="preserve">Benchmark scan results</t>
  </si>
  <si>
    <t xml:space="preserve">Automate configuration verification and drift detection for database settings</t>
  </si>
  <si>
    <t xml:space="preserve">CIS-CAT, database compliance scanners, configuration management tools</t>
  </si>
  <si>
    <t xml:space="preserve">Automated compliance report</t>
  </si>
  <si>
    <t xml:space="preserve">Detect and respond to unauthorized changes to database configuration</t>
  </si>
  <si>
    <t xml:space="preserve">Configuration audit, DDL and parameter-change alerts</t>
  </si>
  <si>
    <t xml:space="preserve">Alert for unapproved change</t>
  </si>
  <si>
    <t xml:space="preserve">Back up databases on a schedule that meets RPO, including transaction or archive logs, with retention set by policy</t>
  </si>
  <si>
    <t xml:space="preserve">RMAN, SQL Server native or agent backup, pgBackRest, mysqldump or Percona XtraBackup, Veeam</t>
  </si>
  <si>
    <t xml:space="preserve">Test backups for reliability and integrity on a schedule using verification</t>
  </si>
  <si>
    <t xml:space="preserve">Backup verify, checksum validation, RMAN VALIDATE</t>
  </si>
  <si>
    <t xml:space="preserve">Restore a sample of backups regularly to prove recoverability</t>
  </si>
  <si>
    <t xml:space="preserve">Scheduled test restore to an isolated server</t>
  </si>
  <si>
    <t xml:space="preserve">Restore test record with time taken</t>
  </si>
  <si>
    <t xml:space="preserve">Store backups of critical databases separately from production</t>
  </si>
  <si>
    <t xml:space="preserve">Separate storage or site for backup copies, offline or immutable copy</t>
  </si>
  <si>
    <t xml:space="preserve">Backup location and access report</t>
  </si>
  <si>
    <t xml:space="preserve">Encrypt database backups</t>
  </si>
  <si>
    <t xml:space="preserve">RMAN encryption, SQL Server backup encryption, encrypted backup repository</t>
  </si>
  <si>
    <t xml:space="preserve">Backup encryption setting</t>
  </si>
  <si>
    <t xml:space="preserve">Define and test database recovery and failover procedures to meet RTO and RPO</t>
  </si>
  <si>
    <t xml:space="preserve">Always On availability groups, Data Guard, streaming replication, documented runbooks</t>
  </si>
  <si>
    <t xml:space="preserve">DR test report with RTO and RPO achieved</t>
  </si>
  <si>
    <t xml:space="preserve">Manage database authenticators: change defaults, enforce strength and rotate service credentials</t>
  </si>
  <si>
    <t xml:space="preserve">Password profiles, vaulted credentials, directory or Kerberos authentication</t>
  </si>
  <si>
    <t xml:space="preserve">Authenticator policy and rotation records</t>
  </si>
  <si>
    <t xml:space="preserve">Enforce password complexity, length and history for database logins, store only hashed passwords</t>
  </si>
  <si>
    <t xml:space="preserve">Oracle password verify function, SQL Server policy enforcement, PostgreSQL scram-sha-256</t>
  </si>
  <si>
    <t xml:space="preserve">Password profile export</t>
  </si>
  <si>
    <t xml:space="preserve">Prefer certificate or Kerberos authentication for administrative and application access</t>
  </si>
  <si>
    <t xml:space="preserve">Client certificates, Kerberos or AD integrated authentication</t>
  </si>
  <si>
    <t xml:space="preserve">Authentication method settings</t>
  </si>
  <si>
    <t xml:space="preserve">Change all vendor default credentials before use</t>
  </si>
  <si>
    <t xml:space="preserve">Change SYS, SYSTEM, sa and postgres defaults; disable default accounts</t>
  </si>
  <si>
    <t xml:space="preserve">Default credential scan</t>
  </si>
  <si>
    <t xml:space="preserve">Protect database credentials in transit and at rest; restrict access to credential stores and connection files</t>
  </si>
  <si>
    <t xml:space="preserve">Encrypted connection strings, wallet or vault for secrets, file permissions</t>
  </si>
  <si>
    <t xml:space="preserve">Configuration file permission check</t>
  </si>
  <si>
    <t xml:space="preserve">Do not embed static credentials in application code or scripts; retrieve them from a vault</t>
  </si>
  <si>
    <t xml:space="preserve">Secrets manager, Oracle wallet, Key Vault with rotation</t>
  </si>
  <si>
    <t xml:space="preserve">Secret scan report</t>
  </si>
  <si>
    <t xml:space="preserve">Scan database servers for vulnerabilities and misconfiguration on a schedule</t>
  </si>
  <si>
    <t xml:space="preserve">Tenable, Qualys, Nessus database audits, Oracle database security assessment tool</t>
  </si>
  <si>
    <t xml:space="preserve">Scan schedule and latest report</t>
  </si>
  <si>
    <t xml:space="preserve">Update vulnerability plug-ins and signatures before each scan</t>
  </si>
  <si>
    <t xml:space="preserve">Scanner feed auto-update</t>
  </si>
  <si>
    <t xml:space="preserve">Feed update timestamp</t>
  </si>
  <si>
    <t xml:space="preserve">Run authenticated, privileged scans on database hosts and engines</t>
  </si>
  <si>
    <t xml:space="preserve">Scan with read-only database credential and OS credential</t>
  </si>
  <si>
    <t xml:space="preserve">Authenticated scan proof</t>
  </si>
  <si>
    <t xml:space="preserve">Encrypt database data at rest with approved cryptography</t>
  </si>
  <si>
    <t xml:space="preserve">Transparent Data Encryption, pgcrypto or disk encryption, encrypted storage volumes</t>
  </si>
  <si>
    <t xml:space="preserve">Encryption status report</t>
  </si>
  <si>
    <t xml:space="preserve">Apply cryptographic protection to sensitive data, including column or field-level encryption for regulated data</t>
  </si>
  <si>
    <t xml:space="preserve">Always Encrypted, Oracle TDE column encryption, application-level encryption</t>
  </si>
  <si>
    <t xml:space="preserve">Sensitive data encryption inventory</t>
  </si>
  <si>
    <t xml:space="preserve">Protect database encryption keys with an external key manager or HSM and rotate them</t>
  </si>
  <si>
    <t xml:space="preserve">KMIP key manager, cloud KMS, HSM-backed master keys</t>
  </si>
  <si>
    <t xml:space="preserve">Key rotation record; key storage location</t>
  </si>
  <si>
    <t xml:space="preserve">Validate input at the database layer through parameterized access, strong typing and constraints</t>
  </si>
  <si>
    <t xml:space="preserve">Stored procedures with parameters, constraints, least-privilege execution</t>
  </si>
  <si>
    <t xml:space="preserve">Code review and query test results</t>
  </si>
  <si>
    <t xml:space="preserve">Accept database connections only from approved application and management sources</t>
  </si>
  <si>
    <t xml:space="preserve">Listener allow-list, firewall rules, pg_hba.conf, SQL Server network restrictions</t>
  </si>
  <si>
    <t xml:space="preserve">Network allow-list export</t>
  </si>
  <si>
    <t xml:space="preserve">Prevent injection by enforcing parameterized queries and blocking dynamic SQL where possible</t>
  </si>
  <si>
    <t xml:space="preserve">Database firewall or activity monitoring rules, prepared statements</t>
  </si>
  <si>
    <t xml:space="preserve">Injection test results</t>
  </si>
  <si>
    <t xml:space="preserve">Manage retention and disposal of database records per policy, including archival and secure deletion</t>
  </si>
  <si>
    <t xml:space="preserve">Retention jobs, partitioning and purge, archive tier</t>
  </si>
  <si>
    <t xml:space="preserve">Retention schedule and purge logs</t>
  </si>
  <si>
    <t xml:space="preserve">Application Configuration Baseline (NIST SP 800-53 Rev. 5 - core configuration items)</t>
  </si>
  <si>
    <t xml:space="preserve">Purpose: this sheet turns the NIST SP 800-53 Rev. 5 controls into the core Application Configuration Baseline for business applications, web and API services, operating systems and middleware that host them, and the secure development pipeline. It lists the settings administrators and developers must configure, implement, install or enable.</t>
  </si>
  <si>
    <t xml:space="preserve">Scope: only rows tagged Application in the Config Baseline sheet are considered, limited to the 10 families AC, AU, CM, CP, IA, PL, RA, SA, SC, SI. Many design-level SA and SC enhancements (for example SA-08 sub-principles, SC-30 to SC-51) are consolidated into the main items SA-03, SA-08, SA-11, SA-15 and SC-39.</t>
  </si>
  <si>
    <t xml:space="preserve">Examples use common terms (CIS Benchmarks, CI/CD, SAST, DAST, WAF, OIDC) as guidance only; map each item to the stack in use. Level is taken from the Config Baseline sheet (Level 1 = mandatory, Level 3 = lowest impact).</t>
  </si>
  <si>
    <t xml:space="preserve">Covers: Access Enforcement, Separation of Duties, Least Privilege, Unsuccessful Logon Attempts, System Use Notification, Session Termination, Permitted Actions Without Identification or Authentication, and related items.</t>
  </si>
  <si>
    <t xml:space="preserve">Covers: Time Stamps, Protection of Audit Information, Non-repudiation.</t>
  </si>
  <si>
    <t xml:space="preserve">Covers: Baseline Configuration, Configuration Change Control, Access Restrictions for Change, Configuration Settings, Least Functionality, System Component Inventory, Software Usage Restrictions, and related items.</t>
  </si>
  <si>
    <t xml:space="preserve">Covers: Identification and Authentication (Organizational Users), Device Identification and Authentication, Authenticator Management, Authentication Feedback, Identification and Authentication (Non-organizational Users), Service Identification and Authentication, Re-authentication.</t>
  </si>
  <si>
    <t xml:space="preserve">Covers: Security and Privacy Architectures.</t>
  </si>
  <si>
    <t xml:space="preserve">Covers: System Development Life Cycle, Security and Privacy Engineering Principles, Developer Configuration Management, Developer Testing and Evaluation, Development Process, Standards, and Tools, Unsupported System Components.</t>
  </si>
  <si>
    <t xml:space="preserve">Covers: Network Disconnect, Cryptographic Key Establishment and Management, Cryptographic Protection, Mobile Code, Session Authenticity, Fail in Known State, Protection of Information at Rest, and related items.</t>
  </si>
  <si>
    <t xml:space="preserve">Covers: Flaw Remediation, Malicious Code Protection, System Monitoring, Security Alerts, Advisories, and Directives, Software, Firmware, and Information Integrity, Information Input Validation, Error Handling, and related items.</t>
  </si>
  <si>
    <t xml:space="preserve">Enforce authorization on every application function and data object server-side; deny by default</t>
  </si>
  <si>
    <t xml:space="preserve">Application RBAC checks, API gateway authorization, framework authorization middleware</t>
  </si>
  <si>
    <t xml:space="preserve">Authorization test cases; access matrix</t>
  </si>
  <si>
    <t xml:space="preserve">Implement role-based access with roles mapped to job functions in the application</t>
  </si>
  <si>
    <t xml:space="preserve">Role tables, IdP group claims mapped to app roles</t>
  </si>
  <si>
    <t xml:space="preserve">Role-to-function matrix</t>
  </si>
  <si>
    <t xml:space="preserve">Assert and enforce application-level access for each session and API call</t>
  </si>
  <si>
    <t xml:space="preserve">Token scope validation, per-request authorization, OAuth scopes</t>
  </si>
  <si>
    <t xml:space="preserve">API authorization test results</t>
  </si>
  <si>
    <t xml:space="preserve">Where supported, use attribute-based access (tenant, department, data class) for application decisions</t>
  </si>
  <si>
    <t xml:space="preserve">Policy engines such as OPA, attribute claims in tokens</t>
  </si>
  <si>
    <t xml:space="preserve">Policy definitions and test results</t>
  </si>
  <si>
    <t xml:space="preserve">Separate duties in the application so one user cannot initiate and approve a sensitive transaction</t>
  </si>
  <si>
    <t xml:space="preserve">Maker-checker workflow, separate roles for deploy and approve</t>
  </si>
  <si>
    <t xml:space="preserve">SoD test cases</t>
  </si>
  <si>
    <t xml:space="preserve">Run the application and its service accounts with minimum privileges; no administrator or root runtime</t>
  </si>
  <si>
    <t xml:space="preserve">Dedicated service accounts, container non-root user, scoped API keys</t>
  </si>
  <si>
    <t xml:space="preserve">Service account privilege review</t>
  </si>
  <si>
    <t xml:space="preserve">Prevent ordinary users from invoking privileged application functions</t>
  </si>
  <si>
    <t xml:space="preserve">Admin endpoints separated and role-restricted, function-level checks</t>
  </si>
  <si>
    <t xml:space="preserve">Penetration test authorization findings</t>
  </si>
  <si>
    <t xml:space="preserve">Limit failed logins in the application with lockout or throttling and generic error messages</t>
  </si>
  <si>
    <t xml:space="preserve">Account lockout, rate limiting, CAPTCHA after failures</t>
  </si>
  <si>
    <t xml:space="preserve">Lockout configuration; test result</t>
  </si>
  <si>
    <t xml:space="preserve">Display the system use notification before granting access to the application where required</t>
  </si>
  <si>
    <t xml:space="preserve">Login banner in web application and admin consoles</t>
  </si>
  <si>
    <t xml:space="preserve">Screenshot of banner</t>
  </si>
  <si>
    <t xml:space="preserve">Expire application sessions after the idle and absolute timeouts defined by policy</t>
  </si>
  <si>
    <t xml:space="preserve">Session timeout settings in framework or IdP, server-side invalidation</t>
  </si>
  <si>
    <t xml:space="preserve">Session configuration export</t>
  </si>
  <si>
    <t xml:space="preserve">Define the small set of actions allowed without authentication and block all others</t>
  </si>
  <si>
    <t xml:space="preserve">Public endpoint allow-list, health check exceptions only</t>
  </si>
  <si>
    <t xml:space="preserve">Unauthenticated endpoint inventory</t>
  </si>
  <si>
    <t xml:space="preserve">Control what content is published on public application pages and review it before posting</t>
  </si>
  <si>
    <t xml:space="preserve">Content approval workflow, no sensitive data on public sites</t>
  </si>
  <si>
    <t xml:space="preserve">Publication review records</t>
  </si>
  <si>
    <t xml:space="preserve">Synchronize application and server clocks to authoritative time and time-stamp all records</t>
  </si>
  <si>
    <t xml:space="preserve">NTP or chrony to approved sources, UTC timestamps in logs</t>
  </si>
  <si>
    <t xml:space="preserve">Time sync status report</t>
  </si>
  <si>
    <t xml:space="preserve">Protect application logs from unauthorized access, change and deletion; forward them off the host</t>
  </si>
  <si>
    <t xml:space="preserve">Log shipping to central store, file permissions, immutable storage</t>
  </si>
  <si>
    <t xml:space="preserve">Log store access list</t>
  </si>
  <si>
    <t xml:space="preserve">Provide non-repudiation for critical transactions using unique user IDs, signed records and tamper-evident logs</t>
  </si>
  <si>
    <t xml:space="preserve">Digital signatures on transactions, hash-chained audit trail</t>
  </si>
  <si>
    <t xml:space="preserve">Sample signed transaction and verification</t>
  </si>
  <si>
    <t xml:space="preserve">Maintain hardened baseline configurations for operating systems, middleware and application servers</t>
  </si>
  <si>
    <t xml:space="preserve">CIS Benchmarks, DISA STIG, golden images, Ansible or Puppet baselines</t>
  </si>
  <si>
    <t xml:space="preserve">Baseline document and image version</t>
  </si>
  <si>
    <t xml:space="preserve">Control changes to applications and configuration through approved, tracked and tested change</t>
  </si>
  <si>
    <t xml:space="preserve">Change tickets, pull request approval, CI/CD gates</t>
  </si>
  <si>
    <t xml:space="preserve">Change records linked to deployments</t>
  </si>
  <si>
    <t xml:space="preserve">Test, validate and document changes before production</t>
  </si>
  <si>
    <t xml:space="preserve">Staging environment, automated tests, test sign-off</t>
  </si>
  <si>
    <t xml:space="preserve">Test evidence per release</t>
  </si>
  <si>
    <t xml:space="preserve">Automate change implementation through pipelines to avoid manual production changes</t>
  </si>
  <si>
    <t xml:space="preserve">CI/CD with infrastructure as code, automated deployment</t>
  </si>
  <si>
    <t xml:space="preserve">Pipeline run history</t>
  </si>
  <si>
    <t xml:space="preserve">Restrict who can change production applications and configuration; enforce through access rights</t>
  </si>
  <si>
    <t xml:space="preserve">Protected branches, deployment-only service accounts, no direct production access</t>
  </si>
  <si>
    <t xml:space="preserve">Access list for production change</t>
  </si>
  <si>
    <t xml:space="preserve">Apply secure settings on application servers and runtimes (disable debug, directory listing, default pages)</t>
  </si>
  <si>
    <t xml:space="preserve">Hardening guides, configuration as code</t>
  </si>
  <si>
    <t xml:space="preserve">Compliance scan results</t>
  </si>
  <si>
    <t xml:space="preserve">Disable unneeded services, ports, modules, sample applications and protocols</t>
  </si>
  <si>
    <t xml:space="preserve">Minimal OS install, disabled modules, removed sample content</t>
  </si>
  <si>
    <t xml:space="preserve">Service and port inventory against baseline</t>
  </si>
  <si>
    <t xml:space="preserve">Block unauthorized software from running (deny-list)</t>
  </si>
  <si>
    <t xml:space="preserve">Endpoint protection deny rules, application control</t>
  </si>
  <si>
    <t xml:space="preserve">Blocked execution log</t>
  </si>
  <si>
    <t xml:space="preserve">Allow only approved software to run (allow-list) on servers and critical endpoints</t>
  </si>
  <si>
    <t xml:space="preserve">AppLocker, WDAC, SELinux policies, allow-list in EDR</t>
  </si>
  <si>
    <t xml:space="preserve">Allow-list policy export</t>
  </si>
  <si>
    <t xml:space="preserve">Maintain an inventory of applications, versions and components with owners</t>
  </si>
  <si>
    <t xml:space="preserve">CMDB, software inventory tool, SBOM</t>
  </si>
  <si>
    <t xml:space="preserve">Inventory completeness report</t>
  </si>
  <si>
    <t xml:space="preserve">Control software use to comply with license and usage terms</t>
  </si>
  <si>
    <t xml:space="preserve">Software asset management, license tracking</t>
  </si>
  <si>
    <t xml:space="preserve">License compliance report</t>
  </si>
  <si>
    <t xml:space="preserve">Control use of open-source software with approval, license review and vulnerability checks</t>
  </si>
  <si>
    <t xml:space="preserve">Software composition analysis, approved package repository policy</t>
  </si>
  <si>
    <t xml:space="preserve">SCA scan report</t>
  </si>
  <si>
    <t xml:space="preserve">Restrict users from installing software without approval</t>
  </si>
  <si>
    <t xml:space="preserve">Standard user rights, software center, application control</t>
  </si>
  <si>
    <t xml:space="preserve">Local admin membership report</t>
  </si>
  <si>
    <t xml:space="preserve">Require signed software, packages and container images and verify signatures before installation</t>
  </si>
  <si>
    <t xml:space="preserve">Code signing, image signing with Cosign or Notary, signed packages</t>
  </si>
  <si>
    <t xml:space="preserve">Back up application data, configuration and code on a schedule meeting RPO</t>
  </si>
  <si>
    <t xml:space="preserve">Backup agent, database and file backup, repository mirrors</t>
  </si>
  <si>
    <t xml:space="preserve">Backup job report</t>
  </si>
  <si>
    <t xml:space="preserve">Encrypt application backups</t>
  </si>
  <si>
    <t xml:space="preserve">Backup encryption, encrypted repository</t>
  </si>
  <si>
    <t xml:space="preserve">Encryption settings</t>
  </si>
  <si>
    <t xml:space="preserve">Document and test application recovery steps to meet RTO and RPO</t>
  </si>
  <si>
    <t xml:space="preserve">Recovery runbooks, automated redeploy, restore tests</t>
  </si>
  <si>
    <t xml:space="preserve">Recovery test report</t>
  </si>
  <si>
    <t xml:space="preserve">Authenticate all application users uniquely through the central identity provider</t>
  </si>
  <si>
    <t xml:space="preserve">SSO via OIDC or SAML, no local accounts except break-glass</t>
  </si>
  <si>
    <t xml:space="preserve">Login configuration export</t>
  </si>
  <si>
    <t xml:space="preserve">Require MFA for application administrators and privileged users</t>
  </si>
  <si>
    <t xml:space="preserve">IdP MFA policy for admin roles</t>
  </si>
  <si>
    <t xml:space="preserve">MFA enforcement report</t>
  </si>
  <si>
    <t xml:space="preserve">Require MFA for all users of applications holding sensitive data or exposed to the internet</t>
  </si>
  <si>
    <t xml:space="preserve">IdP MFA policy or application MFA</t>
  </si>
  <si>
    <t xml:space="preserve">Use single sign-on for applications</t>
  </si>
  <si>
    <t xml:space="preserve">OIDC or SAML integration with enterprise IdP</t>
  </si>
  <si>
    <t xml:space="preserve">SSO onboarding list</t>
  </si>
  <si>
    <t xml:space="preserve">Identify and authenticate devices and workloads that connect to the application before allowing access</t>
  </si>
  <si>
    <t xml:space="preserve">Mutual TLS, device certificates, workload identity</t>
  </si>
  <si>
    <t xml:space="preserve">Client certificate policy</t>
  </si>
  <si>
    <t xml:space="preserve">Manage application authenticators: secure password storage, reset, rotation and revocation</t>
  </si>
  <si>
    <t xml:space="preserve">Argon2 or bcrypt hashing, secure reset flow, token revocation</t>
  </si>
  <si>
    <t xml:space="preserve">Authenticator design review</t>
  </si>
  <si>
    <t xml:space="preserve">Enforce password length and breached-password screening; store only salted slow hashes</t>
  </si>
  <si>
    <t xml:space="preserve">Password policy in IdP, breached password check</t>
  </si>
  <si>
    <t xml:space="preserve">Do not embed static credentials in source code, images or configuration; fetch secrets from a vault</t>
  </si>
  <si>
    <t xml:space="preserve">Secret scanning in CI, HashiCorp Vault, Key Vault, Kubernetes secrets with encryption</t>
  </si>
  <si>
    <t xml:space="preserve">Use federated credential management with validated assertions for partner and cross-domain access</t>
  </si>
  <si>
    <t xml:space="preserve">SAML or OIDC federation with signed assertions and audience checks</t>
  </si>
  <si>
    <t xml:space="preserve">Federation configuration review</t>
  </si>
  <si>
    <t xml:space="preserve">Obscure authentication feedback (masked passwords, generic errors) to prevent exploitation</t>
  </si>
  <si>
    <t xml:space="preserve">Masked input fields, generic login failure messages</t>
  </si>
  <si>
    <t xml:space="preserve">Application test results</t>
  </si>
  <si>
    <t xml:space="preserve">Identify and authenticate external users of the application</t>
  </si>
  <si>
    <t xml:space="preserve">Customer identity (CIAM), B2B federation, MFA</t>
  </si>
  <si>
    <t xml:space="preserve">External user configuration</t>
  </si>
  <si>
    <t xml:space="preserve">Authenticate services and APIs calling each other with tokens or certificates</t>
  </si>
  <si>
    <t xml:space="preserve">Service mesh mTLS, OAuth client credentials, API keys with rotation</t>
  </si>
  <si>
    <t xml:space="preserve">Service authentication policy</t>
  </si>
  <si>
    <t xml:space="preserve">Require re-authentication for sensitive actions and after timeout</t>
  </si>
  <si>
    <t xml:space="preserve">Step-up authentication for payments, role changes, profile changes</t>
  </si>
  <si>
    <t xml:space="preserve">Step-up rule configuration</t>
  </si>
  <si>
    <t xml:space="preserve">Document a security architecture (zones, trust boundaries, data flows) for each application</t>
  </si>
  <si>
    <t xml:space="preserve">Architecture diagram and threat model</t>
  </si>
  <si>
    <t xml:space="preserve">Approved architecture document</t>
  </si>
  <si>
    <t xml:space="preserve">Scan applications and hosts for vulnerabilities on a schedule and on release</t>
  </si>
  <si>
    <t xml:space="preserve">DAST, authenticated scanners, container image scanning</t>
  </si>
  <si>
    <t xml:space="preserve">Scan schedule and reports</t>
  </si>
  <si>
    <t xml:space="preserve">Update scanner rules and signatures before each scan</t>
  </si>
  <si>
    <t xml:space="preserve">Automatic feed updates</t>
  </si>
  <si>
    <t xml:space="preserve">Run authenticated scans of applications and servers</t>
  </si>
  <si>
    <t xml:space="preserve">Credentialed scanning, authenticated DAST</t>
  </si>
  <si>
    <t xml:space="preserve">Follow a secure software development life cycle with security activities in every phase</t>
  </si>
  <si>
    <t xml:space="preserve">Secure SDLC standard, phase gates, security champions</t>
  </si>
  <si>
    <t xml:space="preserve">Apply security engineering principles (least privilege, defense in depth, fail secure) in design</t>
  </si>
  <si>
    <t xml:space="preserve">Design review checklist, reference architectures</t>
  </si>
  <si>
    <t xml:space="preserve">Design review records</t>
  </si>
  <si>
    <t xml:space="preserve">Ship applications with secure defaults and require approval to loosen them</t>
  </si>
  <si>
    <t xml:space="preserve">Secure default configuration templates</t>
  </si>
  <si>
    <t xml:space="preserve">Default configuration review</t>
  </si>
  <si>
    <t xml:space="preserve">Manage configuration of source code, build and release with version control and integrity controls</t>
  </si>
  <si>
    <t xml:space="preserve">Git with signed commits, protected branches, build provenance</t>
  </si>
  <si>
    <t xml:space="preserve">Verify software and firmware integrity of build outputs</t>
  </si>
  <si>
    <t xml:space="preserve">Reproducible builds, checksum and signature checks, SLSA provenance</t>
  </si>
  <si>
    <t xml:space="preserve">Build attestation</t>
  </si>
  <si>
    <t xml:space="preserve">Test applications for security before release with documented scope and results</t>
  </si>
  <si>
    <t xml:space="preserve">Security test stage in CI/CD</t>
  </si>
  <si>
    <t xml:space="preserve">Test reports per release</t>
  </si>
  <si>
    <t xml:space="preserve">Run static code analysis on every change</t>
  </si>
  <si>
    <t xml:space="preserve">SAST tools in pipeline (SonarQube, Semgrep, CodeQL)</t>
  </si>
  <si>
    <t xml:space="preserve">SAST results and gate settings</t>
  </si>
  <si>
    <t xml:space="preserve">Perform threat modeling and vulnerability analysis for new features and systems</t>
  </si>
  <si>
    <t xml:space="preserve">STRIDE threat model, design review</t>
  </si>
  <si>
    <t xml:space="preserve">Threat model documents</t>
  </si>
  <si>
    <t xml:space="preserve">Perform manual code review for security-critical changes</t>
  </si>
  <si>
    <t xml:space="preserve">Mandatory reviewer, security review checklist</t>
  </si>
  <si>
    <t xml:space="preserve">Code review records</t>
  </si>
  <si>
    <t xml:space="preserve">Perform penetration testing before go-live and after major change</t>
  </si>
  <si>
    <t xml:space="preserve">External and internal pen test, retest</t>
  </si>
  <si>
    <t xml:space="preserve">Run dynamic analysis against running applications</t>
  </si>
  <si>
    <t xml:space="preserve">DAST in staging (ZAP, Burp Enterprise)</t>
  </si>
  <si>
    <t xml:space="preserve">DAST reports</t>
  </si>
  <si>
    <t xml:space="preserve">Use interactive application security testing where suitable</t>
  </si>
  <si>
    <t xml:space="preserve">IAST agent in test environment</t>
  </si>
  <si>
    <t xml:space="preserve">IAST findings report</t>
  </si>
  <si>
    <t xml:space="preserve">Define development process standards and tools, including secure coding rules and review</t>
  </si>
  <si>
    <t xml:space="preserve">Secure coding standard, approved toolchain</t>
  </si>
  <si>
    <t xml:space="preserve">Standard and tool list</t>
  </si>
  <si>
    <t xml:space="preserve">Reduce attack surface by removing unused features, endpoints, libraries and dependencies</t>
  </si>
  <si>
    <t xml:space="preserve">Dependency pruning, minimal images, disabled debug endpoints</t>
  </si>
  <si>
    <t xml:space="preserve">Attack surface review</t>
  </si>
  <si>
    <t xml:space="preserve">Automate vulnerability analysis of code and dependencies in the pipeline</t>
  </si>
  <si>
    <t xml:space="preserve">SCA and SAST in CI, dependency alerts</t>
  </si>
  <si>
    <t xml:space="preserve">Replace or isolate unsupported operating systems, runtimes and libraries; track end-of-life dates</t>
  </si>
  <si>
    <t xml:space="preserve">End-of-life tracking in CMDB, upgrade plan, isolation for exceptions</t>
  </si>
  <si>
    <t xml:space="preserve">End-of-life report and exception approvals</t>
  </si>
  <si>
    <t xml:space="preserve">Terminate network connections to applications after the session ends or after inactivity</t>
  </si>
  <si>
    <t xml:space="preserve">Load balancer idle timeout, application connection timeout</t>
  </si>
  <si>
    <t xml:space="preserve">Manage application encryption keys securely: generation, storage, rotation and destruction</t>
  </si>
  <si>
    <t xml:space="preserve">KMS or HSM, key rotation policy, no keys in code</t>
  </si>
  <si>
    <t xml:space="preserve">Key management records</t>
  </si>
  <si>
    <t xml:space="preserve">Use only approved cryptographic algorithms and libraries (for example AES-256, SHA-256, RSA 3072 or ECC P-256)</t>
  </si>
  <si>
    <t xml:space="preserve">Crypto standard, TLS configuration baseline, approved libraries</t>
  </si>
  <si>
    <t xml:space="preserve">Crypto configuration scan</t>
  </si>
  <si>
    <t xml:space="preserve">Restrict and control mobile code such as scripts, plugins and active content in applications</t>
  </si>
  <si>
    <t xml:space="preserve">Content Security Policy, disable unneeded plugins, script allow-list</t>
  </si>
  <si>
    <t xml:space="preserve">CSP header and policy export</t>
  </si>
  <si>
    <t xml:space="preserve">Protect session authenticity with TLS, secure random session IDs and secure cookie flags</t>
  </si>
  <si>
    <t xml:space="preserve">Secure and HttpOnly cookies, SameSite, CSRF tokens</t>
  </si>
  <si>
    <t xml:space="preserve">Invalidate session identifiers at logout on the server</t>
  </si>
  <si>
    <t xml:space="preserve">Server-side session destroy, token revocation</t>
  </si>
  <si>
    <t xml:space="preserve">Logout test showing session reject</t>
  </si>
  <si>
    <t xml:space="preserve">Fail into a known secure state on error (deny access, close connection)</t>
  </si>
  <si>
    <t xml:space="preserve">Fail-closed design, circuit breakers, safe defaults</t>
  </si>
  <si>
    <t xml:space="preserve">Failure mode test results</t>
  </si>
  <si>
    <t xml:space="preserve">Encrypt application data at rest</t>
  </si>
  <si>
    <t xml:space="preserve">Database and storage encryption, file encryption</t>
  </si>
  <si>
    <t xml:space="preserve">Apply cryptographic protection to sensitive fields such as credentials, personal and payment data</t>
  </si>
  <si>
    <t xml:space="preserve">Field-level encryption, tokenization</t>
  </si>
  <si>
    <t xml:space="preserve">Sensitive field encryption inventory</t>
  </si>
  <si>
    <t xml:space="preserve">Isolate application processes from each other with separate accounts, containers or VMs</t>
  </si>
  <si>
    <t xml:space="preserve">Container isolation, separate service users, SELinux or AppArmor</t>
  </si>
  <si>
    <t xml:space="preserve">Isolation configuration review</t>
  </si>
  <si>
    <t xml:space="preserve">Identify, test and apply patches and updates to application servers, runtimes and dependencies within defined timelines</t>
  </si>
  <si>
    <t xml:space="preserve">Patch management tools, dependency update automation, patch SLA by severity</t>
  </si>
  <si>
    <t xml:space="preserve">Patch compliance report</t>
  </si>
  <si>
    <t xml:space="preserve">Install and update anti-malware or EDR on servers and endpoints hosting applications</t>
  </si>
  <si>
    <t xml:space="preserve">EDR agents, scheduled scans, real-time protection</t>
  </si>
  <si>
    <t xml:space="preserve">Agent coverage and signature status</t>
  </si>
  <si>
    <t xml:space="preserve">Monitor applications for attacks, abuse and errors using logs, WAF and runtime detection</t>
  </si>
  <si>
    <t xml:space="preserve">WAF logs, application performance monitoring, SIEM alerts</t>
  </si>
  <si>
    <t xml:space="preserve">Monitoring coverage list</t>
  </si>
  <si>
    <t xml:space="preserve">Receive and act on security advisories for used products and components</t>
  </si>
  <si>
    <t xml:space="preserve">Vendor advisory subscriptions, CVE feeds, ticket workflow</t>
  </si>
  <si>
    <t xml:space="preserve">Advisory handling records</t>
  </si>
  <si>
    <t xml:space="preserve">Verify integrity of software, configuration and information</t>
  </si>
  <si>
    <t xml:space="preserve">File integrity monitoring, signed artifacts</t>
  </si>
  <si>
    <t xml:space="preserve">Run integrity checks at start-up and on a schedule</t>
  </si>
  <si>
    <t xml:space="preserve">FIM baseline and scheduled scans</t>
  </si>
  <si>
    <t xml:space="preserve">Scheduled FIM report</t>
  </si>
  <si>
    <t xml:space="preserve">Use cryptographic hashes or signatures to detect unauthorized change</t>
  </si>
  <si>
    <t xml:space="preserve">Signed images, hash verification</t>
  </si>
  <si>
    <t xml:space="preserve">Require code authentication before execution of software updates and libraries</t>
  </si>
  <si>
    <t xml:space="preserve">Signature checks on update packages and plug-ins</t>
  </si>
  <si>
    <t xml:space="preserve">Update signature policy</t>
  </si>
  <si>
    <t xml:space="preserve">Use runtime application self-protection to detect and block attacks from inside the application</t>
  </si>
  <si>
    <t xml:space="preserve">RASP agent, runtime security tooling</t>
  </si>
  <si>
    <t xml:space="preserve">RASP coverage and blocked event log</t>
  </si>
  <si>
    <t xml:space="preserve">Validate all input on the server side using allow-lists, type, length and format checks</t>
  </si>
  <si>
    <t xml:space="preserve">Input validation library, schema validation for APIs</t>
  </si>
  <si>
    <t xml:space="preserve">Code review and test results</t>
  </si>
  <si>
    <t xml:space="preserve">Accept inputs only from trusted sources and known client types</t>
  </si>
  <si>
    <t xml:space="preserve">API authentication, CORS allow-list, IP allow-list where suitable</t>
  </si>
  <si>
    <t xml:space="preserve">Configuration export</t>
  </si>
  <si>
    <t xml:space="preserve">Prevent injection (SQL, command, script) with parameterized queries, output encoding and WAF rules</t>
  </si>
  <si>
    <t xml:space="preserve">Prepared statements, output encoding, WAF managed rules</t>
  </si>
  <si>
    <t xml:space="preserve">Handle errors safely: generic user messages, detailed logs only to administrators</t>
  </si>
  <si>
    <t xml:space="preserve">Custom error pages, no stack traces to users</t>
  </si>
  <si>
    <t xml:space="preserve">Error handling test</t>
  </si>
  <si>
    <t xml:space="preserve">Filter output so only intended data is returned to users and systems</t>
  </si>
  <si>
    <t xml:space="preserve">Response filtering, field allow-lists in APIs, DLP</t>
  </si>
  <si>
    <t xml:space="preserve">API response test</t>
  </si>
  <si>
    <t xml:space="preserve">Enable memory protection such as ASLR, DEP/NX and stack protection</t>
  </si>
  <si>
    <t xml:space="preserve">OS hardening defaults, compiler hardening flags</t>
  </si>
  <si>
    <t xml:space="preserve">Hardening scan results</t>
  </si>
  <si>
    <t xml:space="preserve">Backup Configuration Baseline (NIST SP 800-53 Rev. 5 - core configuration items)</t>
  </si>
  <si>
    <t xml:space="preserve">Purpose: this sheet turns the NIST SP 800-53 Rev. 5 controls into the core Backup and Recovery Configuration Baseline for backup platforms, alternate storage and recovery. It lists the settings administrators must configure, implement, install or enable.</t>
  </si>
  <si>
    <t xml:space="preserve">Scope: only rows tagged Backup in the Config Baseline sheet are considered; all of them belong to the 1 family CP. Many CP-02, CP-03 and CP-04 enhancements are process items and are consolidated into CP-02 and CP-04.</t>
  </si>
  <si>
    <t xml:space="preserve">Examples use common product terms (Veeam, Commvault, Veritas, Rubrik, AWS Backup) as guidance only; map each item to the backup tools in use. Level is taken from the Config Baseline sheet (Level 1 = mandatory, Level 3 = lowest impact).</t>
  </si>
  <si>
    <t xml:space="preserve">Covers: Contingency Plan, Contingency Plan Testing, Alternate Storage Site, System Backup, System Recovery and Reconstitution.</t>
  </si>
  <si>
    <t xml:space="preserve">Document a contingency plan with recovery priorities, RTO and RPO for each system and backup scope</t>
  </si>
  <si>
    <t xml:space="preserve">Business impact analysis, DR plan in the GRC tool</t>
  </si>
  <si>
    <t xml:space="preserve">Approved plan with RTO and RPO table</t>
  </si>
  <si>
    <t xml:space="preserve">Test recovery and failover at least annually and after major change, recording results and fixes</t>
  </si>
  <si>
    <t xml:space="preserve">Scheduled DR test, tabletop and technical failover exercise</t>
  </si>
  <si>
    <t xml:space="preserve">Test report with results and actions</t>
  </si>
  <si>
    <t xml:space="preserve">Keep backup copies at an alternate storage site in a separate location or region</t>
  </si>
  <si>
    <t xml:space="preserve">Offsite tape vault, second data center, cross-region object storage</t>
  </si>
  <si>
    <t xml:space="preserve">Alternate site backup inventory</t>
  </si>
  <si>
    <t xml:space="preserve">Separate the alternate storage site from the primary so one event cannot affect both</t>
  </si>
  <si>
    <t xml:space="preserve">Different geography and power or network dependency</t>
  </si>
  <si>
    <t xml:space="preserve">Site separation statement</t>
  </si>
  <si>
    <t xml:space="preserve">Set replication and backup frequency to meet RTO and RPO at the alternate site</t>
  </si>
  <si>
    <t xml:space="preserve">Replication lag monitoring, backup schedule aligned to RPO</t>
  </si>
  <si>
    <t xml:space="preserve">Replication lag and schedule versus RPO</t>
  </si>
  <si>
    <t xml:space="preserve">Back up user and system data and configuration on a schedule; define retention and scope</t>
  </si>
  <si>
    <t xml:space="preserve">Veeam, Commvault, Veritas, Rubrik, AWS Backup jobs</t>
  </si>
  <si>
    <t xml:space="preserve">Backup job report and policy export</t>
  </si>
  <si>
    <t xml:space="preserve">Verify backup reliability and integrity with automated checks</t>
  </si>
  <si>
    <t xml:space="preserve">Backup verification jobs, checksum and health checks</t>
  </si>
  <si>
    <t xml:space="preserve">Verification report</t>
  </si>
  <si>
    <t xml:space="preserve">Restore a sample of backups regularly to prove the data can be recovered</t>
  </si>
  <si>
    <t xml:space="preserve">Scheduled restore tests in isolated sandbox (SureBackup or similar)</t>
  </si>
  <si>
    <t xml:space="preserve">Restore test log</t>
  </si>
  <si>
    <t xml:space="preserve">Store backups of critical information in a separate facility or in an isolated, immutable store</t>
  </si>
  <si>
    <t xml:space="preserve">Immutable repository, air-gapped copy, vault with WORM</t>
  </si>
  <si>
    <t xml:space="preserve">Immutability and isolation settings</t>
  </si>
  <si>
    <t xml:space="preserve">Transfer backups to the alternate storage site automatically within the required time</t>
  </si>
  <si>
    <t xml:space="preserve">Backup copy jobs, cross-site replication</t>
  </si>
  <si>
    <t xml:space="preserve">Copy job success report</t>
  </si>
  <si>
    <t xml:space="preserve">Keep a redundant secondary system ready to take over from backup data</t>
  </si>
  <si>
    <t xml:space="preserve">Standby environment, replicated VMs, pilot light</t>
  </si>
  <si>
    <t xml:space="preserve">Failover test record</t>
  </si>
  <si>
    <t xml:space="preserve">Require dual authorization to delete or destroy backups</t>
  </si>
  <si>
    <t xml:space="preserve">Four-eyes approval on backup deletion, immutable retention lock</t>
  </si>
  <si>
    <t xml:space="preserve">Approval records; retention lock setting</t>
  </si>
  <si>
    <t xml:space="preserve">Encrypt backups in transit and at rest</t>
  </si>
  <si>
    <t xml:space="preserve">Backup encryption with key management, encrypted repository</t>
  </si>
  <si>
    <t xml:space="preserve">Encryption settings export</t>
  </si>
  <si>
    <t xml:space="preserve">Define and test procedures to restore systems to a known secure state after disruption</t>
  </si>
  <si>
    <t xml:space="preserve">Runbooks, golden images, automated restore orchestration</t>
  </si>
  <si>
    <t xml:space="preserve">Restore systems within the recovery time objective and verify it in tests</t>
  </si>
  <si>
    <t xml:space="preserve">Recovery orchestration with timed steps</t>
  </si>
  <si>
    <t xml:space="preserve">Measured recovery time versus RTO</t>
  </si>
  <si>
    <t xml:space="preserve">Governance Configuration Baseline (NIST SP 800-53 Rev. 5 - core control items)</t>
  </si>
  <si>
    <t xml:space="preserve">Purpose: this sheet lists the governance, policy, training, assessment, incident process, privacy and program controls of NIST SP 800-53 Rev. 5 that support the technical baselines. They are process controls, so Action Type mostly means Implement and Evidence means documents and records rather than device settings.</t>
  </si>
  <si>
    <t xml:space="preserve">Scope: only rows tagged Governance in the Config Baseline sheet are considered, limited to the 19 families AC, AT, AU, CA, CM, CP, IA, IR, MA, PE, PL, PM, PS, PT, RA, SA, SC, SI, SR. The 18 policy and procedures controls (-01) are kept one per family; program management, privacy and training enhancements are consolidated into the main items.</t>
  </si>
  <si>
    <t xml:space="preserve">Examples name artefacts (policy in a GRC tool, LMS, risk register, tabletop exercise) as guidance only; adapt to the organization. Level is taken from the Config Baseline sheet (Level 1 = mandatory, Level 3 = lowest impact).</t>
  </si>
  <si>
    <t xml:space="preserve">Covers: Policy and Procedures.</t>
  </si>
  <si>
    <t xml:space="preserve">Covers: Policy and Procedures, Literacy Training and Awareness, Role-based Training, Training Records.</t>
  </si>
  <si>
    <t xml:space="preserve">Covers: Policy and Procedures, Audit Record Review, Analysis, and Reporting.</t>
  </si>
  <si>
    <t xml:space="preserve">Covers: Policy and Procedures, Control Assessments, Plan of Action and Milestones, Penetration Testing.</t>
  </si>
  <si>
    <t xml:space="preserve">Covers: Policy and Procedures, Incident Response Training, Incident Response Testing, Incident Handling, Incident Reporting, Incident Response Plan.</t>
  </si>
  <si>
    <t xml:space="preserve">Covers: Policy and Procedures, System Security and Privacy Plans, Rules of Behavior.</t>
  </si>
  <si>
    <t xml:space="preserve">Covers: Information Security Program Plan, System Inventory, Risk Management Strategy.</t>
  </si>
  <si>
    <t xml:space="preserve">Covers: Policy and Procedures, Personnel Screening, Access Agreements.</t>
  </si>
  <si>
    <t xml:space="preserve">Covers: Policy and Procedures, Authority to Process Personally Identifiable Information.</t>
  </si>
  <si>
    <t xml:space="preserve">Covers: Policy and Procedures, Security Categorization, Risk Assessment, Privacy Impact Assessments.</t>
  </si>
  <si>
    <t xml:space="preserve">Covers: Policy and Procedures, Security Alerts, Advisories, and Directives.</t>
  </si>
  <si>
    <t xml:space="preserve">Publish an approved access control policy and procedures with owner, scope and review cycle; review at least annually</t>
  </si>
  <si>
    <t xml:space="preserve">Policy in the GRC tool or document repository mapped to access control standards</t>
  </si>
  <si>
    <t xml:space="preserve">Signed policy with version and review date</t>
  </si>
  <si>
    <t xml:space="preserve">Publish an approved awareness and training policy and procedures with owner, scope and review cycle; review at least annually</t>
  </si>
  <si>
    <t xml:space="preserve">Policy in the GRC tool or document repository mapped to training standards</t>
  </si>
  <si>
    <t xml:space="preserve">Provide security awareness training to all users at onboarding and at least annually, with phishing exercises</t>
  </si>
  <si>
    <t xml:space="preserve">LMS course, phishing simulation platform</t>
  </si>
  <si>
    <t xml:space="preserve">Completion report and simulation results</t>
  </si>
  <si>
    <t xml:space="preserve">Provide role-based security training to administrators, developers and other privileged roles</t>
  </si>
  <si>
    <t xml:space="preserve">Role-specific courses, secure coding and admin hardening training</t>
  </si>
  <si>
    <t xml:space="preserve">Role-based completion records</t>
  </si>
  <si>
    <t xml:space="preserve">Keep training records for each person for the defined period</t>
  </si>
  <si>
    <t xml:space="preserve">LMS records retention</t>
  </si>
  <si>
    <t xml:space="preserve">Training record export</t>
  </si>
  <si>
    <t xml:space="preserve">Publish an approved audit and accountability policy and procedures with owner, scope and review cycle; review at least annually</t>
  </si>
  <si>
    <t xml:space="preserve">Policy in the GRC tool or document repository mapped to audit and logging standards</t>
  </si>
  <si>
    <t xml:space="preserve">Review and analyze audit records at a defined frequency and report findings to management</t>
  </si>
  <si>
    <t xml:space="preserve">Weekly log review, SIEM report to management</t>
  </si>
  <si>
    <t xml:space="preserve">Review minutes and reports</t>
  </si>
  <si>
    <t xml:space="preserve">Publish an approved assessment, authorization and monitoring policy and procedures with owner, scope and review cycle; review at least annually</t>
  </si>
  <si>
    <t xml:space="preserve">Policy in the GRC tool or document repository mapped to assessment and monitoring standards</t>
  </si>
  <si>
    <t xml:space="preserve">Assess security controls at least annually and after major change, using independent assessors for critical systems</t>
  </si>
  <si>
    <t xml:space="preserve">Internal audit and external assessments</t>
  </si>
  <si>
    <t xml:space="preserve">Track remediation of findings in a plan of action with owner, due date and status</t>
  </si>
  <si>
    <t xml:space="preserve">Risk register and ticket tracking</t>
  </si>
  <si>
    <t xml:space="preserve">POA&amp;M with status</t>
  </si>
  <si>
    <t xml:space="preserve">Perform penetration testing on a schedule and after major change within an approved scope</t>
  </si>
  <si>
    <t xml:space="preserve">Annual external and internal pen test</t>
  </si>
  <si>
    <t xml:space="preserve">Pen test report and retest</t>
  </si>
  <si>
    <t xml:space="preserve">Publish an approved configuration management policy and procedures with owner, scope and review cycle; review at least annually</t>
  </si>
  <si>
    <t xml:space="preserve">Policy in the GRC tool or document repository mapped to configuration management standards</t>
  </si>
  <si>
    <t xml:space="preserve">Publish an approved contingency planning policy and procedures with owner, scope and review cycle; review at least annually</t>
  </si>
  <si>
    <t xml:space="preserve">Policy in the GRC tool or document repository mapped to contingency and backup standards</t>
  </si>
  <si>
    <t xml:space="preserve">Publish an approved identification and authentication policy and procedures with owner, scope and review cycle; review at least annually</t>
  </si>
  <si>
    <t xml:space="preserve">Policy in the GRC tool or document repository mapped to identity and authentication standards</t>
  </si>
  <si>
    <t xml:space="preserve">Publish an approved incident response policy and procedures with owner, scope and review cycle; review at least annually</t>
  </si>
  <si>
    <t xml:space="preserve">Policy in the GRC tool or document repository mapped to incident response standards</t>
  </si>
  <si>
    <t xml:space="preserve">Train incident response staff on roles and procedures at onboarding and annually</t>
  </si>
  <si>
    <t xml:space="preserve">IR training and simulation</t>
  </si>
  <si>
    <t xml:space="preserve">Test the incident response capability at least annually using exercises</t>
  </si>
  <si>
    <t xml:space="preserve">Tabletop exercise and technical simulation</t>
  </si>
  <si>
    <t xml:space="preserve">Define incident handling steps: preparation, detection, analysis, containment, eradication and recovery</t>
  </si>
  <si>
    <t xml:space="preserve">IR runbooks, ticketing, severity matrix</t>
  </si>
  <si>
    <t xml:space="preserve">Incident records showing the process followed</t>
  </si>
  <si>
    <t xml:space="preserve">Require staff to report suspected incidents within the defined time and report to authorities as required</t>
  </si>
  <si>
    <t xml:space="preserve">Reporting channel, regulator notification procedure</t>
  </si>
  <si>
    <t xml:space="preserve">Incident report and notification records</t>
  </si>
  <si>
    <t xml:space="preserve">Maintain an incident response plan with roles, communication and review cycle</t>
  </si>
  <si>
    <t xml:space="preserve">Approved IR plan, contact list</t>
  </si>
  <si>
    <t xml:space="preserve">Approved plan with review date</t>
  </si>
  <si>
    <t xml:space="preserve">Publish an approved maintenance policy and procedures with owner, scope and review cycle; review at least annually</t>
  </si>
  <si>
    <t xml:space="preserve">Policy in the GRC tool or document repository mapped to maintenance standards</t>
  </si>
  <si>
    <t xml:space="preserve">Publish an approved physical and environmental protection policy and procedures with owner, scope and review cycle; review at least annually</t>
  </si>
  <si>
    <t xml:space="preserve">Policy in the GRC tool or document repository mapped to physical and environmental protection standards</t>
  </si>
  <si>
    <t xml:space="preserve">Publish an approved security planning policy and procedures with owner, scope and review cycle; review at least annually</t>
  </si>
  <si>
    <t xml:space="preserve">Policy in the GRC tool or document repository mapped to security planning standards</t>
  </si>
  <si>
    <t xml:space="preserve">Maintain a security and privacy plan for each system describing controls and responsibilities</t>
  </si>
  <si>
    <t xml:space="preserve">System security plan</t>
  </si>
  <si>
    <t xml:space="preserve">Approved system plan</t>
  </si>
  <si>
    <t xml:space="preserve">Publish rules of behavior and require users to acknowledge them before access and annually</t>
  </si>
  <si>
    <t xml:space="preserve">Acceptable use policy acknowledgement</t>
  </si>
  <si>
    <t xml:space="preserve">Acknowledgement records</t>
  </si>
  <si>
    <t xml:space="preserve">Establish an information security program with leadership, roles and resources</t>
  </si>
  <si>
    <t xml:space="preserve">Security program charter approved by executives</t>
  </si>
  <si>
    <t xml:space="preserve">Approved charter</t>
  </si>
  <si>
    <t xml:space="preserve">Maintain an inventory of systems with owner, purpose and data classification</t>
  </si>
  <si>
    <t xml:space="preserve">System register or CMDB</t>
  </si>
  <si>
    <t xml:space="preserve">System inventory</t>
  </si>
  <si>
    <t xml:space="preserve">Define a risk management strategy with risk appetite and acceptance criteria</t>
  </si>
  <si>
    <t xml:space="preserve">Risk strategy document approved by management</t>
  </si>
  <si>
    <t xml:space="preserve">Approved strategy</t>
  </si>
  <si>
    <t xml:space="preserve">Publish an approved personnel security policy and procedures with owner, scope and review cycle; review at least annually</t>
  </si>
  <si>
    <t xml:space="preserve">Policy in the GRC tool or document repository mapped to personnel security standards</t>
  </si>
  <si>
    <t xml:space="preserve">Screen individuals before granting access and rescreen periodically for sensitive roles</t>
  </si>
  <si>
    <t xml:space="preserve">Background check procedure by role</t>
  </si>
  <si>
    <t xml:space="preserve">Require signed access agreements (NDA, acceptable use) before access is granted</t>
  </si>
  <si>
    <t xml:space="preserve">Signed agreements in HR file</t>
  </si>
  <si>
    <t xml:space="preserve">Agreement records</t>
  </si>
  <si>
    <t xml:space="preserve">Publish an approved PII processing and transparency policy and procedures with owner, scope and review cycle; review at least annually</t>
  </si>
  <si>
    <t xml:space="preserve">Policy in the GRC tool or document repository mapped to privacy standards</t>
  </si>
  <si>
    <t xml:space="preserve">Define the legal basis and purposes for processing personal data and document them</t>
  </si>
  <si>
    <t xml:space="preserve">Record of processing activities</t>
  </si>
  <si>
    <t xml:space="preserve">Processing register</t>
  </si>
  <si>
    <t xml:space="preserve">Publish an approved risk assessment policy and procedures with owner, scope and review cycle; review at least annually</t>
  </si>
  <si>
    <t xml:space="preserve">Policy in the GRC tool or document repository mapped to risk assessment standards</t>
  </si>
  <si>
    <t xml:space="preserve">Categorize systems and data by impact and record the classification</t>
  </si>
  <si>
    <t xml:space="preserve">Data classification standard and system tagging</t>
  </si>
  <si>
    <t xml:space="preserve">Classification register</t>
  </si>
  <si>
    <t xml:space="preserve">Perform and document a risk assessment at least annually and after major change</t>
  </si>
  <si>
    <t xml:space="preserve">Risk assessment method and register</t>
  </si>
  <si>
    <t xml:space="preserve">Perform a privacy impact assessment before systems that process personal data go live</t>
  </si>
  <si>
    <t xml:space="preserve">Completed assessments</t>
  </si>
  <si>
    <t xml:space="preserve">Publish an approved system and services acquisition policy and procedures with owner, scope and review cycle; review at least annually</t>
  </si>
  <si>
    <t xml:space="preserve">Policy in the GRC tool or document repository mapped to acquisition and development standards</t>
  </si>
  <si>
    <t xml:space="preserve">Publish an approved system and communications protection policy and procedures with owner, scope and review cycle; review at least annually</t>
  </si>
  <si>
    <t xml:space="preserve">Policy in the GRC tool or document repository mapped to communications protection standards</t>
  </si>
  <si>
    <t xml:space="preserve">Publish an approved system and information integrity policy and procedures with owner, scope and review cycle; review at least annually</t>
  </si>
  <si>
    <t xml:space="preserve">Policy in the GRC tool or document repository mapped to system integrity standards</t>
  </si>
  <si>
    <t xml:space="preserve">Receive, assess and act on security alerts and advisories from vendors and authorities</t>
  </si>
  <si>
    <t xml:space="preserve">CERT and vendor advisory subscriptions, triage workflow</t>
  </si>
  <si>
    <t xml:space="preserve">Publish an approved supply chain risk management policy and procedures with owner, scope and review cycle; review at least annually</t>
  </si>
  <si>
    <t xml:space="preserve">Policy in the GRC tool or document repository mapped to supply chain standards</t>
  </si>
  <si>
    <t xml:space="preserve">Physical and Environmental Configuration Baseline (NIST SP 800-53 Rev. 5 - core control items)</t>
  </si>
  <si>
    <t xml:space="preserve">Purpose: this sheet lists the physical, environmental, media and maintenance controls of NIST SP 800-53 Rev. 5 that protect facilities, data centers and hardware. Most items are facility settings and procedures, so Action Type mostly means Implement or Configure on facility systems.</t>
  </si>
  <si>
    <t xml:space="preserve">Scope: only rows tagged Physical in the Config Baseline sheet are considered, limited to the 4 families MA, MP, PE, SR. Classified-information, citizenship and foreign-national enhancements are not applicable and are left out.</t>
  </si>
  <si>
    <t xml:space="preserve">Examples name facility systems (badge readers, CCTV, UPS, gas suppression) as guidance only; adapt to the sites in use. Level is taken from the Config Baseline sheet (Level 1 = mandatory, Level 3 = lowest impact).</t>
  </si>
  <si>
    <t xml:space="preserve">Covers: Controlled Maintenance, Nonlocal Maintenance, Maintenance Personnel.</t>
  </si>
  <si>
    <t xml:space="preserve">Covers: Media Access, Media Storage, Media Transport, Media Sanitization, Media Use.</t>
  </si>
  <si>
    <t xml:space="preserve">Covers: Physical Access Authorizations, Physical Access Control, Monitoring Physical Access, Visitor Access Records, Power Equipment and Cabling, Emergency Shutoff, Emergency Power, and related items.</t>
  </si>
  <si>
    <t xml:space="preserve">Covers: Tamper Resistance and Detection, Component Disposal.</t>
  </si>
  <si>
    <t xml:space="preserve">Approve, schedule and record all maintenance on hardware and facilities; sanitize equipment before it leaves</t>
  </si>
  <si>
    <t xml:space="preserve">Maintenance ticket with approval, maintenance log, sanitization checklist</t>
  </si>
  <si>
    <t xml:space="preserve">Maintenance records</t>
  </si>
  <si>
    <t xml:space="preserve">Allow remote (non-local) maintenance only with approval, strong authentication and session control</t>
  </si>
  <si>
    <t xml:space="preserve">Vendor VPN with MFA, jump host, time-boxed access</t>
  </si>
  <si>
    <t xml:space="preserve">Remote maintenance approvals and logs</t>
  </si>
  <si>
    <t xml:space="preserve">Log and review all remote maintenance sessions</t>
  </si>
  <si>
    <t xml:space="preserve">Session recording on jump host, log review</t>
  </si>
  <si>
    <t xml:space="preserve">Session logs and review record</t>
  </si>
  <si>
    <t xml:space="preserve">Separate remote maintenance sessions from other network sessions and terminate at session end</t>
  </si>
  <si>
    <t xml:space="preserve">Dedicated maintenance network or VLAN, session timeout</t>
  </si>
  <si>
    <t xml:space="preserve">Network separation and session end proof</t>
  </si>
  <si>
    <t xml:space="preserve">Encrypt remote maintenance sessions</t>
  </si>
  <si>
    <t xml:space="preserve">IPsec or TLS VPN, SSH, TLS remote tools</t>
  </si>
  <si>
    <t xml:space="preserve">Protocol and cipher check</t>
  </si>
  <si>
    <t xml:space="preserve">Authorize maintenance personnel, keep a list and escort or supervise those without authorization</t>
  </si>
  <si>
    <t xml:space="preserve">Authorized maintainer list, visitor escort procedure</t>
  </si>
  <si>
    <t xml:space="preserve">Authorized list; escort logs</t>
  </si>
  <si>
    <t xml:space="preserve">Restrict access to digital and non-digital media to authorized people</t>
  </si>
  <si>
    <t xml:space="preserve">Locked media cabinets, access list, USB control</t>
  </si>
  <si>
    <t xml:space="preserve">Media access list</t>
  </si>
  <si>
    <t xml:space="preserve">Store media securely according to classification and control access</t>
  </si>
  <si>
    <t xml:space="preserve">Safe or locked storage, media register, encrypted removable media</t>
  </si>
  <si>
    <t xml:space="preserve">Storage inspection record</t>
  </si>
  <si>
    <t xml:space="preserve">Protect and control media during transport outside controlled areas and record custody</t>
  </si>
  <si>
    <t xml:space="preserve">Tamper-evident packaging, courier with tracking, chain-of-custody log</t>
  </si>
  <si>
    <t xml:space="preserve">Transport logs</t>
  </si>
  <si>
    <t xml:space="preserve">Encrypt media that leaves controlled areas</t>
  </si>
  <si>
    <t xml:space="preserve">Encrypted drives and tapes, BitLocker To Go, LTO encryption</t>
  </si>
  <si>
    <t xml:space="preserve">Encryption status for removable media</t>
  </si>
  <si>
    <t xml:space="preserve">Sanitize or destroy media before disposal, reuse or release using an approved method and record it</t>
  </si>
  <si>
    <t xml:space="preserve">NIST SP 800-88 wipe, degauss, shredding with certificate of destruction</t>
  </si>
  <si>
    <t xml:space="preserve">Sanitization certificates and log</t>
  </si>
  <si>
    <t xml:space="preserve">Restrict or prohibit use of unapproved removable media on systems</t>
  </si>
  <si>
    <t xml:space="preserve">USB device control via endpoint tool or GPO, block unknown media</t>
  </si>
  <si>
    <t xml:space="preserve">Device control policy export</t>
  </si>
  <si>
    <t xml:space="preserve">Maintain a list of people authorized to enter each facility area and review it on a schedule</t>
  </si>
  <si>
    <t xml:space="preserve">Badge authorization lists, quarterly review</t>
  </si>
  <si>
    <t xml:space="preserve">Access list and review record</t>
  </si>
  <si>
    <t xml:space="preserve">Control physical entry with badges, locks, mantraps and guards; control entry to server rooms</t>
  </si>
  <si>
    <t xml:space="preserve">Badge readers, biometric or PIN on data center doors, mantrap</t>
  </si>
  <si>
    <t xml:space="preserve">Physical access control configuration</t>
  </si>
  <si>
    <t xml:space="preserve">Monitor physical access with alarms, CCTV and logs; review them and investigate events</t>
  </si>
  <si>
    <t xml:space="preserve">CCTV with retention, intrusion alarms, door-forced alerts</t>
  </si>
  <si>
    <t xml:space="preserve">Monitoring records and review</t>
  </si>
  <si>
    <t xml:space="preserve">Keep visitor records with name, organization, date, purpose and escort; retain them for the defined period</t>
  </si>
  <si>
    <t xml:space="preserve">Visitor management system, sign-in log</t>
  </si>
  <si>
    <t xml:space="preserve">Visitor log retention</t>
  </si>
  <si>
    <t xml:space="preserve">Protect power and network cabling from damage and interception</t>
  </si>
  <si>
    <t xml:space="preserve">Cable trays and conduits, locked panels, separated power and data paths</t>
  </si>
  <si>
    <t xml:space="preserve">Facility inspection record</t>
  </si>
  <si>
    <t xml:space="preserve">Provide and protect emergency shutoff for equipment and keep it labeled</t>
  </si>
  <si>
    <t xml:space="preserve">Labeled, covered emergency power-off switch</t>
  </si>
  <si>
    <t xml:space="preserve">Inspection and test record</t>
  </si>
  <si>
    <t xml:space="preserve">Provide short-term UPS and long-term generator backup for critical systems</t>
  </si>
  <si>
    <t xml:space="preserve">UPS sized for runtime, generator with fuel, automatic transfer switch</t>
  </si>
  <si>
    <t xml:space="preserve">Power test results</t>
  </si>
  <si>
    <t xml:space="preserve">Install fire detection and suppression suitable for equipment rooms and test them</t>
  </si>
  <si>
    <t xml:space="preserve">Smoke detection, gas suppression, maintenance contract</t>
  </si>
  <si>
    <t xml:space="preserve">Fire system test certificate</t>
  </si>
  <si>
    <t xml:space="preserve">Maintain and monitor temperature and humidity in equipment areas within limits</t>
  </si>
  <si>
    <t xml:space="preserve">HVAC with redundancy, environmental sensors and alerts</t>
  </si>
  <si>
    <t xml:space="preserve">Environmental monitoring report</t>
  </si>
  <si>
    <t xml:space="preserve">Protect against water damage with leak detection and shutoff</t>
  </si>
  <si>
    <t xml:space="preserve">Water sensors under raised floor, accessible master shutoff valve</t>
  </si>
  <si>
    <t xml:space="preserve">Sensor test and inspection record</t>
  </si>
  <si>
    <t xml:space="preserve">Authorize, control and record delivery and removal of equipment</t>
  </si>
  <si>
    <t xml:space="preserve">Delivery log and asset tag check, removal approval</t>
  </si>
  <si>
    <t xml:space="preserve">Delivery and removal records</t>
  </si>
  <si>
    <t xml:space="preserve">Track and monitor the location of critical assets and equipment</t>
  </si>
  <si>
    <t xml:space="preserve">Asset tags, RFID, asset management system</t>
  </si>
  <si>
    <t xml:space="preserve">Asset location report</t>
  </si>
  <si>
    <t xml:space="preserve">Protect against tampering with tamper-evident seals, inspection and tamper alerts on critical hardware</t>
  </si>
  <si>
    <t xml:space="preserve">Tamper seals, chassis intrusion alarms, inspection schedule</t>
  </si>
  <si>
    <t xml:space="preserve">Seal inspection log</t>
  </si>
  <si>
    <t xml:space="preserve">Dispose of system components and media securely and record the disposal</t>
  </si>
  <si>
    <t xml:space="preserve">Certified disposal vendor, sanitization before disposal, asset register update</t>
  </si>
  <si>
    <t xml:space="preserve">Disposal certificates</t>
  </si>
  <si>
    <t xml:space="preserve">Third Party Configuration Baseline (NIST SP 800-53 Rev. 5 - core control items)</t>
  </si>
  <si>
    <t xml:space="preserve">Purpose: this sheet lists the external service provider and supply chain controls of NIST SP 800-53 Rev. 5 that define how suppliers, outsourced services and components are selected, contracted, assessed and monitored. They are contract and process controls with a few technical settings (location, keys, integrity).</t>
  </si>
  <si>
    <t xml:space="preserve">Scope: only rows tagged Third Party in the Config Baseline sheet are considered, limited to the 2 families SA, SR. Sub-items on diverse supply base, pedigree and sub-tier detail are consolidated into the main SR items.</t>
  </si>
  <si>
    <t xml:space="preserve">Examples name artefacts (contract schedule, SOC 2 review, SBOM, supplier questionnaire) as guidance only; adapt to the organization. Level is taken from the Config Baseline sheet (Level 1 = mandatory, Level 3 = lowest impact).</t>
  </si>
  <si>
    <t xml:space="preserve">Covers: External System Services.</t>
  </si>
  <si>
    <t xml:space="preserve">Covers: Supply Chain Risk Management Plan, Supply Chain Controls and Processes, Provenance, Acquisition Strategies, Tools, and Methods, Supplier Assessments and Reviews, Notification Agreements, Inspection of Systems or Components, and related items.</t>
  </si>
  <si>
    <t xml:space="preserve">Require external service providers to meet defined security requirements and define user and provider responsibilities in contracts</t>
  </si>
  <si>
    <t xml:space="preserve">Shared-responsibility matrix, security schedule, SLA</t>
  </si>
  <si>
    <t xml:space="preserve">Assess risk before engaging an external provider and get organizational approval</t>
  </si>
  <si>
    <t xml:space="preserve">Vendor risk assessment and approval workflow</t>
  </si>
  <si>
    <t xml:space="preserve">Completed assessments on file</t>
  </si>
  <si>
    <t xml:space="preserve">Identify the functions, ports, protocols and services the provider may use and restrict to those</t>
  </si>
  <si>
    <t xml:space="preserve">Approved connectivity list for each provider, firewall rules</t>
  </si>
  <si>
    <t xml:space="preserve">Provider service and port register</t>
  </si>
  <si>
    <t xml:space="preserve">Restrict the location where provider processes, stores and delivers service data</t>
  </si>
  <si>
    <t xml:space="preserve">Data residency clauses, region-locked services</t>
  </si>
  <si>
    <t xml:space="preserve">Contract clause and region setting</t>
  </si>
  <si>
    <t xml:space="preserve">Keep cryptographic keys under organization control for data held by providers</t>
  </si>
  <si>
    <t xml:space="preserve">Customer-managed keys, BYOK or HYOK, external key manager</t>
  </si>
  <si>
    <t xml:space="preserve">Keep integrity-checking mechanisms under organization control for provider-hosted data</t>
  </si>
  <si>
    <t xml:space="preserve">Customer-side hashing and signing, integrity monitoring</t>
  </si>
  <si>
    <t xml:space="preserve">Integrity check configuration</t>
  </si>
  <si>
    <t xml:space="preserve">Maintain a supply chain risk management plan covering suppliers, components and services</t>
  </si>
  <si>
    <t xml:space="preserve">Supply chain risk plan approved by management</t>
  </si>
  <si>
    <t xml:space="preserve">Approved plan</t>
  </si>
  <si>
    <t xml:space="preserve">Put supply chain controls and processes in place, including flow-down of security requirements to sub-suppliers</t>
  </si>
  <si>
    <t xml:space="preserve">Contract flow-down clauses, supplier onboarding checklist</t>
  </si>
  <si>
    <t xml:space="preserve">Contract clauses and checklist</t>
  </si>
  <si>
    <t xml:space="preserve">Document and track provenance of critical systems, components and services</t>
  </si>
  <si>
    <t xml:space="preserve">SBOM and component origin records, asset provenance in CMDB</t>
  </si>
  <si>
    <t xml:space="preserve">SBOM and provenance records</t>
  </si>
  <si>
    <t xml:space="preserve">Use acquisition strategies and assessments to reduce supply chain risk before selecting suppliers</t>
  </si>
  <si>
    <t xml:space="preserve">Supplier security questionnaire, pre-selection assessment</t>
  </si>
  <si>
    <t xml:space="preserve">Selection record with risk score</t>
  </si>
  <si>
    <t xml:space="preserve">Assess and review suppliers on a schedule, including testing and analysis where needed</t>
  </si>
  <si>
    <t xml:space="preserve">Annual supplier review, SOC 2 and ISO 27001 report review, penetration test evidence</t>
  </si>
  <si>
    <t xml:space="preserve">Supplier review records</t>
  </si>
  <si>
    <t xml:space="preserve">Agree notification of supply chain compromises and incidents with suppliers</t>
  </si>
  <si>
    <t xml:space="preserve">Breach notification clause with time limit, supplier contact register</t>
  </si>
  <si>
    <t xml:space="preserve">Clause and contact list</t>
  </si>
  <si>
    <t xml:space="preserve">Inspect critical systems and components for tampering on receipt and periodically</t>
  </si>
  <si>
    <t xml:space="preserve">Receiving inspection, tamper seals, firmware integrity checks</t>
  </si>
  <si>
    <t xml:space="preserve">Inspection records</t>
  </si>
  <si>
    <t xml:space="preserve">Verify component authenticity and protect against counterfeit components</t>
  </si>
  <si>
    <t xml:space="preserve">Approved vendor list, authenticity verification, anti-counterfeit procedures</t>
  </si>
  <si>
    <t xml:space="preserve">Authenticity verification records</t>
  </si>
  <si>
    <t xml:space="preserve">Cloud Config Baseline - Coverage Check against Bitdefender and Cloud Baseline Groups</t>
  </si>
  <si>
    <t xml:space="preserve">Every Yes/No below is a live formula against the Cloud Config Baseline sheet (column B). Bitdefender and Groups IDs are normalised to the baseline format (AC-2(3) becomes AC-02(03)). Bitdefender IDs are the 126 controls with a PASS or FAIL result in the All Accounts sheet; Groups IDs are the representative Control IDs in Cloud Baseline Groups.</t>
  </si>
  <si>
    <t xml:space="preserve">Measure</t>
  </si>
  <si>
    <t xml:space="preserve">Value</t>
  </si>
  <si>
    <t xml:space="preserve">Result</t>
  </si>
  <si>
    <t xml:space="preserve">Rows in Cloud Config Baseline</t>
  </si>
  <si>
    <t xml:space="preserve">Bitdefender evaluated control IDs (PASS + FAIL)</t>
  </si>
  <si>
    <t xml:space="preserve">Bitdefender IDs found in baseline</t>
  </si>
  <si>
    <t xml:space="preserve">Baseline rows at least equal to Bitdefender IDs</t>
  </si>
  <si>
    <t xml:space="preserve">Groups representative control IDs</t>
  </si>
  <si>
    <t xml:space="preserve">Groups IDs found in baseline</t>
  </si>
  <si>
    <t xml:space="preserve">Bitdefender IDs</t>
  </si>
  <si>
    <t xml:space="preserve">Covered in baseline</t>
  </si>
  <si>
    <t xml:space="preserve">Groups IDs</t>
  </si>
  <si>
    <t xml:space="preserve">Baseline rows</t>
  </si>
  <si>
    <t xml:space="preserve">Baseline rows &gt;= Bitdefender IDs</t>
  </si>
  <si>
    <t xml:space="preserve">Bitdefender evaluated controls (All Accounts sheet)</t>
  </si>
  <si>
    <t xml:space="preserve">Cloud Baseline Groups - representative controls</t>
  </si>
  <si>
    <t xml:space="preserve">Bitdefender ID</t>
  </si>
  <si>
    <t xml:space="preserve">Baseline ID format</t>
  </si>
  <si>
    <t xml:space="preserve">Bitdefender status</t>
  </si>
  <si>
    <t xml:space="preserve">In baseline?</t>
  </si>
  <si>
    <t xml:space="preserve">Groups ID</t>
  </si>
  <si>
    <t xml:space="preserve">Cloud Baseline Groups domain</t>
  </si>
  <si>
    <t xml:space="preserve">AC-1</t>
  </si>
  <si>
    <t xml:space="preserve">AC-2(1)</t>
  </si>
  <si>
    <t xml:space="preserve">AC-2(3)</t>
  </si>
  <si>
    <t xml:space="preserve">AC-2(4)</t>
  </si>
  <si>
    <t xml:space="preserve">AC-2(7)</t>
  </si>
  <si>
    <t xml:space="preserve">AC-2(6)</t>
  </si>
  <si>
    <t xml:space="preserve">AC-3</t>
  </si>
  <si>
    <t xml:space="preserve">AC-3(2)</t>
  </si>
  <si>
    <t xml:space="preserve">AC-3(7)</t>
  </si>
  <si>
    <t xml:space="preserve">AC-3(13)</t>
  </si>
  <si>
    <t xml:space="preserve">AC-4</t>
  </si>
  <si>
    <t xml:space="preserve">AC-4(1)</t>
  </si>
  <si>
    <t xml:space="preserve">AC-4(21)</t>
  </si>
  <si>
    <t xml:space="preserve">AC-4(26)</t>
  </si>
  <si>
    <t xml:space="preserve">AC-6(2)</t>
  </si>
  <si>
    <t xml:space="preserve">AC-6(3)</t>
  </si>
  <si>
    <t xml:space="preserve">AC-7</t>
  </si>
  <si>
    <t xml:space="preserve">AC-6(7)</t>
  </si>
  <si>
    <t xml:space="preserve">AC-6(10)</t>
  </si>
  <si>
    <t xml:space="preserve">AC-17(1)</t>
  </si>
  <si>
    <t xml:space="preserve">AU-2</t>
  </si>
  <si>
    <t xml:space="preserve">AU-3</t>
  </si>
  <si>
    <t xml:space="preserve">AU-4(1)</t>
  </si>
  <si>
    <t xml:space="preserve">AU-6(1)</t>
  </si>
  <si>
    <t xml:space="preserve">AU-6(3)</t>
  </si>
  <si>
    <t xml:space="preserve">AU-6(4)</t>
  </si>
  <si>
    <t xml:space="preserve">AU-6(5)</t>
  </si>
  <si>
    <t xml:space="preserve">AU-7(1)</t>
  </si>
  <si>
    <t xml:space="preserve">AU-9</t>
  </si>
  <si>
    <t xml:space="preserve">AU-9(2)</t>
  </si>
  <si>
    <t xml:space="preserve">AU-9(7)</t>
  </si>
  <si>
    <t xml:space="preserve">AU-12(1)</t>
  </si>
  <si>
    <t xml:space="preserve">AU-12(2)</t>
  </si>
  <si>
    <t xml:space="preserve">AU-14(1)</t>
  </si>
  <si>
    <t xml:space="preserve">CA-7</t>
  </si>
  <si>
    <t xml:space="preserve">AU-6(8)</t>
  </si>
  <si>
    <t xml:space="preserve">CA-9(1)</t>
  </si>
  <si>
    <t xml:space="preserve">CM-2</t>
  </si>
  <si>
    <t xml:space="preserve">CM-3</t>
  </si>
  <si>
    <t xml:space="preserve">CM-5(1)</t>
  </si>
  <si>
    <t xml:space="preserve">CA-2</t>
  </si>
  <si>
    <t xml:space="preserve">CM-6(1)</t>
  </si>
  <si>
    <t xml:space="preserve">CM-7</t>
  </si>
  <si>
    <t xml:space="preserve">CM-8</t>
  </si>
  <si>
    <t xml:space="preserve">CA-8</t>
  </si>
  <si>
    <t xml:space="preserve">CM-8(1)</t>
  </si>
  <si>
    <t xml:space="preserve">CM-8(2)</t>
  </si>
  <si>
    <t xml:space="preserve">CM-8(3)</t>
  </si>
  <si>
    <t xml:space="preserve">CP-2(2)</t>
  </si>
  <si>
    <t xml:space="preserve">CP-2(6)</t>
  </si>
  <si>
    <t xml:space="preserve">CP-6</t>
  </si>
  <si>
    <t xml:space="preserve">CM-4</t>
  </si>
  <si>
    <t xml:space="preserve">CP-6(1)</t>
  </si>
  <si>
    <t xml:space="preserve">CM-7(7)</t>
  </si>
  <si>
    <t xml:space="preserve">CP-6(2)</t>
  </si>
  <si>
    <t xml:space="preserve">CP-9</t>
  </si>
  <si>
    <t xml:space="preserve">IA-2(1)</t>
  </si>
  <si>
    <t xml:space="preserve">IA-2(2)</t>
  </si>
  <si>
    <t xml:space="preserve">CP-3</t>
  </si>
  <si>
    <t xml:space="preserve">CP-4</t>
  </si>
  <si>
    <t xml:space="preserve">IA-2(8)</t>
  </si>
  <si>
    <t xml:space="preserve">IR-4(1)</t>
  </si>
  <si>
    <t xml:space="preserve">IR-4(5)</t>
  </si>
  <si>
    <t xml:space="preserve">RA-3(4)</t>
  </si>
  <si>
    <t xml:space="preserve">IA-2</t>
  </si>
  <si>
    <t xml:space="preserve">SA-3</t>
  </si>
  <si>
    <t xml:space="preserve">SA-8(14)</t>
  </si>
  <si>
    <t xml:space="preserve">SA-8(19)</t>
  </si>
  <si>
    <t xml:space="preserve">SA-8(21)</t>
  </si>
  <si>
    <t xml:space="preserve">SA-8(22)</t>
  </si>
  <si>
    <t xml:space="preserve">IA-5(2)</t>
  </si>
  <si>
    <t xml:space="preserve">SA-8(23)</t>
  </si>
  <si>
    <t xml:space="preserve">SA-15(5)</t>
  </si>
  <si>
    <t xml:space="preserve">IA-7</t>
  </si>
  <si>
    <t xml:space="preserve">SA-17(7)</t>
  </si>
  <si>
    <t xml:space="preserve">SC-5</t>
  </si>
  <si>
    <t xml:space="preserve">IR-2</t>
  </si>
  <si>
    <t xml:space="preserve">IR-3</t>
  </si>
  <si>
    <t xml:space="preserve">SC-5(3)</t>
  </si>
  <si>
    <t xml:space="preserve">SC-7(3)</t>
  </si>
  <si>
    <t xml:space="preserve">SC-7(4)</t>
  </si>
  <si>
    <t xml:space="preserve">IR-5</t>
  </si>
  <si>
    <t xml:space="preserve">SC-7(5)</t>
  </si>
  <si>
    <t xml:space="preserve">SC-7(11)</t>
  </si>
  <si>
    <t xml:space="preserve">SC-7(16)</t>
  </si>
  <si>
    <t xml:space="preserve">SC-7(20)</t>
  </si>
  <si>
    <t xml:space="preserve">RA-2</t>
  </si>
  <si>
    <t xml:space="preserve">SC-8(1)</t>
  </si>
  <si>
    <t xml:space="preserve">SC-8(2)</t>
  </si>
  <si>
    <t xml:space="preserve">SC-12(2)</t>
  </si>
  <si>
    <t xml:space="preserve">RA-5</t>
  </si>
  <si>
    <t xml:space="preserve">SC-12(3)</t>
  </si>
  <si>
    <t xml:space="preserve">SC-12(6)</t>
  </si>
  <si>
    <t xml:space="preserve">SA-2</t>
  </si>
  <si>
    <t xml:space="preserve">SA-4</t>
  </si>
  <si>
    <t xml:space="preserve">SC-28(1)</t>
  </si>
  <si>
    <t xml:space="preserve">SI-2</t>
  </si>
  <si>
    <t xml:space="preserve">SI-2(2)</t>
  </si>
  <si>
    <t xml:space="preserve">SI-4</t>
  </si>
  <si>
    <t xml:space="preserve">SI-4(1)</t>
  </si>
  <si>
    <t xml:space="preserve">SI-4(2)</t>
  </si>
  <si>
    <t xml:space="preserve">SI-4(4)</t>
  </si>
  <si>
    <t xml:space="preserve">SI-4(5)</t>
  </si>
  <si>
    <t xml:space="preserve">SI-4(11)</t>
  </si>
  <si>
    <t xml:space="preserve">SI-4(12)</t>
  </si>
  <si>
    <t xml:space="preserve">SI-4(18)</t>
  </si>
  <si>
    <t xml:space="preserve">SI-4(22)</t>
  </si>
  <si>
    <t xml:space="preserve">SI-4(25)</t>
  </si>
  <si>
    <t xml:space="preserve">SI-7(1)</t>
  </si>
  <si>
    <t xml:space="preserve">SC-2</t>
  </si>
  <si>
    <t xml:space="preserve">SI-7(6)</t>
  </si>
  <si>
    <t xml:space="preserve">SC-2(1)</t>
  </si>
  <si>
    <t xml:space="preserve">SI-7(7)</t>
  </si>
  <si>
    <t xml:space="preserve">SC-3</t>
  </si>
  <si>
    <t xml:space="preserve">SI-7(8)</t>
  </si>
  <si>
    <t xml:space="preserve">SC-7(12)</t>
  </si>
  <si>
    <t xml:space="preserve">SC-7(13)</t>
  </si>
  <si>
    <t xml:space="preserve">SC-40(2)</t>
  </si>
  <si>
    <t xml:space="preserve">SI-4(7)</t>
  </si>
  <si>
    <t xml:space="preserve">SI-4(14)</t>
  </si>
  <si>
    <t xml:space="preserve">SI-8(2)</t>
  </si>
  <si>
    <t xml:space="preserve">Control ID (all topic sheets)</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</si>
</sst>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4"/>
      <name val="Calibri"/>
      <family val="0"/>
      <charset val="1"/>
    </font>
    <font>
      <sz val="10"/>
      <name val="Arial"/>
      <family val="0"/>
    </font>
    <font>
      <sz val="10"/>
      <name val="Arial"/>
      <family val="0"/>
    </font>
    <font>
      <sz val="10"/>
      <name val="Arial"/>
      <family val="0"/>
    </font>
    <font>
      <b val="true"/>
      <sz val="14"/>
      <name val="Calibri"/>
      <family val="0"/>
      <charset val="1"/>
    </font>
    <font>
      <sz val="14"/>
      <color theme="1"/>
      <name val="Calibri"/>
      <family val="0"/>
      <charset val="1"/>
    </font>
    <font>
      <b val="true"/>
      <sz val="14"/>
      <color rgb="FFFFFFFF"/>
      <name val="Calibri"/>
      <family val="0"/>
      <charset val="1"/>
    </font>
    <font>
      <sz val="14"/>
      <name val="FreeSans"/>
      <family val="2"/>
      <charset val="1"/>
    </font>
    <font>
      <sz val="12"/>
      <name val="Calibri"/>
      <family val="0"/>
      <charset val="1"/>
    </font>
    <font>
      <b val="true"/>
      <sz val="12"/>
      <color rgb="FFFFFFFF"/>
      <name val="Calibri"/>
      <family val="0"/>
      <charset val="1"/>
    </font>
    <font>
      <b val="true"/>
      <sz val="12"/>
      <name val="Calibri"/>
      <family val="0"/>
      <charset val="1"/>
    </font>
  </fonts>
  <fills count="7">
    <fill>
      <patternFill patternType="none"/>
    </fill>
    <fill>
      <patternFill patternType="gray125"/>
    </fill>
    <fill>
      <patternFill patternType="solid">
        <fgColor rgb="FF1F3864"/>
        <bgColor rgb="FF333333"/>
      </patternFill>
    </fill>
    <fill>
      <patternFill patternType="solid">
        <fgColor rgb="FFD9E2F3"/>
        <bgColor rgb="FFC6E0B4"/>
      </patternFill>
    </fill>
    <fill>
      <patternFill patternType="solid">
        <fgColor rgb="FFC6E0B4"/>
        <bgColor rgb="FFD9E2F3"/>
      </patternFill>
    </fill>
    <fill>
      <patternFill patternType="solid">
        <fgColor rgb="FFF8CBAD"/>
        <bgColor rgb="FFFFE699"/>
      </patternFill>
    </fill>
    <fill>
      <patternFill patternType="solid">
        <fgColor rgb="FFFFE699"/>
        <bgColor rgb="FFF8CBAD"/>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right" vertical="top" textRotation="0" wrapText="false" indent="0" shrinkToFit="false"/>
      <protection locked="true" hidden="false"/>
    </xf>
    <xf numFmtId="166" fontId="0" fillId="0" borderId="1" xfId="0" applyFont="false" applyBorder="true" applyAlignment="true" applyProtection="false">
      <alignment horizontal="right"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right" vertical="top" textRotation="0" wrapText="false" indent="0" shrinkToFit="false"/>
      <protection locked="true" hidden="false"/>
    </xf>
    <xf numFmtId="166" fontId="4" fillId="0" borderId="1" xfId="0" applyFont="true" applyBorder="true" applyAlignment="true" applyProtection="false">
      <alignment horizontal="righ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5" fontId="8" fillId="0" borderId="2" xfId="0" applyFont="true" applyBorder="true" applyAlignment="true" applyProtection="false">
      <alignment horizontal="right" vertical="top" textRotation="0" wrapText="true" indent="0" shrinkToFit="false"/>
      <protection locked="true" hidden="false"/>
    </xf>
    <xf numFmtId="164" fontId="10" fillId="3" borderId="2" xfId="0" applyFont="true" applyBorder="true" applyAlignment="true" applyProtection="false">
      <alignment horizontal="left" vertical="top" textRotation="0" wrapText="true" indent="0" shrinkToFit="false"/>
      <protection locked="true" hidden="false"/>
    </xf>
    <xf numFmtId="165" fontId="10" fillId="3" borderId="2" xfId="0" applyFont="true" applyBorder="tru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24"/>
    <col collapsed="false" customWidth="true" hidden="false" outlineLevel="0" max="2" min="2" style="1" width="34"/>
    <col collapsed="false" customWidth="true" hidden="false" outlineLevel="0" max="5" min="3" style="1" width="52"/>
    <col collapsed="false" customWidth="true" hidden="false" outlineLevel="0" max="6" min="6" style="1" width="18"/>
  </cols>
  <sheetData>
    <row r="1" customFormat="false" ht="30" hidden="false" customHeight="true" outlineLevel="0" collapsed="false">
      <c r="A1" s="2" t="s">
        <v>0</v>
      </c>
      <c r="B1" s="2"/>
      <c r="C1" s="2"/>
      <c r="D1" s="2"/>
      <c r="E1" s="2"/>
      <c r="F1" s="2"/>
    </row>
    <row r="2" customFormat="false" ht="90" hidden="false" customHeight="true" outlineLevel="0" collapsed="false">
      <c r="A2" s="3" t="s">
        <v>1</v>
      </c>
      <c r="B2" s="3"/>
      <c r="C2" s="3"/>
      <c r="D2" s="3"/>
      <c r="E2" s="3"/>
      <c r="F2" s="3"/>
    </row>
    <row r="3" customFormat="false" ht="17.25" hidden="false" customHeight="true" outlineLevel="0" collapsed="false">
      <c r="A3" s="4"/>
      <c r="B3" s="4"/>
      <c r="C3" s="4"/>
      <c r="D3" s="4"/>
      <c r="E3" s="4"/>
      <c r="F3" s="4"/>
    </row>
    <row r="4" customFormat="false" ht="25.5" hidden="false" customHeight="true" outlineLevel="0" collapsed="false">
      <c r="A4" s="5" t="s">
        <v>2</v>
      </c>
      <c r="B4" s="5"/>
      <c r="C4" s="5"/>
      <c r="D4" s="5"/>
      <c r="E4" s="5"/>
      <c r="F4" s="5"/>
    </row>
    <row r="5" customFormat="false" ht="43.5" hidden="false" customHeight="true" outlineLevel="0" collapsed="false">
      <c r="A5" s="3" t="s">
        <v>3</v>
      </c>
      <c r="B5" s="3"/>
      <c r="C5" s="3"/>
      <c r="D5" s="3"/>
      <c r="E5" s="3"/>
      <c r="F5" s="3"/>
    </row>
    <row r="6" customFormat="false" ht="43.5" hidden="false" customHeight="true" outlineLevel="0" collapsed="false">
      <c r="A6" s="3" t="s">
        <v>4</v>
      </c>
      <c r="B6" s="3"/>
      <c r="C6" s="3"/>
      <c r="D6" s="3"/>
      <c r="E6" s="3"/>
      <c r="F6" s="3"/>
    </row>
    <row r="7" customFormat="false" ht="43.5" hidden="false" customHeight="true" outlineLevel="0" collapsed="false">
      <c r="A7" s="3" t="s">
        <v>5</v>
      </c>
      <c r="B7" s="3"/>
      <c r="C7" s="3"/>
      <c r="D7" s="3"/>
      <c r="E7" s="3"/>
      <c r="F7" s="3"/>
    </row>
    <row r="8" customFormat="false" ht="43.5" hidden="false" customHeight="true" outlineLevel="0" collapsed="false">
      <c r="A8" s="3" t="s">
        <v>6</v>
      </c>
      <c r="B8" s="3"/>
      <c r="C8" s="3"/>
      <c r="D8" s="3"/>
      <c r="E8" s="3"/>
      <c r="F8" s="3"/>
    </row>
    <row r="9" customFormat="false" ht="66" hidden="false" customHeight="true" outlineLevel="0" collapsed="false">
      <c r="A9" s="3" t="s">
        <v>7</v>
      </c>
      <c r="B9" s="3"/>
      <c r="C9" s="3"/>
      <c r="D9" s="3"/>
      <c r="E9" s="3"/>
      <c r="F9" s="3"/>
    </row>
    <row r="10" customFormat="false" ht="43.5" hidden="false" customHeight="true" outlineLevel="0" collapsed="false">
      <c r="A10" s="3" t="s">
        <v>8</v>
      </c>
      <c r="B10" s="3"/>
      <c r="C10" s="3"/>
      <c r="D10" s="3"/>
      <c r="E10" s="3"/>
      <c r="F10" s="3"/>
    </row>
    <row r="11" customFormat="false" ht="17.25" hidden="false" customHeight="true" outlineLevel="0" collapsed="false">
      <c r="A11" s="4"/>
      <c r="B11" s="4"/>
      <c r="C11" s="4"/>
      <c r="D11" s="4"/>
      <c r="E11" s="4"/>
      <c r="F11" s="4"/>
    </row>
    <row r="12" customFormat="false" ht="25.5" hidden="false" customHeight="true" outlineLevel="0" collapsed="false">
      <c r="A12" s="5" t="s">
        <v>9</v>
      </c>
      <c r="B12" s="5"/>
      <c r="C12" s="5"/>
      <c r="D12" s="5"/>
      <c r="E12" s="5"/>
      <c r="F12" s="5"/>
    </row>
    <row r="13" customFormat="false" ht="18" hidden="false" customHeight="true" outlineLevel="0" collapsed="false">
      <c r="A13" s="6" t="s">
        <v>10</v>
      </c>
      <c r="B13" s="6" t="s">
        <v>11</v>
      </c>
      <c r="C13" s="6" t="s">
        <v>12</v>
      </c>
      <c r="D13" s="6" t="s">
        <v>13</v>
      </c>
      <c r="E13" s="6" t="s">
        <v>14</v>
      </c>
      <c r="F13" s="6" t="s">
        <v>15</v>
      </c>
    </row>
    <row r="14" customFormat="false" ht="168" hidden="false" customHeight="true" outlineLevel="0" collapsed="false">
      <c r="A14" s="7" t="s">
        <v>16</v>
      </c>
      <c r="B14" s="7" t="s">
        <v>17</v>
      </c>
      <c r="C14" s="7" t="s">
        <v>18</v>
      </c>
      <c r="D14" s="7" t="s">
        <v>19</v>
      </c>
      <c r="E14" s="7" t="n">
        <f aca="false">COUNTIF('Config Baseline'!$C:$C,"Access Control (AC)")</f>
        <v>127</v>
      </c>
      <c r="F14" s="7" t="n">
        <f aca="false">COUNTIFS('Config Baseline'!$C:$C,"Access Control (AC)",'Config Baseline'!$L:$L,"Level 1*")</f>
        <v>22</v>
      </c>
    </row>
    <row r="15" customFormat="false" ht="168" hidden="false" customHeight="true" outlineLevel="0" collapsed="false">
      <c r="A15" s="7" t="s">
        <v>20</v>
      </c>
      <c r="B15" s="7" t="s">
        <v>21</v>
      </c>
      <c r="C15" s="7" t="s">
        <v>22</v>
      </c>
      <c r="D15" s="7" t="s">
        <v>23</v>
      </c>
      <c r="E15" s="7" t="n">
        <f aca="false">COUNTIF('Config Baseline'!$C:$C,"Awareness and Training (AT)")</f>
        <v>16</v>
      </c>
      <c r="F15" s="7" t="n">
        <f aca="false">COUNTIFS('Config Baseline'!$C:$C,"Awareness and Training (AT)",'Config Baseline'!$L:$L,"Level 1*")</f>
        <v>0</v>
      </c>
    </row>
    <row r="16" customFormat="false" ht="168" hidden="false" customHeight="true" outlineLevel="0" collapsed="false">
      <c r="A16" s="7" t="s">
        <v>24</v>
      </c>
      <c r="B16" s="7" t="s">
        <v>25</v>
      </c>
      <c r="C16" s="7" t="s">
        <v>26</v>
      </c>
      <c r="D16" s="7" t="s">
        <v>27</v>
      </c>
      <c r="E16" s="7" t="n">
        <f aca="false">COUNTIF('Config Baseline'!$C:$C,"Audit and Accountability (AU)")</f>
        <v>57</v>
      </c>
      <c r="F16" s="7" t="n">
        <f aca="false">COUNTIFS('Config Baseline'!$C:$C,"Audit and Accountability (AU)",'Config Baseline'!$L:$L,"Level 1*")</f>
        <v>12</v>
      </c>
    </row>
    <row r="17" customFormat="false" ht="210" hidden="false" customHeight="true" outlineLevel="0" collapsed="false">
      <c r="A17" s="7" t="s">
        <v>28</v>
      </c>
      <c r="B17" s="7" t="s">
        <v>29</v>
      </c>
      <c r="C17" s="7" t="s">
        <v>30</v>
      </c>
      <c r="D17" s="7" t="s">
        <v>31</v>
      </c>
      <c r="E17" s="7" t="n">
        <f aca="false">COUNTIF('Config Baseline'!$C:$C,"Assessment, Authorization, and Monitoring (CA)")</f>
        <v>25</v>
      </c>
      <c r="F17" s="7" t="n">
        <f aca="false">COUNTIFS('Config Baseline'!$C:$C,"Assessment, Authorization, and Monitoring (CA)",'Config Baseline'!$L:$L,"Level 1*")</f>
        <v>0</v>
      </c>
    </row>
    <row r="18" customFormat="false" ht="168" hidden="false" customHeight="true" outlineLevel="0" collapsed="false">
      <c r="A18" s="7" t="s">
        <v>32</v>
      </c>
      <c r="B18" s="7" t="s">
        <v>33</v>
      </c>
      <c r="C18" s="7" t="s">
        <v>34</v>
      </c>
      <c r="D18" s="7" t="s">
        <v>35</v>
      </c>
      <c r="E18" s="7" t="n">
        <f aca="false">COUNTIF('Config Baseline'!$C:$C,"Configuration Management (CM)")</f>
        <v>57</v>
      </c>
      <c r="F18" s="7" t="n">
        <f aca="false">COUNTIFS('Config Baseline'!$C:$C,"Configuration Management (CM)",'Config Baseline'!$L:$L,"Level 1*")</f>
        <v>8</v>
      </c>
    </row>
    <row r="19" customFormat="false" ht="168" hidden="false" customHeight="true" outlineLevel="0" collapsed="false">
      <c r="A19" s="7" t="s">
        <v>36</v>
      </c>
      <c r="B19" s="7" t="s">
        <v>37</v>
      </c>
      <c r="C19" s="7" t="s">
        <v>38</v>
      </c>
      <c r="D19" s="7" t="s">
        <v>39</v>
      </c>
      <c r="E19" s="7" t="n">
        <f aca="false">COUNTIF('Config Baseline'!$C:$C,"Contingency Planning (CP)")</f>
        <v>49</v>
      </c>
      <c r="F19" s="7" t="n">
        <f aca="false">COUNTIFS('Config Baseline'!$C:$C,"Contingency Planning (CP)",'Config Baseline'!$L:$L,"Level 1*")</f>
        <v>3</v>
      </c>
    </row>
    <row r="20" customFormat="false" ht="189" hidden="false" customHeight="true" outlineLevel="0" collapsed="false">
      <c r="A20" s="7" t="s">
        <v>40</v>
      </c>
      <c r="B20" s="7" t="s">
        <v>41</v>
      </c>
      <c r="C20" s="7" t="s">
        <v>42</v>
      </c>
      <c r="D20" s="7" t="s">
        <v>43</v>
      </c>
      <c r="E20" s="7" t="n">
        <f aca="false">COUNTIF('Config Baseline'!$C:$C,"Identification and Authentication (IA)")</f>
        <v>61</v>
      </c>
      <c r="F20" s="7" t="n">
        <f aca="false">COUNTIFS('Config Baseline'!$C:$C,"Identification and Authentication (IA)",'Config Baseline'!$L:$L,"Level 1*")</f>
        <v>7</v>
      </c>
    </row>
    <row r="21" customFormat="false" ht="168" hidden="false" customHeight="true" outlineLevel="0" collapsed="false">
      <c r="A21" s="7" t="s">
        <v>44</v>
      </c>
      <c r="B21" s="7" t="s">
        <v>45</v>
      </c>
      <c r="C21" s="7" t="s">
        <v>46</v>
      </c>
      <c r="D21" s="7" t="s">
        <v>47</v>
      </c>
      <c r="E21" s="7" t="n">
        <f aca="false">COUNTIF('Config Baseline'!$C:$C,"Incident Response (IR)")</f>
        <v>39</v>
      </c>
      <c r="F21" s="7" t="n">
        <f aca="false">COUNTIFS('Config Baseline'!$C:$C,"Incident Response (IR)",'Config Baseline'!$L:$L,"Level 1*")</f>
        <v>0</v>
      </c>
    </row>
    <row r="22" customFormat="false" ht="147" hidden="false" customHeight="true" outlineLevel="0" collapsed="false">
      <c r="A22" s="7" t="s">
        <v>48</v>
      </c>
      <c r="B22" s="7" t="s">
        <v>49</v>
      </c>
      <c r="C22" s="7" t="s">
        <v>50</v>
      </c>
      <c r="D22" s="7" t="s">
        <v>51</v>
      </c>
      <c r="E22" s="7" t="n">
        <f aca="false">COUNTIF('Config Baseline'!$C:$C,"Maintenance (MA)")</f>
        <v>28</v>
      </c>
      <c r="F22" s="7" t="n">
        <f aca="false">COUNTIFS('Config Baseline'!$C:$C,"Maintenance (MA)",'Config Baseline'!$L:$L,"Level 1*")</f>
        <v>3</v>
      </c>
    </row>
    <row r="23" customFormat="false" ht="168" hidden="false" customHeight="true" outlineLevel="0" collapsed="false">
      <c r="A23" s="7" t="s">
        <v>52</v>
      </c>
      <c r="B23" s="7" t="s">
        <v>53</v>
      </c>
      <c r="C23" s="7" t="s">
        <v>54</v>
      </c>
      <c r="D23" s="7" t="s">
        <v>55</v>
      </c>
      <c r="E23" s="7" t="n">
        <f aca="false">COUNTIF('Config Baseline'!$C:$C,"Media Protection (MP)")</f>
        <v>20</v>
      </c>
      <c r="F23" s="7" t="n">
        <f aca="false">COUNTIFS('Config Baseline'!$C:$C,"Media Protection (MP)",'Config Baseline'!$L:$L,"Level 1*")</f>
        <v>0</v>
      </c>
    </row>
    <row r="24" customFormat="false" ht="189" hidden="false" customHeight="true" outlineLevel="0" collapsed="false">
      <c r="A24" s="7" t="s">
        <v>56</v>
      </c>
      <c r="B24" s="7" t="s">
        <v>57</v>
      </c>
      <c r="C24" s="7" t="s">
        <v>58</v>
      </c>
      <c r="D24" s="7" t="s">
        <v>59</v>
      </c>
      <c r="E24" s="7" t="n">
        <f aca="false">COUNTIF('Config Baseline'!$C:$C,"Physical and Environmental Protection (PE)")</f>
        <v>50</v>
      </c>
      <c r="F24" s="7" t="n">
        <f aca="false">COUNTIFS('Config Baseline'!$C:$C,"Physical and Environmental Protection (PE)",'Config Baseline'!$L:$L,"Level 1*")</f>
        <v>0</v>
      </c>
    </row>
    <row r="25" customFormat="false" ht="147" hidden="false" customHeight="true" outlineLevel="0" collapsed="false">
      <c r="A25" s="7" t="s">
        <v>60</v>
      </c>
      <c r="B25" s="7" t="s">
        <v>61</v>
      </c>
      <c r="C25" s="7" t="s">
        <v>62</v>
      </c>
      <c r="D25" s="7" t="s">
        <v>63</v>
      </c>
      <c r="E25" s="7" t="n">
        <f aca="false">COUNTIF('Config Baseline'!$C:$C,"Planning (PL)")</f>
        <v>11</v>
      </c>
      <c r="F25" s="7" t="n">
        <f aca="false">COUNTIFS('Config Baseline'!$C:$C,"Planning (PL)",'Config Baseline'!$L:$L,"Level 1*")</f>
        <v>0</v>
      </c>
    </row>
    <row r="26" customFormat="false" ht="168" hidden="false" customHeight="true" outlineLevel="0" collapsed="false">
      <c r="A26" s="7" t="s">
        <v>64</v>
      </c>
      <c r="B26" s="7" t="s">
        <v>65</v>
      </c>
      <c r="C26" s="7" t="s">
        <v>66</v>
      </c>
      <c r="D26" s="7" t="s">
        <v>67</v>
      </c>
      <c r="E26" s="7" t="n">
        <f aca="false">COUNTIF('Config Baseline'!$C:$C,"Program Management (PM)")</f>
        <v>37</v>
      </c>
      <c r="F26" s="7" t="n">
        <f aca="false">COUNTIFS('Config Baseline'!$C:$C,"Program Management (PM)",'Config Baseline'!$L:$L,"Level 1*")</f>
        <v>0</v>
      </c>
    </row>
    <row r="27" customFormat="false" ht="168" hidden="false" customHeight="true" outlineLevel="0" collapsed="false">
      <c r="A27" s="7" t="s">
        <v>68</v>
      </c>
      <c r="B27" s="7" t="s">
        <v>69</v>
      </c>
      <c r="C27" s="7" t="s">
        <v>70</v>
      </c>
      <c r="D27" s="7" t="s">
        <v>71</v>
      </c>
      <c r="E27" s="7" t="n">
        <f aca="false">COUNTIF('Config Baseline'!$C:$C,"Personnel Security (PS)")</f>
        <v>17</v>
      </c>
      <c r="F27" s="7" t="n">
        <f aca="false">COUNTIFS('Config Baseline'!$C:$C,"Personnel Security (PS)",'Config Baseline'!$L:$L,"Level 1*")</f>
        <v>0</v>
      </c>
    </row>
    <row r="28" customFormat="false" ht="189" hidden="false" customHeight="true" outlineLevel="0" collapsed="false">
      <c r="A28" s="7" t="s">
        <v>72</v>
      </c>
      <c r="B28" s="7" t="s">
        <v>73</v>
      </c>
      <c r="C28" s="7" t="s">
        <v>74</v>
      </c>
      <c r="D28" s="7" t="s">
        <v>75</v>
      </c>
      <c r="E28" s="7" t="n">
        <f aca="false">COUNTIF('Config Baseline'!$C:$C,"PII Processing and Transparency (PT)")</f>
        <v>21</v>
      </c>
      <c r="F28" s="7" t="n">
        <f aca="false">COUNTIFS('Config Baseline'!$C:$C,"PII Processing and Transparency (PT)",'Config Baseline'!$L:$L,"Level 1*")</f>
        <v>0</v>
      </c>
    </row>
    <row r="29" customFormat="false" ht="168" hidden="false" customHeight="true" outlineLevel="0" collapsed="false">
      <c r="A29" s="7" t="s">
        <v>76</v>
      </c>
      <c r="B29" s="7" t="s">
        <v>77</v>
      </c>
      <c r="C29" s="7" t="s">
        <v>78</v>
      </c>
      <c r="D29" s="7" t="s">
        <v>79</v>
      </c>
      <c r="E29" s="7" t="n">
        <f aca="false">COUNTIF('Config Baseline'!$C:$C,"Risk Assessment (RA)")</f>
        <v>22</v>
      </c>
      <c r="F29" s="7" t="n">
        <f aca="false">COUNTIFS('Config Baseline'!$C:$C,"Risk Assessment (RA)",'Config Baseline'!$L:$L,"Level 1*")</f>
        <v>3</v>
      </c>
    </row>
    <row r="30" customFormat="false" ht="189" hidden="false" customHeight="true" outlineLevel="0" collapsed="false">
      <c r="A30" s="7" t="s">
        <v>80</v>
      </c>
      <c r="B30" s="7" t="s">
        <v>81</v>
      </c>
      <c r="C30" s="7" t="s">
        <v>82</v>
      </c>
      <c r="D30" s="7" t="s">
        <v>83</v>
      </c>
      <c r="E30" s="7" t="n">
        <f aca="false">COUNTIF('Config Baseline'!$C:$C,"System and Services Acquisition (SA)")</f>
        <v>109</v>
      </c>
      <c r="F30" s="7" t="n">
        <f aca="false">COUNTIFS('Config Baseline'!$C:$C,"System and Services Acquisition (SA)",'Config Baseline'!$L:$L,"Level 1*")</f>
        <v>0</v>
      </c>
    </row>
    <row r="31" customFormat="false" ht="189" hidden="false" customHeight="true" outlineLevel="0" collapsed="false">
      <c r="A31" s="7" t="s">
        <v>84</v>
      </c>
      <c r="B31" s="7" t="s">
        <v>85</v>
      </c>
      <c r="C31" s="7" t="s">
        <v>86</v>
      </c>
      <c r="D31" s="7" t="s">
        <v>87</v>
      </c>
      <c r="E31" s="7" t="n">
        <f aca="false">COUNTIF('Config Baseline'!$C:$C,"System and Communications Protection (SC)")</f>
        <v>138</v>
      </c>
      <c r="F31" s="7" t="n">
        <f aca="false">COUNTIFS('Config Baseline'!$C:$C,"System and Communications Protection (SC)",'Config Baseline'!$L:$L,"Level 1*")</f>
        <v>17</v>
      </c>
    </row>
    <row r="32" customFormat="false" ht="189" hidden="false" customHeight="true" outlineLevel="0" collapsed="false">
      <c r="A32" s="7" t="s">
        <v>88</v>
      </c>
      <c r="B32" s="7" t="s">
        <v>89</v>
      </c>
      <c r="C32" s="7" t="s">
        <v>90</v>
      </c>
      <c r="D32" s="7" t="s">
        <v>91</v>
      </c>
      <c r="E32" s="7" t="n">
        <f aca="false">COUNTIF('Config Baseline'!$C:$C,"System and Information Integrity (SI)")</f>
        <v>105</v>
      </c>
      <c r="F32" s="7" t="n">
        <f aca="false">COUNTIFS('Config Baseline'!$C:$C,"System and Information Integrity (SI)",'Config Baseline'!$L:$L,"Level 1*")</f>
        <v>18</v>
      </c>
    </row>
    <row r="33" customFormat="false" ht="189" hidden="false" customHeight="true" outlineLevel="0" collapsed="false">
      <c r="A33" s="7" t="s">
        <v>92</v>
      </c>
      <c r="B33" s="7" t="s">
        <v>93</v>
      </c>
      <c r="C33" s="7" t="s">
        <v>94</v>
      </c>
      <c r="D33" s="7" t="s">
        <v>95</v>
      </c>
      <c r="E33" s="7" t="n">
        <f aca="false">COUNTIF('Config Baseline'!$C:$C,"Supply Chain Risk Management (SR)")</f>
        <v>27</v>
      </c>
      <c r="F33" s="7" t="n">
        <f aca="false">COUNTIFS('Config Baseline'!$C:$C,"Supply Chain Risk Management (SR)",'Config Baseline'!$L:$L,"Level 1*")</f>
        <v>0</v>
      </c>
    </row>
    <row r="34" customFormat="false" ht="17.25" hidden="false" customHeight="true" outlineLevel="0" collapsed="false">
      <c r="A34" s="4"/>
      <c r="B34" s="4"/>
      <c r="C34" s="4"/>
      <c r="D34" s="4"/>
      <c r="E34" s="4"/>
      <c r="F34" s="4"/>
    </row>
    <row r="35" customFormat="false" ht="25.5" hidden="false" customHeight="true" outlineLevel="0" collapsed="false">
      <c r="A35" s="5" t="s">
        <v>96</v>
      </c>
      <c r="B35" s="5"/>
      <c r="C35" s="5"/>
      <c r="D35" s="5"/>
      <c r="E35" s="5"/>
      <c r="F35" s="5"/>
    </row>
    <row r="36" customFormat="false" ht="18" hidden="false" customHeight="true" outlineLevel="0" collapsed="false">
      <c r="A36" s="6" t="s">
        <v>97</v>
      </c>
      <c r="B36" s="6" t="s">
        <v>98</v>
      </c>
      <c r="C36" s="6" t="s">
        <v>12</v>
      </c>
      <c r="D36" s="6" t="s">
        <v>99</v>
      </c>
      <c r="E36" s="4"/>
      <c r="F36" s="4"/>
    </row>
    <row r="37" customFormat="false" ht="126" hidden="false" customHeight="true" outlineLevel="0" collapsed="false">
      <c r="A37" s="7" t="s">
        <v>100</v>
      </c>
      <c r="B37" s="7" t="s">
        <v>101</v>
      </c>
      <c r="C37" s="7" t="s">
        <v>102</v>
      </c>
      <c r="D37" s="7" t="s">
        <v>103</v>
      </c>
      <c r="E37" s="4"/>
      <c r="F37" s="4"/>
    </row>
    <row r="38" customFormat="false" ht="63" hidden="false" customHeight="true" outlineLevel="0" collapsed="false">
      <c r="A38" s="7" t="s">
        <v>104</v>
      </c>
      <c r="B38" s="7" t="s">
        <v>105</v>
      </c>
      <c r="C38" s="7" t="s">
        <v>106</v>
      </c>
      <c r="D38" s="7" t="s">
        <v>107</v>
      </c>
      <c r="E38" s="4"/>
      <c r="F38" s="4"/>
    </row>
    <row r="39" customFormat="false" ht="84" hidden="false" customHeight="true" outlineLevel="0" collapsed="false">
      <c r="A39" s="7" t="s">
        <v>108</v>
      </c>
      <c r="B39" s="7" t="s">
        <v>109</v>
      </c>
      <c r="C39" s="7" t="s">
        <v>110</v>
      </c>
      <c r="D39" s="7" t="s">
        <v>111</v>
      </c>
      <c r="E39" s="4"/>
      <c r="F39" s="4"/>
    </row>
    <row r="40" customFormat="false" ht="63" hidden="false" customHeight="true" outlineLevel="0" collapsed="false">
      <c r="A40" s="7" t="s">
        <v>112</v>
      </c>
      <c r="B40" s="7" t="s">
        <v>113</v>
      </c>
      <c r="C40" s="7" t="s">
        <v>114</v>
      </c>
      <c r="D40" s="7" t="s">
        <v>115</v>
      </c>
      <c r="E40" s="4"/>
      <c r="F40" s="4"/>
    </row>
    <row r="41" customFormat="false" ht="63" hidden="false" customHeight="true" outlineLevel="0" collapsed="false">
      <c r="A41" s="7" t="s">
        <v>116</v>
      </c>
      <c r="B41" s="7" t="s">
        <v>117</v>
      </c>
      <c r="C41" s="7" t="s">
        <v>118</v>
      </c>
      <c r="D41" s="7" t="s">
        <v>119</v>
      </c>
      <c r="E41" s="4"/>
      <c r="F41" s="4"/>
    </row>
    <row r="42" customFormat="false" ht="63" hidden="false" customHeight="true" outlineLevel="0" collapsed="false">
      <c r="A42" s="7" t="s">
        <v>120</v>
      </c>
      <c r="B42" s="7" t="s">
        <v>121</v>
      </c>
      <c r="C42" s="7" t="s">
        <v>122</v>
      </c>
      <c r="D42" s="7" t="s">
        <v>123</v>
      </c>
      <c r="E42" s="4"/>
      <c r="F42" s="4"/>
    </row>
    <row r="43" customFormat="false" ht="17.25" hidden="false" customHeight="true" outlineLevel="0" collapsed="false">
      <c r="A43" s="4"/>
      <c r="B43" s="4"/>
      <c r="C43" s="4"/>
      <c r="D43" s="4"/>
      <c r="E43" s="4"/>
      <c r="F43" s="4"/>
    </row>
    <row r="44" customFormat="false" ht="25.5" hidden="false" customHeight="true" outlineLevel="0" collapsed="false">
      <c r="A44" s="5" t="s">
        <v>124</v>
      </c>
      <c r="B44" s="5"/>
      <c r="C44" s="5"/>
      <c r="D44" s="5"/>
      <c r="E44" s="5"/>
      <c r="F44" s="5"/>
    </row>
    <row r="45" customFormat="false" ht="43.5" hidden="false" customHeight="true" outlineLevel="0" collapsed="false">
      <c r="A45" s="3" t="s">
        <v>125</v>
      </c>
      <c r="B45" s="3"/>
      <c r="C45" s="3"/>
      <c r="D45" s="3"/>
      <c r="E45" s="3"/>
      <c r="F45" s="3"/>
    </row>
    <row r="46" customFormat="false" ht="18" hidden="false" customHeight="true" outlineLevel="0" collapsed="false">
      <c r="A46" s="6" t="s">
        <v>126</v>
      </c>
      <c r="B46" s="6" t="s">
        <v>127</v>
      </c>
      <c r="C46" s="6" t="s">
        <v>128</v>
      </c>
      <c r="D46" s="6" t="s">
        <v>129</v>
      </c>
      <c r="E46" s="6" t="s">
        <v>130</v>
      </c>
      <c r="F46" s="6" t="s">
        <v>131</v>
      </c>
    </row>
    <row r="47" customFormat="false" ht="168" hidden="false" customHeight="true" outlineLevel="0" collapsed="false">
      <c r="A47" s="7" t="s">
        <v>132</v>
      </c>
      <c r="B47" s="7" t="s">
        <v>133</v>
      </c>
      <c r="C47" s="7" t="s">
        <v>134</v>
      </c>
      <c r="D47" s="7" t="s">
        <v>135</v>
      </c>
      <c r="E47" s="7" t="s">
        <v>136</v>
      </c>
      <c r="F47" s="7" t="s">
        <v>137</v>
      </c>
    </row>
    <row r="48" customFormat="false" ht="147" hidden="false" customHeight="true" outlineLevel="0" collapsed="false">
      <c r="A48" s="7" t="s">
        <v>138</v>
      </c>
      <c r="B48" s="7" t="s">
        <v>139</v>
      </c>
      <c r="C48" s="7" t="s">
        <v>140</v>
      </c>
      <c r="D48" s="7" t="s">
        <v>141</v>
      </c>
      <c r="E48" s="7" t="s">
        <v>142</v>
      </c>
      <c r="F48" s="7" t="s">
        <v>143</v>
      </c>
    </row>
    <row r="49" customFormat="false" ht="147" hidden="false" customHeight="true" outlineLevel="0" collapsed="false">
      <c r="A49" s="7" t="s">
        <v>144</v>
      </c>
      <c r="B49" s="7" t="s">
        <v>145</v>
      </c>
      <c r="C49" s="7" t="s">
        <v>146</v>
      </c>
      <c r="D49" s="7" t="s">
        <v>147</v>
      </c>
      <c r="E49" s="7" t="s">
        <v>148</v>
      </c>
      <c r="F49" s="7" t="s">
        <v>149</v>
      </c>
    </row>
  </sheetData>
  <mergeCells count="13">
    <mergeCell ref="A1:F1"/>
    <mergeCell ref="A2:F2"/>
    <mergeCell ref="A4:F4"/>
    <mergeCell ref="A5:F5"/>
    <mergeCell ref="A6:F6"/>
    <mergeCell ref="A7:F7"/>
    <mergeCell ref="A8:F8"/>
    <mergeCell ref="A9:F9"/>
    <mergeCell ref="A10:F10"/>
    <mergeCell ref="A12:F12"/>
    <mergeCell ref="A35:F35"/>
    <mergeCell ref="A44:F44"/>
    <mergeCell ref="A45:F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125" defaultRowHeight="15" zeroHeight="false" outlineLevelRow="0" outlineLevelCol="0"/>
  <cols>
    <col collapsed="false" customWidth="true" hidden="false" outlineLevel="0" max="1" min="1" style="1" width="24"/>
    <col collapsed="false" customWidth="true" hidden="false" outlineLevel="0" max="2" min="2" style="1" width="18"/>
    <col collapsed="false" customWidth="true" hidden="false" outlineLevel="0" max="3" min="3" style="1" width="34"/>
    <col collapsed="false" customWidth="true" hidden="false" outlineLevel="0" max="4" min="4" style="1" width="46"/>
    <col collapsed="false" customWidth="true" hidden="false" outlineLevel="0" max="5" min="5" style="1" width="18"/>
    <col collapsed="false" customWidth="true" hidden="false" outlineLevel="0" max="6" min="6" style="1" width="46"/>
    <col collapsed="false" customWidth="true" hidden="false" outlineLevel="0" max="7" min="7" style="1" width="16"/>
    <col collapsed="false" customWidth="true" hidden="false" outlineLevel="0" max="8" min="8" style="1" width="64"/>
    <col collapsed="false" customWidth="true" hidden="false" outlineLevel="0" max="10" min="9" style="1" width="74"/>
    <col collapsed="false" customWidth="true" hidden="false" outlineLevel="0" max="11" min="11" style="1" width="34"/>
    <col collapsed="false" customWidth="true" hidden="false" outlineLevel="0" max="12" min="12" style="1" width="48"/>
  </cols>
  <sheetData>
    <row r="1" customFormat="false" ht="48" hidden="false" customHeight="true" outlineLevel="0" collapsed="false">
      <c r="A1" s="8" t="s">
        <v>150</v>
      </c>
      <c r="B1" s="8" t="s">
        <v>151</v>
      </c>
      <c r="C1" s="8" t="s">
        <v>10</v>
      </c>
      <c r="D1" s="8" t="s">
        <v>152</v>
      </c>
      <c r="E1" s="8" t="s">
        <v>97</v>
      </c>
      <c r="F1" s="8" t="s">
        <v>153</v>
      </c>
      <c r="G1" s="8" t="s">
        <v>154</v>
      </c>
      <c r="H1" s="8" t="s">
        <v>155</v>
      </c>
      <c r="I1" s="8" t="s">
        <v>156</v>
      </c>
      <c r="J1" s="8" t="s">
        <v>157</v>
      </c>
      <c r="K1" s="8" t="s">
        <v>158</v>
      </c>
      <c r="L1" s="8" t="s">
        <v>159</v>
      </c>
    </row>
    <row r="2" customFormat="false" ht="52.5" hidden="false" customHeight="true" outlineLevel="0" collapsed="false">
      <c r="A2" s="7" t="s">
        <v>160</v>
      </c>
      <c r="B2" s="7" t="s">
        <v>161</v>
      </c>
      <c r="C2" s="7" t="s">
        <v>162</v>
      </c>
      <c r="D2" s="7" t="s">
        <v>163</v>
      </c>
      <c r="E2" s="7" t="s">
        <v>100</v>
      </c>
      <c r="F2" s="7" t="s">
        <v>164</v>
      </c>
      <c r="G2" s="7" t="s">
        <v>165</v>
      </c>
      <c r="H2" s="7" t="s">
        <v>166</v>
      </c>
      <c r="I2" s="7" t="s">
        <v>167</v>
      </c>
      <c r="J2" s="9" t="s">
        <v>168</v>
      </c>
      <c r="K2" s="7" t="s">
        <v>169</v>
      </c>
      <c r="L2" s="10" t="s">
        <v>170</v>
      </c>
    </row>
    <row r="3" customFormat="false" ht="52.5" hidden="false" customHeight="true" outlineLevel="0" collapsed="false">
      <c r="A3" s="7" t="s">
        <v>171</v>
      </c>
      <c r="B3" s="7" t="s">
        <v>172</v>
      </c>
      <c r="C3" s="7" t="s">
        <v>162</v>
      </c>
      <c r="D3" s="7" t="s">
        <v>173</v>
      </c>
      <c r="E3" s="7" t="s">
        <v>108</v>
      </c>
      <c r="F3" s="7" t="s">
        <v>174</v>
      </c>
      <c r="G3" s="7" t="s">
        <v>175</v>
      </c>
      <c r="H3" s="7" t="s">
        <v>176</v>
      </c>
      <c r="I3" s="7" t="s">
        <v>177</v>
      </c>
      <c r="J3" s="9" t="s">
        <v>178</v>
      </c>
      <c r="K3" s="7" t="s">
        <v>179</v>
      </c>
      <c r="L3" s="11" t="s">
        <v>180</v>
      </c>
    </row>
    <row r="4" customFormat="false" ht="87" hidden="false" customHeight="true" outlineLevel="0" collapsed="false">
      <c r="A4" s="7" t="s">
        <v>181</v>
      </c>
      <c r="B4" s="7" t="s">
        <v>182</v>
      </c>
      <c r="C4" s="7" t="s">
        <v>162</v>
      </c>
      <c r="D4" s="7" t="s">
        <v>183</v>
      </c>
      <c r="E4" s="7" t="s">
        <v>108</v>
      </c>
      <c r="F4" s="7" t="s">
        <v>174</v>
      </c>
      <c r="G4" s="7" t="s">
        <v>175</v>
      </c>
      <c r="H4" s="7" t="s">
        <v>176</v>
      </c>
      <c r="I4" s="7" t="s">
        <v>184</v>
      </c>
      <c r="J4" s="9" t="s">
        <v>185</v>
      </c>
      <c r="K4" s="7" t="s">
        <v>179</v>
      </c>
      <c r="L4" s="12" t="s">
        <v>186</v>
      </c>
    </row>
    <row r="5" customFormat="false" ht="104.25" hidden="false" customHeight="true" outlineLevel="0" collapsed="false">
      <c r="A5" s="7" t="s">
        <v>187</v>
      </c>
      <c r="B5" s="7" t="s">
        <v>188</v>
      </c>
      <c r="C5" s="7" t="s">
        <v>162</v>
      </c>
      <c r="D5" s="7" t="s">
        <v>189</v>
      </c>
      <c r="E5" s="7" t="s">
        <v>108</v>
      </c>
      <c r="F5" s="7" t="s">
        <v>174</v>
      </c>
      <c r="G5" s="7" t="s">
        <v>175</v>
      </c>
      <c r="H5" s="7" t="s">
        <v>176</v>
      </c>
      <c r="I5" s="7" t="s">
        <v>190</v>
      </c>
      <c r="J5" s="9" t="s">
        <v>191</v>
      </c>
      <c r="K5" s="7" t="s">
        <v>179</v>
      </c>
      <c r="L5" s="12" t="s">
        <v>186</v>
      </c>
    </row>
    <row r="6" customFormat="false" ht="87" hidden="false" customHeight="true" outlineLevel="0" collapsed="false">
      <c r="A6" s="7" t="s">
        <v>192</v>
      </c>
      <c r="B6" s="7" t="s">
        <v>193</v>
      </c>
      <c r="C6" s="7" t="s">
        <v>162</v>
      </c>
      <c r="D6" s="7" t="s">
        <v>194</v>
      </c>
      <c r="E6" s="7" t="s">
        <v>108</v>
      </c>
      <c r="F6" s="7" t="s">
        <v>174</v>
      </c>
      <c r="G6" s="7" t="s">
        <v>175</v>
      </c>
      <c r="H6" s="7" t="s">
        <v>176</v>
      </c>
      <c r="I6" s="7" t="s">
        <v>195</v>
      </c>
      <c r="J6" s="9" t="s">
        <v>196</v>
      </c>
      <c r="K6" s="7" t="s">
        <v>179</v>
      </c>
      <c r="L6" s="12" t="s">
        <v>186</v>
      </c>
    </row>
    <row r="7" customFormat="false" ht="87" hidden="false" customHeight="true" outlineLevel="0" collapsed="false">
      <c r="A7" s="7" t="s">
        <v>197</v>
      </c>
      <c r="B7" s="7" t="s">
        <v>198</v>
      </c>
      <c r="C7" s="7" t="s">
        <v>162</v>
      </c>
      <c r="D7" s="7" t="s">
        <v>199</v>
      </c>
      <c r="E7" s="7" t="s">
        <v>108</v>
      </c>
      <c r="F7" s="7" t="s">
        <v>174</v>
      </c>
      <c r="G7" s="7" t="s">
        <v>175</v>
      </c>
      <c r="H7" s="7" t="s">
        <v>176</v>
      </c>
      <c r="I7" s="7" t="s">
        <v>200</v>
      </c>
      <c r="J7" s="9" t="s">
        <v>201</v>
      </c>
      <c r="K7" s="7" t="s">
        <v>179</v>
      </c>
      <c r="L7" s="11" t="s">
        <v>180</v>
      </c>
    </row>
    <row r="8" customFormat="false" ht="87" hidden="false" customHeight="true" outlineLevel="0" collapsed="false">
      <c r="A8" s="7" t="s">
        <v>202</v>
      </c>
      <c r="B8" s="7" t="s">
        <v>203</v>
      </c>
      <c r="C8" s="7" t="s">
        <v>162</v>
      </c>
      <c r="D8" s="7" t="s">
        <v>204</v>
      </c>
      <c r="E8" s="7" t="s">
        <v>108</v>
      </c>
      <c r="F8" s="7" t="s">
        <v>174</v>
      </c>
      <c r="G8" s="7" t="s">
        <v>175</v>
      </c>
      <c r="H8" s="7" t="s">
        <v>176</v>
      </c>
      <c r="I8" s="7" t="s">
        <v>205</v>
      </c>
      <c r="J8" s="9" t="s">
        <v>206</v>
      </c>
      <c r="K8" s="7" t="s">
        <v>179</v>
      </c>
      <c r="L8" s="12" t="s">
        <v>186</v>
      </c>
    </row>
    <row r="9" customFormat="false" ht="87" hidden="false" customHeight="true" outlineLevel="0" collapsed="false">
      <c r="A9" s="7" t="s">
        <v>207</v>
      </c>
      <c r="B9" s="7" t="s">
        <v>208</v>
      </c>
      <c r="C9" s="7" t="s">
        <v>162</v>
      </c>
      <c r="D9" s="7" t="s">
        <v>209</v>
      </c>
      <c r="E9" s="7" t="s">
        <v>108</v>
      </c>
      <c r="F9" s="7" t="s">
        <v>174</v>
      </c>
      <c r="G9" s="7" t="s">
        <v>175</v>
      </c>
      <c r="H9" s="7" t="s">
        <v>176</v>
      </c>
      <c r="I9" s="7" t="s">
        <v>210</v>
      </c>
      <c r="J9" s="9" t="s">
        <v>211</v>
      </c>
      <c r="K9" s="7" t="s">
        <v>179</v>
      </c>
      <c r="L9" s="12" t="s">
        <v>186</v>
      </c>
    </row>
    <row r="10" customFormat="false" ht="87" hidden="false" customHeight="true" outlineLevel="0" collapsed="false">
      <c r="A10" s="7" t="s">
        <v>212</v>
      </c>
      <c r="B10" s="7" t="s">
        <v>213</v>
      </c>
      <c r="C10" s="7" t="s">
        <v>162</v>
      </c>
      <c r="D10" s="7" t="s">
        <v>214</v>
      </c>
      <c r="E10" s="7" t="s">
        <v>108</v>
      </c>
      <c r="F10" s="7" t="s">
        <v>174</v>
      </c>
      <c r="G10" s="7" t="s">
        <v>175</v>
      </c>
      <c r="H10" s="7" t="s">
        <v>176</v>
      </c>
      <c r="I10" s="7" t="s">
        <v>215</v>
      </c>
      <c r="J10" s="9" t="s">
        <v>216</v>
      </c>
      <c r="K10" s="7" t="s">
        <v>179</v>
      </c>
      <c r="L10" s="11" t="s">
        <v>180</v>
      </c>
    </row>
    <row r="11" customFormat="false" ht="87" hidden="false" customHeight="true" outlineLevel="0" collapsed="false">
      <c r="A11" s="7" t="s">
        <v>217</v>
      </c>
      <c r="B11" s="7" t="s">
        <v>218</v>
      </c>
      <c r="C11" s="7" t="s">
        <v>162</v>
      </c>
      <c r="D11" s="7" t="s">
        <v>219</v>
      </c>
      <c r="E11" s="7" t="s">
        <v>108</v>
      </c>
      <c r="F11" s="7" t="s">
        <v>174</v>
      </c>
      <c r="G11" s="7" t="s">
        <v>175</v>
      </c>
      <c r="H11" s="7" t="s">
        <v>176</v>
      </c>
      <c r="I11" s="7" t="s">
        <v>220</v>
      </c>
      <c r="J11" s="9" t="s">
        <v>221</v>
      </c>
      <c r="K11" s="7" t="s">
        <v>179</v>
      </c>
      <c r="L11" s="12" t="s">
        <v>186</v>
      </c>
    </row>
    <row r="12" customFormat="false" ht="87" hidden="false" customHeight="true" outlineLevel="0" collapsed="false">
      <c r="A12" s="7" t="s">
        <v>222</v>
      </c>
      <c r="B12" s="7" t="s">
        <v>223</v>
      </c>
      <c r="C12" s="7" t="s">
        <v>162</v>
      </c>
      <c r="D12" s="7" t="s">
        <v>224</v>
      </c>
      <c r="E12" s="7" t="s">
        <v>108</v>
      </c>
      <c r="F12" s="7" t="s">
        <v>174</v>
      </c>
      <c r="G12" s="7" t="s">
        <v>175</v>
      </c>
      <c r="H12" s="7" t="s">
        <v>176</v>
      </c>
      <c r="I12" s="7" t="s">
        <v>225</v>
      </c>
      <c r="J12" s="9" t="s">
        <v>226</v>
      </c>
      <c r="K12" s="7" t="s">
        <v>179</v>
      </c>
      <c r="L12" s="12" t="s">
        <v>186</v>
      </c>
    </row>
    <row r="13" customFormat="false" ht="87" hidden="false" customHeight="true" outlineLevel="0" collapsed="false">
      <c r="A13" s="7" t="s">
        <v>227</v>
      </c>
      <c r="B13" s="7" t="s">
        <v>228</v>
      </c>
      <c r="C13" s="7" t="s">
        <v>162</v>
      </c>
      <c r="D13" s="7" t="s">
        <v>229</v>
      </c>
      <c r="E13" s="7" t="s">
        <v>108</v>
      </c>
      <c r="F13" s="7" t="s">
        <v>174</v>
      </c>
      <c r="G13" s="7" t="s">
        <v>175</v>
      </c>
      <c r="H13" s="7" t="s">
        <v>176</v>
      </c>
      <c r="I13" s="7" t="s">
        <v>230</v>
      </c>
      <c r="J13" s="9" t="s">
        <v>231</v>
      </c>
      <c r="K13" s="7" t="s">
        <v>179</v>
      </c>
      <c r="L13" s="12" t="s">
        <v>186</v>
      </c>
    </row>
    <row r="14" customFormat="false" ht="87" hidden="false" customHeight="true" outlineLevel="0" collapsed="false">
      <c r="A14" s="7" t="s">
        <v>232</v>
      </c>
      <c r="B14" s="7" t="s">
        <v>233</v>
      </c>
      <c r="C14" s="7" t="s">
        <v>162</v>
      </c>
      <c r="D14" s="7" t="s">
        <v>234</v>
      </c>
      <c r="E14" s="7" t="s">
        <v>108</v>
      </c>
      <c r="F14" s="7" t="s">
        <v>174</v>
      </c>
      <c r="G14" s="7" t="s">
        <v>175</v>
      </c>
      <c r="H14" s="7" t="s">
        <v>176</v>
      </c>
      <c r="I14" s="7" t="s">
        <v>235</v>
      </c>
      <c r="J14" s="9" t="s">
        <v>236</v>
      </c>
      <c r="K14" s="7" t="s">
        <v>179</v>
      </c>
      <c r="L14" s="12" t="s">
        <v>186</v>
      </c>
    </row>
    <row r="15" customFormat="false" ht="87" hidden="false" customHeight="true" outlineLevel="0" collapsed="false">
      <c r="A15" s="7" t="s">
        <v>237</v>
      </c>
      <c r="B15" s="7" t="s">
        <v>238</v>
      </c>
      <c r="C15" s="7" t="s">
        <v>162</v>
      </c>
      <c r="D15" s="7" t="s">
        <v>239</v>
      </c>
      <c r="E15" s="7" t="s">
        <v>108</v>
      </c>
      <c r="F15" s="7" t="s">
        <v>174</v>
      </c>
      <c r="G15" s="7" t="s">
        <v>175</v>
      </c>
      <c r="H15" s="7" t="s">
        <v>176</v>
      </c>
      <c r="I15" s="7" t="s">
        <v>240</v>
      </c>
      <c r="J15" s="9" t="s">
        <v>241</v>
      </c>
      <c r="K15" s="7" t="s">
        <v>179</v>
      </c>
      <c r="L15" s="12" t="s">
        <v>186</v>
      </c>
    </row>
    <row r="16" customFormat="false" ht="52.5" hidden="false" customHeight="true" outlineLevel="0" collapsed="false">
      <c r="A16" s="7" t="s">
        <v>242</v>
      </c>
      <c r="B16" s="7" t="s">
        <v>243</v>
      </c>
      <c r="C16" s="7" t="s">
        <v>162</v>
      </c>
      <c r="D16" s="7" t="s">
        <v>244</v>
      </c>
      <c r="E16" s="7" t="s">
        <v>108</v>
      </c>
      <c r="F16" s="7" t="s">
        <v>174</v>
      </c>
      <c r="G16" s="7" t="s">
        <v>245</v>
      </c>
      <c r="H16" s="7" t="s">
        <v>246</v>
      </c>
      <c r="I16" s="7" t="s">
        <v>247</v>
      </c>
      <c r="J16" s="9" t="s">
        <v>248</v>
      </c>
      <c r="K16" s="7" t="s">
        <v>249</v>
      </c>
      <c r="L16" s="11" t="s">
        <v>180</v>
      </c>
    </row>
    <row r="17" customFormat="false" ht="87" hidden="false" customHeight="true" outlineLevel="0" collapsed="false">
      <c r="A17" s="7" t="s">
        <v>250</v>
      </c>
      <c r="B17" s="7" t="s">
        <v>251</v>
      </c>
      <c r="C17" s="7" t="s">
        <v>162</v>
      </c>
      <c r="D17" s="7" t="s">
        <v>252</v>
      </c>
      <c r="E17" s="7" t="s">
        <v>108</v>
      </c>
      <c r="F17" s="7" t="s">
        <v>174</v>
      </c>
      <c r="G17" s="7" t="s">
        <v>245</v>
      </c>
      <c r="H17" s="7" t="s">
        <v>246</v>
      </c>
      <c r="I17" s="7" t="s">
        <v>253</v>
      </c>
      <c r="J17" s="9" t="s">
        <v>254</v>
      </c>
      <c r="K17" s="7" t="s">
        <v>249</v>
      </c>
      <c r="L17" s="12" t="s">
        <v>186</v>
      </c>
    </row>
    <row r="18" customFormat="false" ht="87" hidden="false" customHeight="true" outlineLevel="0" collapsed="false">
      <c r="A18" s="7" t="s">
        <v>255</v>
      </c>
      <c r="B18" s="7" t="s">
        <v>256</v>
      </c>
      <c r="C18" s="7" t="s">
        <v>162</v>
      </c>
      <c r="D18" s="7" t="s">
        <v>257</v>
      </c>
      <c r="E18" s="7" t="s">
        <v>108</v>
      </c>
      <c r="F18" s="7" t="s">
        <v>174</v>
      </c>
      <c r="G18" s="7" t="s">
        <v>245</v>
      </c>
      <c r="H18" s="7" t="s">
        <v>246</v>
      </c>
      <c r="I18" s="7" t="s">
        <v>258</v>
      </c>
      <c r="J18" s="9" t="s">
        <v>259</v>
      </c>
      <c r="K18" s="7" t="s">
        <v>249</v>
      </c>
      <c r="L18" s="12" t="s">
        <v>186</v>
      </c>
    </row>
    <row r="19" customFormat="false" ht="87" hidden="false" customHeight="true" outlineLevel="0" collapsed="false">
      <c r="A19" s="7" t="s">
        <v>260</v>
      </c>
      <c r="B19" s="7" t="s">
        <v>261</v>
      </c>
      <c r="C19" s="7" t="s">
        <v>162</v>
      </c>
      <c r="D19" s="7" t="s">
        <v>262</v>
      </c>
      <c r="E19" s="7" t="s">
        <v>108</v>
      </c>
      <c r="F19" s="7" t="s">
        <v>174</v>
      </c>
      <c r="G19" s="7" t="s">
        <v>245</v>
      </c>
      <c r="H19" s="7" t="s">
        <v>246</v>
      </c>
      <c r="I19" s="7" t="s">
        <v>263</v>
      </c>
      <c r="J19" s="9" t="s">
        <v>264</v>
      </c>
      <c r="K19" s="7" t="s">
        <v>249</v>
      </c>
      <c r="L19" s="12" t="s">
        <v>186</v>
      </c>
    </row>
    <row r="20" customFormat="false" ht="87" hidden="false" customHeight="true" outlineLevel="0" collapsed="false">
      <c r="A20" s="7" t="s">
        <v>265</v>
      </c>
      <c r="B20" s="7" t="s">
        <v>266</v>
      </c>
      <c r="C20" s="7" t="s">
        <v>162</v>
      </c>
      <c r="D20" s="7" t="s">
        <v>267</v>
      </c>
      <c r="E20" s="7" t="s">
        <v>108</v>
      </c>
      <c r="F20" s="7" t="s">
        <v>174</v>
      </c>
      <c r="G20" s="7" t="s">
        <v>245</v>
      </c>
      <c r="H20" s="7" t="s">
        <v>246</v>
      </c>
      <c r="I20" s="7" t="s">
        <v>268</v>
      </c>
      <c r="J20" s="9" t="s">
        <v>269</v>
      </c>
      <c r="K20" s="7" t="s">
        <v>249</v>
      </c>
      <c r="L20" s="12" t="s">
        <v>186</v>
      </c>
    </row>
    <row r="21" customFormat="false" ht="87" hidden="false" customHeight="true" outlineLevel="0" collapsed="false">
      <c r="A21" s="7" t="s">
        <v>270</v>
      </c>
      <c r="B21" s="7" t="s">
        <v>271</v>
      </c>
      <c r="C21" s="7" t="s">
        <v>162</v>
      </c>
      <c r="D21" s="7" t="s">
        <v>272</v>
      </c>
      <c r="E21" s="7" t="s">
        <v>108</v>
      </c>
      <c r="F21" s="7" t="s">
        <v>174</v>
      </c>
      <c r="G21" s="7" t="s">
        <v>245</v>
      </c>
      <c r="H21" s="7" t="s">
        <v>246</v>
      </c>
      <c r="I21" s="7" t="s">
        <v>273</v>
      </c>
      <c r="J21" s="9" t="s">
        <v>274</v>
      </c>
      <c r="K21" s="7" t="s">
        <v>249</v>
      </c>
      <c r="L21" s="12" t="s">
        <v>186</v>
      </c>
    </row>
    <row r="22" customFormat="false" ht="87" hidden="false" customHeight="true" outlineLevel="0" collapsed="false">
      <c r="A22" s="7" t="s">
        <v>275</v>
      </c>
      <c r="B22" s="7" t="s">
        <v>276</v>
      </c>
      <c r="C22" s="7" t="s">
        <v>162</v>
      </c>
      <c r="D22" s="7" t="s">
        <v>277</v>
      </c>
      <c r="E22" s="7" t="s">
        <v>108</v>
      </c>
      <c r="F22" s="7" t="s">
        <v>174</v>
      </c>
      <c r="G22" s="7" t="s">
        <v>245</v>
      </c>
      <c r="H22" s="7" t="s">
        <v>246</v>
      </c>
      <c r="I22" s="7" t="s">
        <v>278</v>
      </c>
      <c r="J22" s="9" t="s">
        <v>279</v>
      </c>
      <c r="K22" s="7" t="s">
        <v>249</v>
      </c>
      <c r="L22" s="12" t="s">
        <v>186</v>
      </c>
    </row>
    <row r="23" customFormat="false" ht="87" hidden="false" customHeight="true" outlineLevel="0" collapsed="false">
      <c r="A23" s="7" t="s">
        <v>280</v>
      </c>
      <c r="B23" s="7" t="s">
        <v>281</v>
      </c>
      <c r="C23" s="7" t="s">
        <v>162</v>
      </c>
      <c r="D23" s="7" t="s">
        <v>282</v>
      </c>
      <c r="E23" s="7" t="s">
        <v>108</v>
      </c>
      <c r="F23" s="7" t="s">
        <v>174</v>
      </c>
      <c r="G23" s="7" t="s">
        <v>245</v>
      </c>
      <c r="H23" s="7" t="s">
        <v>246</v>
      </c>
      <c r="I23" s="7" t="s">
        <v>283</v>
      </c>
      <c r="J23" s="9" t="s">
        <v>284</v>
      </c>
      <c r="K23" s="7" t="s">
        <v>249</v>
      </c>
      <c r="L23" s="12" t="s">
        <v>186</v>
      </c>
    </row>
    <row r="24" customFormat="false" ht="87" hidden="false" customHeight="true" outlineLevel="0" collapsed="false">
      <c r="A24" s="7" t="s">
        <v>285</v>
      </c>
      <c r="B24" s="7" t="s">
        <v>286</v>
      </c>
      <c r="C24" s="7" t="s">
        <v>162</v>
      </c>
      <c r="D24" s="7" t="s">
        <v>287</v>
      </c>
      <c r="E24" s="7" t="s">
        <v>108</v>
      </c>
      <c r="F24" s="7" t="s">
        <v>174</v>
      </c>
      <c r="G24" s="7" t="s">
        <v>245</v>
      </c>
      <c r="H24" s="7" t="s">
        <v>246</v>
      </c>
      <c r="I24" s="7" t="s">
        <v>288</v>
      </c>
      <c r="J24" s="9" t="s">
        <v>289</v>
      </c>
      <c r="K24" s="7" t="s">
        <v>249</v>
      </c>
      <c r="L24" s="11" t="s">
        <v>180</v>
      </c>
    </row>
    <row r="25" customFormat="false" ht="87" hidden="false" customHeight="true" outlineLevel="0" collapsed="false">
      <c r="A25" s="7" t="s">
        <v>290</v>
      </c>
      <c r="B25" s="7" t="s">
        <v>291</v>
      </c>
      <c r="C25" s="7" t="s">
        <v>162</v>
      </c>
      <c r="D25" s="7" t="s">
        <v>292</v>
      </c>
      <c r="E25" s="7" t="s">
        <v>108</v>
      </c>
      <c r="F25" s="7" t="s">
        <v>174</v>
      </c>
      <c r="G25" s="7" t="s">
        <v>245</v>
      </c>
      <c r="H25" s="7" t="s">
        <v>246</v>
      </c>
      <c r="I25" s="7" t="s">
        <v>293</v>
      </c>
      <c r="J25" s="9" t="s">
        <v>294</v>
      </c>
      <c r="K25" s="7" t="s">
        <v>249</v>
      </c>
      <c r="L25" s="12" t="s">
        <v>186</v>
      </c>
    </row>
    <row r="26" customFormat="false" ht="87" hidden="false" customHeight="true" outlineLevel="0" collapsed="false">
      <c r="A26" s="7" t="s">
        <v>295</v>
      </c>
      <c r="B26" s="7" t="s">
        <v>296</v>
      </c>
      <c r="C26" s="7" t="s">
        <v>162</v>
      </c>
      <c r="D26" s="7" t="s">
        <v>297</v>
      </c>
      <c r="E26" s="7" t="s">
        <v>108</v>
      </c>
      <c r="F26" s="7" t="s">
        <v>174</v>
      </c>
      <c r="G26" s="7" t="s">
        <v>245</v>
      </c>
      <c r="H26" s="7" t="s">
        <v>246</v>
      </c>
      <c r="I26" s="7" t="s">
        <v>298</v>
      </c>
      <c r="J26" s="9" t="s">
        <v>299</v>
      </c>
      <c r="K26" s="7" t="s">
        <v>249</v>
      </c>
      <c r="L26" s="12" t="s">
        <v>186</v>
      </c>
    </row>
    <row r="27" customFormat="false" ht="87" hidden="false" customHeight="true" outlineLevel="0" collapsed="false">
      <c r="A27" s="7" t="s">
        <v>300</v>
      </c>
      <c r="B27" s="7" t="s">
        <v>301</v>
      </c>
      <c r="C27" s="7" t="s">
        <v>162</v>
      </c>
      <c r="D27" s="7" t="s">
        <v>302</v>
      </c>
      <c r="E27" s="7" t="s">
        <v>108</v>
      </c>
      <c r="F27" s="7" t="s">
        <v>174</v>
      </c>
      <c r="G27" s="7" t="s">
        <v>245</v>
      </c>
      <c r="H27" s="7" t="s">
        <v>246</v>
      </c>
      <c r="I27" s="7" t="s">
        <v>303</v>
      </c>
      <c r="J27" s="9" t="s">
        <v>304</v>
      </c>
      <c r="K27" s="7" t="s">
        <v>249</v>
      </c>
      <c r="L27" s="12" t="s">
        <v>186</v>
      </c>
    </row>
    <row r="28" customFormat="false" ht="87" hidden="false" customHeight="true" outlineLevel="0" collapsed="false">
      <c r="A28" s="7" t="s">
        <v>305</v>
      </c>
      <c r="B28" s="7" t="s">
        <v>306</v>
      </c>
      <c r="C28" s="7" t="s">
        <v>162</v>
      </c>
      <c r="D28" s="7" t="s">
        <v>307</v>
      </c>
      <c r="E28" s="7" t="s">
        <v>108</v>
      </c>
      <c r="F28" s="7" t="s">
        <v>174</v>
      </c>
      <c r="G28" s="7" t="s">
        <v>245</v>
      </c>
      <c r="H28" s="7" t="s">
        <v>246</v>
      </c>
      <c r="I28" s="7" t="s">
        <v>308</v>
      </c>
      <c r="J28" s="9" t="s">
        <v>309</v>
      </c>
      <c r="K28" s="7" t="s">
        <v>249</v>
      </c>
      <c r="L28" s="12" t="s">
        <v>186</v>
      </c>
    </row>
    <row r="29" customFormat="false" ht="87" hidden="false" customHeight="true" outlineLevel="0" collapsed="false">
      <c r="A29" s="7" t="s">
        <v>310</v>
      </c>
      <c r="B29" s="7" t="s">
        <v>311</v>
      </c>
      <c r="C29" s="7" t="s">
        <v>162</v>
      </c>
      <c r="D29" s="7" t="s">
        <v>312</v>
      </c>
      <c r="E29" s="7" t="s">
        <v>108</v>
      </c>
      <c r="F29" s="7" t="s">
        <v>174</v>
      </c>
      <c r="G29" s="7" t="s">
        <v>245</v>
      </c>
      <c r="H29" s="7" t="s">
        <v>246</v>
      </c>
      <c r="I29" s="7" t="s">
        <v>313</v>
      </c>
      <c r="J29" s="9" t="s">
        <v>314</v>
      </c>
      <c r="K29" s="7" t="s">
        <v>249</v>
      </c>
      <c r="L29" s="12" t="s">
        <v>186</v>
      </c>
    </row>
    <row r="30" customFormat="false" ht="35.25" hidden="false" customHeight="true" outlineLevel="0" collapsed="false">
      <c r="A30" s="7" t="s">
        <v>315</v>
      </c>
      <c r="B30" s="7" t="s">
        <v>316</v>
      </c>
      <c r="C30" s="7" t="s">
        <v>162</v>
      </c>
      <c r="D30" s="7" t="s">
        <v>317</v>
      </c>
      <c r="E30" s="7" t="s">
        <v>108</v>
      </c>
      <c r="F30" s="7" t="s">
        <v>318</v>
      </c>
      <c r="G30" s="7" t="s">
        <v>319</v>
      </c>
      <c r="H30" s="7" t="s">
        <v>320</v>
      </c>
      <c r="I30" s="7" t="s">
        <v>321</v>
      </c>
      <c r="J30" s="9" t="s">
        <v>322</v>
      </c>
      <c r="K30" s="7" t="s">
        <v>323</v>
      </c>
      <c r="L30" s="11" t="s">
        <v>180</v>
      </c>
    </row>
    <row r="31" customFormat="false" ht="87" hidden="false" customHeight="true" outlineLevel="0" collapsed="false">
      <c r="A31" s="7" t="s">
        <v>324</v>
      </c>
      <c r="B31" s="7" t="s">
        <v>325</v>
      </c>
      <c r="C31" s="7" t="s">
        <v>162</v>
      </c>
      <c r="D31" s="7" t="s">
        <v>326</v>
      </c>
      <c r="E31" s="7" t="s">
        <v>108</v>
      </c>
      <c r="F31" s="7" t="s">
        <v>318</v>
      </c>
      <c r="G31" s="7" t="s">
        <v>319</v>
      </c>
      <c r="H31" s="7" t="s">
        <v>320</v>
      </c>
      <c r="I31" s="7" t="s">
        <v>327</v>
      </c>
      <c r="J31" s="9" t="s">
        <v>328</v>
      </c>
      <c r="K31" s="7" t="s">
        <v>323</v>
      </c>
      <c r="L31" s="12" t="s">
        <v>186</v>
      </c>
    </row>
    <row r="32" customFormat="false" ht="87" hidden="false" customHeight="true" outlineLevel="0" collapsed="false">
      <c r="A32" s="7" t="s">
        <v>329</v>
      </c>
      <c r="B32" s="7" t="s">
        <v>330</v>
      </c>
      <c r="C32" s="7" t="s">
        <v>162</v>
      </c>
      <c r="D32" s="7" t="s">
        <v>331</v>
      </c>
      <c r="E32" s="7" t="s">
        <v>108</v>
      </c>
      <c r="F32" s="7" t="s">
        <v>318</v>
      </c>
      <c r="G32" s="7" t="s">
        <v>319</v>
      </c>
      <c r="H32" s="7" t="s">
        <v>320</v>
      </c>
      <c r="I32" s="7" t="s">
        <v>332</v>
      </c>
      <c r="J32" s="9" t="s">
        <v>333</v>
      </c>
      <c r="K32" s="7" t="s">
        <v>323</v>
      </c>
      <c r="L32" s="12" t="s">
        <v>186</v>
      </c>
    </row>
    <row r="33" customFormat="false" ht="87" hidden="false" customHeight="true" outlineLevel="0" collapsed="false">
      <c r="A33" s="7" t="s">
        <v>334</v>
      </c>
      <c r="B33" s="7" t="s">
        <v>335</v>
      </c>
      <c r="C33" s="7" t="s">
        <v>162</v>
      </c>
      <c r="D33" s="7" t="s">
        <v>336</v>
      </c>
      <c r="E33" s="7" t="s">
        <v>108</v>
      </c>
      <c r="F33" s="7" t="s">
        <v>318</v>
      </c>
      <c r="G33" s="7" t="s">
        <v>319</v>
      </c>
      <c r="H33" s="7" t="s">
        <v>320</v>
      </c>
      <c r="I33" s="7" t="s">
        <v>337</v>
      </c>
      <c r="J33" s="9" t="s">
        <v>338</v>
      </c>
      <c r="K33" s="7" t="s">
        <v>323</v>
      </c>
      <c r="L33" s="12" t="s">
        <v>186</v>
      </c>
    </row>
    <row r="34" customFormat="false" ht="87" hidden="false" customHeight="true" outlineLevel="0" collapsed="false">
      <c r="A34" s="7" t="s">
        <v>339</v>
      </c>
      <c r="B34" s="7" t="s">
        <v>340</v>
      </c>
      <c r="C34" s="7" t="s">
        <v>162</v>
      </c>
      <c r="D34" s="7" t="s">
        <v>341</v>
      </c>
      <c r="E34" s="7" t="s">
        <v>108</v>
      </c>
      <c r="F34" s="7" t="s">
        <v>318</v>
      </c>
      <c r="G34" s="7" t="s">
        <v>319</v>
      </c>
      <c r="H34" s="7" t="s">
        <v>320</v>
      </c>
      <c r="I34" s="7" t="s">
        <v>342</v>
      </c>
      <c r="J34" s="9" t="s">
        <v>343</v>
      </c>
      <c r="K34" s="7" t="s">
        <v>323</v>
      </c>
      <c r="L34" s="11" t="s">
        <v>180</v>
      </c>
    </row>
    <row r="35" customFormat="false" ht="87" hidden="false" customHeight="true" outlineLevel="0" collapsed="false">
      <c r="A35" s="7" t="s">
        <v>344</v>
      </c>
      <c r="B35" s="7" t="s">
        <v>345</v>
      </c>
      <c r="C35" s="7" t="s">
        <v>162</v>
      </c>
      <c r="D35" s="7" t="s">
        <v>346</v>
      </c>
      <c r="E35" s="7" t="s">
        <v>108</v>
      </c>
      <c r="F35" s="7" t="s">
        <v>318</v>
      </c>
      <c r="G35" s="7" t="s">
        <v>319</v>
      </c>
      <c r="H35" s="7" t="s">
        <v>320</v>
      </c>
      <c r="I35" s="7" t="s">
        <v>347</v>
      </c>
      <c r="J35" s="9" t="s">
        <v>348</v>
      </c>
      <c r="K35" s="7" t="s">
        <v>323</v>
      </c>
      <c r="L35" s="12" t="s">
        <v>186</v>
      </c>
    </row>
    <row r="36" customFormat="false" ht="87" hidden="false" customHeight="true" outlineLevel="0" collapsed="false">
      <c r="A36" s="7" t="s">
        <v>349</v>
      </c>
      <c r="B36" s="7" t="s">
        <v>350</v>
      </c>
      <c r="C36" s="7" t="s">
        <v>162</v>
      </c>
      <c r="D36" s="7" t="s">
        <v>351</v>
      </c>
      <c r="E36" s="7" t="s">
        <v>108</v>
      </c>
      <c r="F36" s="7" t="s">
        <v>318</v>
      </c>
      <c r="G36" s="7" t="s">
        <v>319</v>
      </c>
      <c r="H36" s="7" t="s">
        <v>320</v>
      </c>
      <c r="I36" s="7" t="s">
        <v>352</v>
      </c>
      <c r="J36" s="9" t="s">
        <v>353</v>
      </c>
      <c r="K36" s="7" t="s">
        <v>323</v>
      </c>
      <c r="L36" s="12" t="s">
        <v>186</v>
      </c>
    </row>
    <row r="37" customFormat="false" ht="87" hidden="false" customHeight="true" outlineLevel="0" collapsed="false">
      <c r="A37" s="7" t="s">
        <v>354</v>
      </c>
      <c r="B37" s="7" t="s">
        <v>355</v>
      </c>
      <c r="C37" s="7" t="s">
        <v>162</v>
      </c>
      <c r="D37" s="7" t="s">
        <v>356</v>
      </c>
      <c r="E37" s="7" t="s">
        <v>108</v>
      </c>
      <c r="F37" s="7" t="s">
        <v>318</v>
      </c>
      <c r="G37" s="7" t="s">
        <v>319</v>
      </c>
      <c r="H37" s="7" t="s">
        <v>320</v>
      </c>
      <c r="I37" s="7" t="s">
        <v>357</v>
      </c>
      <c r="J37" s="9" t="s">
        <v>358</v>
      </c>
      <c r="K37" s="7" t="s">
        <v>323</v>
      </c>
      <c r="L37" s="12" t="s">
        <v>186</v>
      </c>
    </row>
    <row r="38" customFormat="false" ht="87" hidden="false" customHeight="true" outlineLevel="0" collapsed="false">
      <c r="A38" s="7" t="s">
        <v>359</v>
      </c>
      <c r="B38" s="7" t="s">
        <v>360</v>
      </c>
      <c r="C38" s="7" t="s">
        <v>162</v>
      </c>
      <c r="D38" s="7" t="s">
        <v>361</v>
      </c>
      <c r="E38" s="7" t="s">
        <v>108</v>
      </c>
      <c r="F38" s="7" t="s">
        <v>318</v>
      </c>
      <c r="G38" s="7" t="s">
        <v>319</v>
      </c>
      <c r="H38" s="7" t="s">
        <v>320</v>
      </c>
      <c r="I38" s="7" t="s">
        <v>362</v>
      </c>
      <c r="J38" s="9" t="s">
        <v>363</v>
      </c>
      <c r="K38" s="7" t="s">
        <v>323</v>
      </c>
      <c r="L38" s="12" t="s">
        <v>186</v>
      </c>
    </row>
    <row r="39" customFormat="false" ht="87" hidden="false" customHeight="true" outlineLevel="0" collapsed="false">
      <c r="A39" s="7" t="s">
        <v>364</v>
      </c>
      <c r="B39" s="7" t="s">
        <v>365</v>
      </c>
      <c r="C39" s="7" t="s">
        <v>162</v>
      </c>
      <c r="D39" s="7" t="s">
        <v>366</v>
      </c>
      <c r="E39" s="7" t="s">
        <v>108</v>
      </c>
      <c r="F39" s="7" t="s">
        <v>318</v>
      </c>
      <c r="G39" s="7" t="s">
        <v>319</v>
      </c>
      <c r="H39" s="7" t="s">
        <v>320</v>
      </c>
      <c r="I39" s="7" t="s">
        <v>367</v>
      </c>
      <c r="J39" s="9" t="s">
        <v>368</v>
      </c>
      <c r="K39" s="7" t="s">
        <v>323</v>
      </c>
      <c r="L39" s="12" t="s">
        <v>186</v>
      </c>
    </row>
    <row r="40" customFormat="false" ht="87" hidden="false" customHeight="true" outlineLevel="0" collapsed="false">
      <c r="A40" s="7" t="s">
        <v>369</v>
      </c>
      <c r="B40" s="7" t="s">
        <v>370</v>
      </c>
      <c r="C40" s="7" t="s">
        <v>162</v>
      </c>
      <c r="D40" s="7" t="s">
        <v>371</v>
      </c>
      <c r="E40" s="7" t="s">
        <v>108</v>
      </c>
      <c r="F40" s="7" t="s">
        <v>318</v>
      </c>
      <c r="G40" s="7" t="s">
        <v>319</v>
      </c>
      <c r="H40" s="7" t="s">
        <v>320</v>
      </c>
      <c r="I40" s="7" t="s">
        <v>372</v>
      </c>
      <c r="J40" s="9" t="s">
        <v>373</v>
      </c>
      <c r="K40" s="7" t="s">
        <v>323</v>
      </c>
      <c r="L40" s="12" t="s">
        <v>186</v>
      </c>
    </row>
    <row r="41" customFormat="false" ht="87" hidden="false" customHeight="true" outlineLevel="0" collapsed="false">
      <c r="A41" s="7" t="s">
        <v>374</v>
      </c>
      <c r="B41" s="7" t="s">
        <v>375</v>
      </c>
      <c r="C41" s="7" t="s">
        <v>162</v>
      </c>
      <c r="D41" s="7" t="s">
        <v>376</v>
      </c>
      <c r="E41" s="7" t="s">
        <v>108</v>
      </c>
      <c r="F41" s="7" t="s">
        <v>318</v>
      </c>
      <c r="G41" s="7" t="s">
        <v>319</v>
      </c>
      <c r="H41" s="7" t="s">
        <v>320</v>
      </c>
      <c r="I41" s="7" t="s">
        <v>377</v>
      </c>
      <c r="J41" s="9" t="s">
        <v>378</v>
      </c>
      <c r="K41" s="7" t="s">
        <v>323</v>
      </c>
      <c r="L41" s="12" t="s">
        <v>186</v>
      </c>
    </row>
    <row r="42" customFormat="false" ht="87" hidden="false" customHeight="true" outlineLevel="0" collapsed="false">
      <c r="A42" s="7" t="s">
        <v>379</v>
      </c>
      <c r="B42" s="7" t="s">
        <v>380</v>
      </c>
      <c r="C42" s="7" t="s">
        <v>162</v>
      </c>
      <c r="D42" s="7" t="s">
        <v>381</v>
      </c>
      <c r="E42" s="7" t="s">
        <v>108</v>
      </c>
      <c r="F42" s="7" t="s">
        <v>318</v>
      </c>
      <c r="G42" s="7" t="s">
        <v>319</v>
      </c>
      <c r="H42" s="7" t="s">
        <v>320</v>
      </c>
      <c r="I42" s="7" t="s">
        <v>382</v>
      </c>
      <c r="J42" s="9" t="s">
        <v>383</v>
      </c>
      <c r="K42" s="7" t="s">
        <v>323</v>
      </c>
      <c r="L42" s="12" t="s">
        <v>186</v>
      </c>
    </row>
    <row r="43" customFormat="false" ht="87" hidden="false" customHeight="true" outlineLevel="0" collapsed="false">
      <c r="A43" s="7" t="s">
        <v>384</v>
      </c>
      <c r="B43" s="7" t="s">
        <v>385</v>
      </c>
      <c r="C43" s="7" t="s">
        <v>162</v>
      </c>
      <c r="D43" s="7" t="s">
        <v>386</v>
      </c>
      <c r="E43" s="7" t="s">
        <v>108</v>
      </c>
      <c r="F43" s="7" t="s">
        <v>318</v>
      </c>
      <c r="G43" s="7" t="s">
        <v>319</v>
      </c>
      <c r="H43" s="7" t="s">
        <v>320</v>
      </c>
      <c r="I43" s="7" t="s">
        <v>387</v>
      </c>
      <c r="J43" s="9" t="s">
        <v>388</v>
      </c>
      <c r="K43" s="7" t="s">
        <v>323</v>
      </c>
      <c r="L43" s="12" t="s">
        <v>186</v>
      </c>
    </row>
    <row r="44" customFormat="false" ht="87" hidden="false" customHeight="true" outlineLevel="0" collapsed="false">
      <c r="A44" s="7" t="s">
        <v>389</v>
      </c>
      <c r="B44" s="7" t="s">
        <v>390</v>
      </c>
      <c r="C44" s="7" t="s">
        <v>162</v>
      </c>
      <c r="D44" s="7" t="s">
        <v>391</v>
      </c>
      <c r="E44" s="7" t="s">
        <v>108</v>
      </c>
      <c r="F44" s="7" t="s">
        <v>318</v>
      </c>
      <c r="G44" s="7" t="s">
        <v>319</v>
      </c>
      <c r="H44" s="7" t="s">
        <v>320</v>
      </c>
      <c r="I44" s="7" t="s">
        <v>392</v>
      </c>
      <c r="J44" s="9" t="s">
        <v>393</v>
      </c>
      <c r="K44" s="7" t="s">
        <v>323</v>
      </c>
      <c r="L44" s="12" t="s">
        <v>186</v>
      </c>
    </row>
    <row r="45" customFormat="false" ht="87" hidden="false" customHeight="true" outlineLevel="0" collapsed="false">
      <c r="A45" s="7" t="s">
        <v>394</v>
      </c>
      <c r="B45" s="7" t="s">
        <v>395</v>
      </c>
      <c r="C45" s="7" t="s">
        <v>162</v>
      </c>
      <c r="D45" s="7" t="s">
        <v>396</v>
      </c>
      <c r="E45" s="7" t="s">
        <v>108</v>
      </c>
      <c r="F45" s="7" t="s">
        <v>318</v>
      </c>
      <c r="G45" s="7" t="s">
        <v>319</v>
      </c>
      <c r="H45" s="7" t="s">
        <v>320</v>
      </c>
      <c r="I45" s="7" t="s">
        <v>397</v>
      </c>
      <c r="J45" s="9" t="s">
        <v>398</v>
      </c>
      <c r="K45" s="7" t="s">
        <v>323</v>
      </c>
      <c r="L45" s="12" t="s">
        <v>186</v>
      </c>
    </row>
    <row r="46" customFormat="false" ht="87" hidden="false" customHeight="true" outlineLevel="0" collapsed="false">
      <c r="A46" s="7" t="s">
        <v>399</v>
      </c>
      <c r="B46" s="7" t="s">
        <v>400</v>
      </c>
      <c r="C46" s="7" t="s">
        <v>162</v>
      </c>
      <c r="D46" s="7" t="s">
        <v>401</v>
      </c>
      <c r="E46" s="7" t="s">
        <v>108</v>
      </c>
      <c r="F46" s="7" t="s">
        <v>318</v>
      </c>
      <c r="G46" s="7" t="s">
        <v>319</v>
      </c>
      <c r="H46" s="7" t="s">
        <v>320</v>
      </c>
      <c r="I46" s="7" t="s">
        <v>402</v>
      </c>
      <c r="J46" s="9" t="s">
        <v>403</v>
      </c>
      <c r="K46" s="7" t="s">
        <v>323</v>
      </c>
      <c r="L46" s="12" t="s">
        <v>186</v>
      </c>
    </row>
    <row r="47" customFormat="false" ht="87" hidden="false" customHeight="true" outlineLevel="0" collapsed="false">
      <c r="A47" s="7" t="s">
        <v>404</v>
      </c>
      <c r="B47" s="7" t="s">
        <v>405</v>
      </c>
      <c r="C47" s="7" t="s">
        <v>162</v>
      </c>
      <c r="D47" s="7" t="s">
        <v>406</v>
      </c>
      <c r="E47" s="7" t="s">
        <v>108</v>
      </c>
      <c r="F47" s="7" t="s">
        <v>318</v>
      </c>
      <c r="G47" s="7" t="s">
        <v>319</v>
      </c>
      <c r="H47" s="7" t="s">
        <v>320</v>
      </c>
      <c r="I47" s="7" t="s">
        <v>407</v>
      </c>
      <c r="J47" s="9" t="s">
        <v>408</v>
      </c>
      <c r="K47" s="7" t="s">
        <v>323</v>
      </c>
      <c r="L47" s="12" t="s">
        <v>186</v>
      </c>
    </row>
    <row r="48" customFormat="false" ht="87" hidden="false" customHeight="true" outlineLevel="0" collapsed="false">
      <c r="A48" s="7" t="s">
        <v>409</v>
      </c>
      <c r="B48" s="7" t="s">
        <v>410</v>
      </c>
      <c r="C48" s="7" t="s">
        <v>162</v>
      </c>
      <c r="D48" s="7" t="s">
        <v>411</v>
      </c>
      <c r="E48" s="7" t="s">
        <v>108</v>
      </c>
      <c r="F48" s="7" t="s">
        <v>318</v>
      </c>
      <c r="G48" s="7" t="s">
        <v>319</v>
      </c>
      <c r="H48" s="7" t="s">
        <v>320</v>
      </c>
      <c r="I48" s="7" t="s">
        <v>412</v>
      </c>
      <c r="J48" s="9" t="s">
        <v>413</v>
      </c>
      <c r="K48" s="7" t="s">
        <v>323</v>
      </c>
      <c r="L48" s="12" t="s">
        <v>186</v>
      </c>
    </row>
    <row r="49" customFormat="false" ht="87" hidden="false" customHeight="true" outlineLevel="0" collapsed="false">
      <c r="A49" s="7" t="s">
        <v>414</v>
      </c>
      <c r="B49" s="7" t="s">
        <v>415</v>
      </c>
      <c r="C49" s="7" t="s">
        <v>162</v>
      </c>
      <c r="D49" s="7" t="s">
        <v>416</v>
      </c>
      <c r="E49" s="7" t="s">
        <v>108</v>
      </c>
      <c r="F49" s="7" t="s">
        <v>318</v>
      </c>
      <c r="G49" s="7" t="s">
        <v>319</v>
      </c>
      <c r="H49" s="7" t="s">
        <v>320</v>
      </c>
      <c r="I49" s="7" t="s">
        <v>417</v>
      </c>
      <c r="J49" s="9" t="s">
        <v>418</v>
      </c>
      <c r="K49" s="7" t="s">
        <v>323</v>
      </c>
      <c r="L49" s="12" t="s">
        <v>186</v>
      </c>
    </row>
    <row r="50" customFormat="false" ht="87" hidden="false" customHeight="true" outlineLevel="0" collapsed="false">
      <c r="A50" s="7" t="s">
        <v>419</v>
      </c>
      <c r="B50" s="7" t="s">
        <v>420</v>
      </c>
      <c r="C50" s="7" t="s">
        <v>162</v>
      </c>
      <c r="D50" s="7" t="s">
        <v>421</v>
      </c>
      <c r="E50" s="7" t="s">
        <v>108</v>
      </c>
      <c r="F50" s="7" t="s">
        <v>318</v>
      </c>
      <c r="G50" s="7" t="s">
        <v>319</v>
      </c>
      <c r="H50" s="7" t="s">
        <v>320</v>
      </c>
      <c r="I50" s="7" t="s">
        <v>422</v>
      </c>
      <c r="J50" s="9" t="s">
        <v>423</v>
      </c>
      <c r="K50" s="7" t="s">
        <v>323</v>
      </c>
      <c r="L50" s="12" t="s">
        <v>186</v>
      </c>
    </row>
    <row r="51" customFormat="false" ht="87" hidden="false" customHeight="true" outlineLevel="0" collapsed="false">
      <c r="A51" s="7" t="s">
        <v>424</v>
      </c>
      <c r="B51" s="7" t="s">
        <v>425</v>
      </c>
      <c r="C51" s="7" t="s">
        <v>162</v>
      </c>
      <c r="D51" s="7" t="s">
        <v>426</v>
      </c>
      <c r="E51" s="7" t="s">
        <v>108</v>
      </c>
      <c r="F51" s="7" t="s">
        <v>318</v>
      </c>
      <c r="G51" s="7" t="s">
        <v>319</v>
      </c>
      <c r="H51" s="7" t="s">
        <v>320</v>
      </c>
      <c r="I51" s="7" t="s">
        <v>427</v>
      </c>
      <c r="J51" s="9" t="s">
        <v>428</v>
      </c>
      <c r="K51" s="7" t="s">
        <v>323</v>
      </c>
      <c r="L51" s="12" t="s">
        <v>186</v>
      </c>
    </row>
    <row r="52" customFormat="false" ht="87" hidden="false" customHeight="true" outlineLevel="0" collapsed="false">
      <c r="A52" s="7" t="s">
        <v>429</v>
      </c>
      <c r="B52" s="7" t="s">
        <v>430</v>
      </c>
      <c r="C52" s="7" t="s">
        <v>162</v>
      </c>
      <c r="D52" s="7" t="s">
        <v>431</v>
      </c>
      <c r="E52" s="7" t="s">
        <v>108</v>
      </c>
      <c r="F52" s="7" t="s">
        <v>318</v>
      </c>
      <c r="G52" s="7" t="s">
        <v>319</v>
      </c>
      <c r="H52" s="7" t="s">
        <v>320</v>
      </c>
      <c r="I52" s="7" t="s">
        <v>432</v>
      </c>
      <c r="J52" s="9" t="s">
        <v>433</v>
      </c>
      <c r="K52" s="7" t="s">
        <v>323</v>
      </c>
      <c r="L52" s="12" t="s">
        <v>186</v>
      </c>
    </row>
    <row r="53" customFormat="false" ht="87" hidden="false" customHeight="true" outlineLevel="0" collapsed="false">
      <c r="A53" s="7" t="s">
        <v>434</v>
      </c>
      <c r="B53" s="7" t="s">
        <v>435</v>
      </c>
      <c r="C53" s="7" t="s">
        <v>162</v>
      </c>
      <c r="D53" s="7" t="s">
        <v>436</v>
      </c>
      <c r="E53" s="7" t="s">
        <v>108</v>
      </c>
      <c r="F53" s="7" t="s">
        <v>318</v>
      </c>
      <c r="G53" s="7" t="s">
        <v>319</v>
      </c>
      <c r="H53" s="7" t="s">
        <v>320</v>
      </c>
      <c r="I53" s="7" t="s">
        <v>437</v>
      </c>
      <c r="J53" s="9" t="s">
        <v>438</v>
      </c>
      <c r="K53" s="7" t="s">
        <v>323</v>
      </c>
      <c r="L53" s="12" t="s">
        <v>186</v>
      </c>
    </row>
    <row r="54" customFormat="false" ht="87" hidden="false" customHeight="true" outlineLevel="0" collapsed="false">
      <c r="A54" s="7" t="s">
        <v>439</v>
      </c>
      <c r="B54" s="7" t="s">
        <v>440</v>
      </c>
      <c r="C54" s="7" t="s">
        <v>162</v>
      </c>
      <c r="D54" s="7" t="s">
        <v>441</v>
      </c>
      <c r="E54" s="7" t="s">
        <v>108</v>
      </c>
      <c r="F54" s="7" t="s">
        <v>318</v>
      </c>
      <c r="G54" s="7" t="s">
        <v>319</v>
      </c>
      <c r="H54" s="7" t="s">
        <v>320</v>
      </c>
      <c r="I54" s="7" t="s">
        <v>442</v>
      </c>
      <c r="J54" s="9" t="s">
        <v>443</v>
      </c>
      <c r="K54" s="7" t="s">
        <v>323</v>
      </c>
      <c r="L54" s="11" t="s">
        <v>180</v>
      </c>
    </row>
    <row r="55" customFormat="false" ht="87" hidden="false" customHeight="true" outlineLevel="0" collapsed="false">
      <c r="A55" s="7" t="s">
        <v>444</v>
      </c>
      <c r="B55" s="7" t="s">
        <v>445</v>
      </c>
      <c r="C55" s="7" t="s">
        <v>162</v>
      </c>
      <c r="D55" s="7" t="s">
        <v>446</v>
      </c>
      <c r="E55" s="7" t="s">
        <v>108</v>
      </c>
      <c r="F55" s="7" t="s">
        <v>318</v>
      </c>
      <c r="G55" s="7" t="s">
        <v>319</v>
      </c>
      <c r="H55" s="7" t="s">
        <v>320</v>
      </c>
      <c r="I55" s="7" t="s">
        <v>447</v>
      </c>
      <c r="J55" s="9" t="s">
        <v>448</v>
      </c>
      <c r="K55" s="7" t="s">
        <v>323</v>
      </c>
      <c r="L55" s="12" t="s">
        <v>186</v>
      </c>
    </row>
    <row r="56" customFormat="false" ht="87" hidden="false" customHeight="true" outlineLevel="0" collapsed="false">
      <c r="A56" s="7" t="s">
        <v>449</v>
      </c>
      <c r="B56" s="7" t="s">
        <v>450</v>
      </c>
      <c r="C56" s="7" t="s">
        <v>162</v>
      </c>
      <c r="D56" s="7" t="s">
        <v>451</v>
      </c>
      <c r="E56" s="7" t="s">
        <v>108</v>
      </c>
      <c r="F56" s="7" t="s">
        <v>318</v>
      </c>
      <c r="G56" s="7" t="s">
        <v>319</v>
      </c>
      <c r="H56" s="7" t="s">
        <v>320</v>
      </c>
      <c r="I56" s="7" t="s">
        <v>452</v>
      </c>
      <c r="J56" s="9" t="s">
        <v>453</v>
      </c>
      <c r="K56" s="7" t="s">
        <v>323</v>
      </c>
      <c r="L56" s="12" t="s">
        <v>186</v>
      </c>
    </row>
    <row r="57" customFormat="false" ht="87" hidden="false" customHeight="true" outlineLevel="0" collapsed="false">
      <c r="A57" s="7" t="s">
        <v>454</v>
      </c>
      <c r="B57" s="7" t="s">
        <v>455</v>
      </c>
      <c r="C57" s="7" t="s">
        <v>162</v>
      </c>
      <c r="D57" s="7" t="s">
        <v>456</v>
      </c>
      <c r="E57" s="7" t="s">
        <v>108</v>
      </c>
      <c r="F57" s="7" t="s">
        <v>318</v>
      </c>
      <c r="G57" s="7" t="s">
        <v>319</v>
      </c>
      <c r="H57" s="7" t="s">
        <v>320</v>
      </c>
      <c r="I57" s="7" t="s">
        <v>457</v>
      </c>
      <c r="J57" s="9" t="s">
        <v>458</v>
      </c>
      <c r="K57" s="7" t="s">
        <v>323</v>
      </c>
      <c r="L57" s="12" t="s">
        <v>186</v>
      </c>
    </row>
    <row r="58" customFormat="false" ht="87" hidden="false" customHeight="true" outlineLevel="0" collapsed="false">
      <c r="A58" s="7" t="s">
        <v>459</v>
      </c>
      <c r="B58" s="7" t="s">
        <v>460</v>
      </c>
      <c r="C58" s="7" t="s">
        <v>162</v>
      </c>
      <c r="D58" s="7" t="s">
        <v>461</v>
      </c>
      <c r="E58" s="7" t="s">
        <v>108</v>
      </c>
      <c r="F58" s="7" t="s">
        <v>318</v>
      </c>
      <c r="G58" s="7" t="s">
        <v>319</v>
      </c>
      <c r="H58" s="7" t="s">
        <v>320</v>
      </c>
      <c r="I58" s="7" t="s">
        <v>462</v>
      </c>
      <c r="J58" s="9" t="s">
        <v>463</v>
      </c>
      <c r="K58" s="7" t="s">
        <v>323</v>
      </c>
      <c r="L58" s="12" t="s">
        <v>186</v>
      </c>
    </row>
    <row r="59" customFormat="false" ht="87" hidden="false" customHeight="true" outlineLevel="0" collapsed="false">
      <c r="A59" s="7" t="s">
        <v>464</v>
      </c>
      <c r="B59" s="7" t="s">
        <v>465</v>
      </c>
      <c r="C59" s="7" t="s">
        <v>162</v>
      </c>
      <c r="D59" s="7" t="s">
        <v>466</v>
      </c>
      <c r="E59" s="7" t="s">
        <v>108</v>
      </c>
      <c r="F59" s="7" t="s">
        <v>318</v>
      </c>
      <c r="G59" s="7" t="s">
        <v>319</v>
      </c>
      <c r="H59" s="7" t="s">
        <v>320</v>
      </c>
      <c r="I59" s="7" t="s">
        <v>467</v>
      </c>
      <c r="J59" s="9" t="s">
        <v>468</v>
      </c>
      <c r="K59" s="7" t="s">
        <v>323</v>
      </c>
      <c r="L59" s="12" t="s">
        <v>186</v>
      </c>
    </row>
    <row r="60" customFormat="false" ht="87" hidden="false" customHeight="true" outlineLevel="0" collapsed="false">
      <c r="A60" s="7" t="s">
        <v>469</v>
      </c>
      <c r="B60" s="7" t="s">
        <v>470</v>
      </c>
      <c r="C60" s="7" t="s">
        <v>162</v>
      </c>
      <c r="D60" s="7" t="s">
        <v>471</v>
      </c>
      <c r="E60" s="7" t="s">
        <v>108</v>
      </c>
      <c r="F60" s="7" t="s">
        <v>318</v>
      </c>
      <c r="G60" s="7" t="s">
        <v>319</v>
      </c>
      <c r="H60" s="7" t="s">
        <v>320</v>
      </c>
      <c r="I60" s="7" t="s">
        <v>472</v>
      </c>
      <c r="J60" s="9" t="s">
        <v>473</v>
      </c>
      <c r="K60" s="7" t="s">
        <v>323</v>
      </c>
      <c r="L60" s="12" t="s">
        <v>186</v>
      </c>
    </row>
    <row r="61" customFormat="false" ht="52.5" hidden="false" customHeight="true" outlineLevel="0" collapsed="false">
      <c r="A61" s="7" t="s">
        <v>474</v>
      </c>
      <c r="B61" s="7" t="s">
        <v>475</v>
      </c>
      <c r="C61" s="7" t="s">
        <v>162</v>
      </c>
      <c r="D61" s="7" t="s">
        <v>476</v>
      </c>
      <c r="E61" s="7" t="s">
        <v>108</v>
      </c>
      <c r="F61" s="7" t="s">
        <v>174</v>
      </c>
      <c r="G61" s="7" t="s">
        <v>245</v>
      </c>
      <c r="H61" s="7" t="s">
        <v>246</v>
      </c>
      <c r="I61" s="7" t="s">
        <v>477</v>
      </c>
      <c r="J61" s="9" t="s">
        <v>478</v>
      </c>
      <c r="K61" s="7" t="s">
        <v>479</v>
      </c>
      <c r="L61" s="12" t="s">
        <v>186</v>
      </c>
    </row>
    <row r="62" customFormat="false" ht="52.5" hidden="false" customHeight="true" outlineLevel="0" collapsed="false">
      <c r="A62" s="7" t="s">
        <v>480</v>
      </c>
      <c r="B62" s="7" t="s">
        <v>481</v>
      </c>
      <c r="C62" s="7" t="s">
        <v>162</v>
      </c>
      <c r="D62" s="7" t="s">
        <v>482</v>
      </c>
      <c r="E62" s="7" t="s">
        <v>108</v>
      </c>
      <c r="F62" s="7" t="s">
        <v>174</v>
      </c>
      <c r="G62" s="7" t="s">
        <v>245</v>
      </c>
      <c r="H62" s="7" t="s">
        <v>246</v>
      </c>
      <c r="I62" s="7" t="s">
        <v>483</v>
      </c>
      <c r="J62" s="9" t="s">
        <v>484</v>
      </c>
      <c r="K62" s="7" t="s">
        <v>249</v>
      </c>
      <c r="L62" s="11" t="s">
        <v>180</v>
      </c>
    </row>
    <row r="63" customFormat="false" ht="69.75" hidden="false" customHeight="true" outlineLevel="0" collapsed="false">
      <c r="A63" s="7" t="s">
        <v>485</v>
      </c>
      <c r="B63" s="7" t="s">
        <v>486</v>
      </c>
      <c r="C63" s="7" t="s">
        <v>162</v>
      </c>
      <c r="D63" s="7" t="s">
        <v>487</v>
      </c>
      <c r="E63" s="7" t="s">
        <v>108</v>
      </c>
      <c r="F63" s="7" t="s">
        <v>174</v>
      </c>
      <c r="G63" s="7" t="s">
        <v>245</v>
      </c>
      <c r="H63" s="7" t="s">
        <v>246</v>
      </c>
      <c r="I63" s="7" t="s">
        <v>488</v>
      </c>
      <c r="J63" s="9" t="s">
        <v>489</v>
      </c>
      <c r="K63" s="7" t="s">
        <v>249</v>
      </c>
      <c r="L63" s="12" t="s">
        <v>186</v>
      </c>
    </row>
    <row r="64" customFormat="false" ht="87" hidden="false" customHeight="true" outlineLevel="0" collapsed="false">
      <c r="A64" s="7" t="s">
        <v>490</v>
      </c>
      <c r="B64" s="7" t="s">
        <v>491</v>
      </c>
      <c r="C64" s="7" t="s">
        <v>162</v>
      </c>
      <c r="D64" s="7" t="s">
        <v>492</v>
      </c>
      <c r="E64" s="7" t="s">
        <v>108</v>
      </c>
      <c r="F64" s="7" t="s">
        <v>174</v>
      </c>
      <c r="G64" s="7" t="s">
        <v>245</v>
      </c>
      <c r="H64" s="7" t="s">
        <v>246</v>
      </c>
      <c r="I64" s="7" t="s">
        <v>493</v>
      </c>
      <c r="J64" s="9" t="s">
        <v>494</v>
      </c>
      <c r="K64" s="7" t="s">
        <v>249</v>
      </c>
      <c r="L64" s="12" t="s">
        <v>186</v>
      </c>
    </row>
    <row r="65" customFormat="false" ht="69.75" hidden="false" customHeight="true" outlineLevel="0" collapsed="false">
      <c r="A65" s="7" t="s">
        <v>495</v>
      </c>
      <c r="B65" s="7" t="s">
        <v>496</v>
      </c>
      <c r="C65" s="7" t="s">
        <v>162</v>
      </c>
      <c r="D65" s="7" t="s">
        <v>497</v>
      </c>
      <c r="E65" s="7" t="s">
        <v>108</v>
      </c>
      <c r="F65" s="7" t="s">
        <v>174</v>
      </c>
      <c r="G65" s="7" t="s">
        <v>245</v>
      </c>
      <c r="H65" s="7" t="s">
        <v>246</v>
      </c>
      <c r="I65" s="7" t="s">
        <v>498</v>
      </c>
      <c r="J65" s="9" t="s">
        <v>499</v>
      </c>
      <c r="K65" s="7" t="s">
        <v>249</v>
      </c>
      <c r="L65" s="11" t="s">
        <v>180</v>
      </c>
    </row>
    <row r="66" customFormat="false" ht="69.75" hidden="false" customHeight="true" outlineLevel="0" collapsed="false">
      <c r="A66" s="7" t="s">
        <v>500</v>
      </c>
      <c r="B66" s="7" t="s">
        <v>501</v>
      </c>
      <c r="C66" s="7" t="s">
        <v>162</v>
      </c>
      <c r="D66" s="7" t="s">
        <v>502</v>
      </c>
      <c r="E66" s="7" t="s">
        <v>108</v>
      </c>
      <c r="F66" s="7" t="s">
        <v>174</v>
      </c>
      <c r="G66" s="7" t="s">
        <v>245</v>
      </c>
      <c r="H66" s="7" t="s">
        <v>246</v>
      </c>
      <c r="I66" s="7" t="s">
        <v>503</v>
      </c>
      <c r="J66" s="9" t="s">
        <v>504</v>
      </c>
      <c r="K66" s="7" t="s">
        <v>249</v>
      </c>
      <c r="L66" s="12" t="s">
        <v>186</v>
      </c>
    </row>
    <row r="67" customFormat="false" ht="69.75" hidden="false" customHeight="true" outlineLevel="0" collapsed="false">
      <c r="A67" s="7" t="s">
        <v>505</v>
      </c>
      <c r="B67" s="7" t="s">
        <v>506</v>
      </c>
      <c r="C67" s="7" t="s">
        <v>162</v>
      </c>
      <c r="D67" s="7" t="s">
        <v>507</v>
      </c>
      <c r="E67" s="7" t="s">
        <v>108</v>
      </c>
      <c r="F67" s="7" t="s">
        <v>174</v>
      </c>
      <c r="G67" s="7" t="s">
        <v>245</v>
      </c>
      <c r="H67" s="7" t="s">
        <v>246</v>
      </c>
      <c r="I67" s="7" t="s">
        <v>508</v>
      </c>
      <c r="J67" s="9" t="s">
        <v>509</v>
      </c>
      <c r="K67" s="7" t="s">
        <v>249</v>
      </c>
      <c r="L67" s="11" t="s">
        <v>180</v>
      </c>
    </row>
    <row r="68" customFormat="false" ht="87" hidden="false" customHeight="true" outlineLevel="0" collapsed="false">
      <c r="A68" s="7" t="s">
        <v>510</v>
      </c>
      <c r="B68" s="7" t="s">
        <v>511</v>
      </c>
      <c r="C68" s="7" t="s">
        <v>162</v>
      </c>
      <c r="D68" s="7" t="s">
        <v>512</v>
      </c>
      <c r="E68" s="7" t="s">
        <v>108</v>
      </c>
      <c r="F68" s="7" t="s">
        <v>174</v>
      </c>
      <c r="G68" s="7" t="s">
        <v>245</v>
      </c>
      <c r="H68" s="7" t="s">
        <v>246</v>
      </c>
      <c r="I68" s="7" t="s">
        <v>513</v>
      </c>
      <c r="J68" s="9" t="s">
        <v>514</v>
      </c>
      <c r="K68" s="7" t="s">
        <v>249</v>
      </c>
      <c r="L68" s="11" t="s">
        <v>180</v>
      </c>
    </row>
    <row r="69" customFormat="false" ht="69.75" hidden="false" customHeight="true" outlineLevel="0" collapsed="false">
      <c r="A69" s="7" t="s">
        <v>515</v>
      </c>
      <c r="B69" s="7" t="s">
        <v>516</v>
      </c>
      <c r="C69" s="7" t="s">
        <v>162</v>
      </c>
      <c r="D69" s="7" t="s">
        <v>517</v>
      </c>
      <c r="E69" s="7" t="s">
        <v>108</v>
      </c>
      <c r="F69" s="7" t="s">
        <v>174</v>
      </c>
      <c r="G69" s="7" t="s">
        <v>245</v>
      </c>
      <c r="H69" s="7" t="s">
        <v>246</v>
      </c>
      <c r="I69" s="7" t="s">
        <v>518</v>
      </c>
      <c r="J69" s="9" t="s">
        <v>519</v>
      </c>
      <c r="K69" s="7" t="s">
        <v>249</v>
      </c>
      <c r="L69" s="12" t="s">
        <v>186</v>
      </c>
    </row>
    <row r="70" customFormat="false" ht="69.75" hidden="false" customHeight="true" outlineLevel="0" collapsed="false">
      <c r="A70" s="7" t="s">
        <v>520</v>
      </c>
      <c r="B70" s="7" t="s">
        <v>521</v>
      </c>
      <c r="C70" s="7" t="s">
        <v>162</v>
      </c>
      <c r="D70" s="7" t="s">
        <v>522</v>
      </c>
      <c r="E70" s="7" t="s">
        <v>108</v>
      </c>
      <c r="F70" s="7" t="s">
        <v>174</v>
      </c>
      <c r="G70" s="7" t="s">
        <v>245</v>
      </c>
      <c r="H70" s="7" t="s">
        <v>246</v>
      </c>
      <c r="I70" s="7" t="s">
        <v>523</v>
      </c>
      <c r="J70" s="9" t="s">
        <v>524</v>
      </c>
      <c r="K70" s="7" t="s">
        <v>249</v>
      </c>
      <c r="L70" s="12" t="s">
        <v>186</v>
      </c>
    </row>
    <row r="71" customFormat="false" ht="69.75" hidden="false" customHeight="true" outlineLevel="0" collapsed="false">
      <c r="A71" s="7" t="s">
        <v>525</v>
      </c>
      <c r="B71" s="7" t="s">
        <v>526</v>
      </c>
      <c r="C71" s="7" t="s">
        <v>162</v>
      </c>
      <c r="D71" s="7" t="s">
        <v>527</v>
      </c>
      <c r="E71" s="7" t="s">
        <v>108</v>
      </c>
      <c r="F71" s="7" t="s">
        <v>174</v>
      </c>
      <c r="G71" s="7" t="s">
        <v>245</v>
      </c>
      <c r="H71" s="7" t="s">
        <v>246</v>
      </c>
      <c r="I71" s="7" t="s">
        <v>528</v>
      </c>
      <c r="J71" s="9" t="s">
        <v>529</v>
      </c>
      <c r="K71" s="7" t="s">
        <v>249</v>
      </c>
      <c r="L71" s="11" t="s">
        <v>180</v>
      </c>
    </row>
    <row r="72" customFormat="false" ht="87" hidden="false" customHeight="true" outlineLevel="0" collapsed="false">
      <c r="A72" s="7" t="s">
        <v>530</v>
      </c>
      <c r="B72" s="7" t="s">
        <v>531</v>
      </c>
      <c r="C72" s="7" t="s">
        <v>162</v>
      </c>
      <c r="D72" s="7" t="s">
        <v>532</v>
      </c>
      <c r="E72" s="7" t="s">
        <v>108</v>
      </c>
      <c r="F72" s="7" t="s">
        <v>174</v>
      </c>
      <c r="G72" s="7" t="s">
        <v>245</v>
      </c>
      <c r="H72" s="7" t="s">
        <v>246</v>
      </c>
      <c r="I72" s="7" t="s">
        <v>533</v>
      </c>
      <c r="J72" s="9" t="s">
        <v>534</v>
      </c>
      <c r="K72" s="7" t="s">
        <v>249</v>
      </c>
      <c r="L72" s="11" t="s">
        <v>180</v>
      </c>
    </row>
    <row r="73" customFormat="false" ht="35.25" hidden="false" customHeight="true" outlineLevel="0" collapsed="false">
      <c r="A73" s="7" t="s">
        <v>535</v>
      </c>
      <c r="B73" s="7" t="s">
        <v>536</v>
      </c>
      <c r="C73" s="7" t="s">
        <v>162</v>
      </c>
      <c r="D73" s="7" t="s">
        <v>537</v>
      </c>
      <c r="E73" s="7" t="s">
        <v>108</v>
      </c>
      <c r="F73" s="7" t="s">
        <v>174</v>
      </c>
      <c r="G73" s="7" t="s">
        <v>538</v>
      </c>
      <c r="H73" s="7" t="s">
        <v>539</v>
      </c>
      <c r="I73" s="7" t="s">
        <v>540</v>
      </c>
      <c r="J73" s="9" t="s">
        <v>541</v>
      </c>
      <c r="K73" s="7" t="s">
        <v>479</v>
      </c>
      <c r="L73" s="11" t="s">
        <v>180</v>
      </c>
    </row>
    <row r="74" customFormat="false" ht="87" hidden="false" customHeight="true" outlineLevel="0" collapsed="false">
      <c r="A74" s="7" t="s">
        <v>542</v>
      </c>
      <c r="B74" s="7" t="s">
        <v>543</v>
      </c>
      <c r="C74" s="7" t="s">
        <v>162</v>
      </c>
      <c r="D74" s="7" t="s">
        <v>544</v>
      </c>
      <c r="E74" s="7" t="s">
        <v>108</v>
      </c>
      <c r="F74" s="7" t="s">
        <v>174</v>
      </c>
      <c r="G74" s="7" t="s">
        <v>538</v>
      </c>
      <c r="H74" s="7" t="s">
        <v>539</v>
      </c>
      <c r="I74" s="7" t="s">
        <v>545</v>
      </c>
      <c r="J74" s="9" t="s">
        <v>546</v>
      </c>
      <c r="K74" s="7" t="s">
        <v>479</v>
      </c>
      <c r="L74" s="12" t="s">
        <v>186</v>
      </c>
    </row>
    <row r="75" customFormat="false" ht="87" hidden="false" customHeight="true" outlineLevel="0" collapsed="false">
      <c r="A75" s="7" t="s">
        <v>547</v>
      </c>
      <c r="B75" s="7" t="s">
        <v>548</v>
      </c>
      <c r="C75" s="7" t="s">
        <v>162</v>
      </c>
      <c r="D75" s="7" t="s">
        <v>549</v>
      </c>
      <c r="E75" s="7" t="s">
        <v>108</v>
      </c>
      <c r="F75" s="7" t="s">
        <v>174</v>
      </c>
      <c r="G75" s="7" t="s">
        <v>538</v>
      </c>
      <c r="H75" s="7" t="s">
        <v>539</v>
      </c>
      <c r="I75" s="7" t="s">
        <v>550</v>
      </c>
      <c r="J75" s="9" t="s">
        <v>551</v>
      </c>
      <c r="K75" s="7" t="s">
        <v>479</v>
      </c>
      <c r="L75" s="12" t="s">
        <v>186</v>
      </c>
    </row>
    <row r="76" customFormat="false" ht="87" hidden="false" customHeight="true" outlineLevel="0" collapsed="false">
      <c r="A76" s="7" t="s">
        <v>552</v>
      </c>
      <c r="B76" s="7" t="s">
        <v>553</v>
      </c>
      <c r="C76" s="7" t="s">
        <v>162</v>
      </c>
      <c r="D76" s="7" t="s">
        <v>554</v>
      </c>
      <c r="E76" s="7" t="s">
        <v>108</v>
      </c>
      <c r="F76" s="7" t="s">
        <v>174</v>
      </c>
      <c r="G76" s="7" t="s">
        <v>538</v>
      </c>
      <c r="H76" s="7" t="s">
        <v>539</v>
      </c>
      <c r="I76" s="7" t="s">
        <v>555</v>
      </c>
      <c r="J76" s="9" t="s">
        <v>556</v>
      </c>
      <c r="K76" s="7" t="s">
        <v>479</v>
      </c>
      <c r="L76" s="12" t="s">
        <v>186</v>
      </c>
    </row>
    <row r="77" customFormat="false" ht="52.5" hidden="false" customHeight="true" outlineLevel="0" collapsed="false">
      <c r="A77" s="7" t="s">
        <v>557</v>
      </c>
      <c r="B77" s="7" t="s">
        <v>558</v>
      </c>
      <c r="C77" s="7" t="s">
        <v>162</v>
      </c>
      <c r="D77" s="7" t="s">
        <v>559</v>
      </c>
      <c r="E77" s="7" t="s">
        <v>100</v>
      </c>
      <c r="F77" s="7" t="s">
        <v>164</v>
      </c>
      <c r="G77" s="7" t="s">
        <v>165</v>
      </c>
      <c r="H77" s="7" t="s">
        <v>166</v>
      </c>
      <c r="I77" s="7" t="s">
        <v>560</v>
      </c>
      <c r="J77" s="9" t="s">
        <v>561</v>
      </c>
      <c r="K77" s="7" t="s">
        <v>562</v>
      </c>
      <c r="L77" s="12" t="s">
        <v>186</v>
      </c>
    </row>
    <row r="78" customFormat="false" ht="35.25" hidden="false" customHeight="true" outlineLevel="0" collapsed="false">
      <c r="A78" s="7" t="s">
        <v>563</v>
      </c>
      <c r="B78" s="7" t="s">
        <v>564</v>
      </c>
      <c r="C78" s="7" t="s">
        <v>162</v>
      </c>
      <c r="D78" s="7" t="s">
        <v>565</v>
      </c>
      <c r="E78" s="7" t="s">
        <v>112</v>
      </c>
      <c r="F78" s="7" t="s">
        <v>566</v>
      </c>
      <c r="G78" s="7" t="s">
        <v>567</v>
      </c>
      <c r="H78" s="7" t="s">
        <v>568</v>
      </c>
      <c r="I78" s="7" t="s">
        <v>569</v>
      </c>
      <c r="J78" s="9" t="s">
        <v>570</v>
      </c>
      <c r="K78" s="7" t="s">
        <v>571</v>
      </c>
      <c r="L78" s="10" t="s">
        <v>572</v>
      </c>
    </row>
    <row r="79" customFormat="false" ht="69.75" hidden="false" customHeight="true" outlineLevel="0" collapsed="false">
      <c r="A79" s="7" t="s">
        <v>573</v>
      </c>
      <c r="B79" s="7" t="s">
        <v>574</v>
      </c>
      <c r="C79" s="7" t="s">
        <v>162</v>
      </c>
      <c r="D79" s="7" t="s">
        <v>575</v>
      </c>
      <c r="E79" s="7" t="s">
        <v>112</v>
      </c>
      <c r="F79" s="7" t="s">
        <v>566</v>
      </c>
      <c r="G79" s="7" t="s">
        <v>567</v>
      </c>
      <c r="H79" s="7" t="s">
        <v>568</v>
      </c>
      <c r="I79" s="7" t="s">
        <v>576</v>
      </c>
      <c r="J79" s="9" t="s">
        <v>577</v>
      </c>
      <c r="K79" s="7" t="s">
        <v>571</v>
      </c>
      <c r="L79" s="10" t="s">
        <v>572</v>
      </c>
    </row>
    <row r="80" customFormat="false" ht="69.75" hidden="false" customHeight="true" outlineLevel="0" collapsed="false">
      <c r="A80" s="7" t="s">
        <v>578</v>
      </c>
      <c r="B80" s="7" t="s">
        <v>579</v>
      </c>
      <c r="C80" s="7" t="s">
        <v>162</v>
      </c>
      <c r="D80" s="7" t="s">
        <v>580</v>
      </c>
      <c r="E80" s="7" t="s">
        <v>112</v>
      </c>
      <c r="F80" s="7" t="s">
        <v>566</v>
      </c>
      <c r="G80" s="7" t="s">
        <v>567</v>
      </c>
      <c r="H80" s="7" t="s">
        <v>568</v>
      </c>
      <c r="I80" s="7" t="s">
        <v>581</v>
      </c>
      <c r="J80" s="9" t="s">
        <v>582</v>
      </c>
      <c r="K80" s="7" t="s">
        <v>571</v>
      </c>
      <c r="L80" s="10" t="s">
        <v>572</v>
      </c>
    </row>
    <row r="81" customFormat="false" ht="69.75" hidden="false" customHeight="true" outlineLevel="0" collapsed="false">
      <c r="A81" s="7" t="s">
        <v>583</v>
      </c>
      <c r="B81" s="7" t="s">
        <v>584</v>
      </c>
      <c r="C81" s="7" t="s">
        <v>162</v>
      </c>
      <c r="D81" s="7" t="s">
        <v>585</v>
      </c>
      <c r="E81" s="7" t="s">
        <v>112</v>
      </c>
      <c r="F81" s="7" t="s">
        <v>566</v>
      </c>
      <c r="G81" s="7" t="s">
        <v>567</v>
      </c>
      <c r="H81" s="7" t="s">
        <v>568</v>
      </c>
      <c r="I81" s="7" t="s">
        <v>586</v>
      </c>
      <c r="J81" s="9" t="s">
        <v>587</v>
      </c>
      <c r="K81" s="7" t="s">
        <v>571</v>
      </c>
      <c r="L81" s="10" t="s">
        <v>572</v>
      </c>
    </row>
    <row r="82" customFormat="false" ht="69.75" hidden="false" customHeight="true" outlineLevel="0" collapsed="false">
      <c r="A82" s="7" t="s">
        <v>588</v>
      </c>
      <c r="B82" s="7" t="s">
        <v>589</v>
      </c>
      <c r="C82" s="7" t="s">
        <v>162</v>
      </c>
      <c r="D82" s="7" t="s">
        <v>590</v>
      </c>
      <c r="E82" s="7" t="s">
        <v>112</v>
      </c>
      <c r="F82" s="7" t="s">
        <v>566</v>
      </c>
      <c r="G82" s="7" t="s">
        <v>567</v>
      </c>
      <c r="H82" s="7" t="s">
        <v>568</v>
      </c>
      <c r="I82" s="7" t="s">
        <v>591</v>
      </c>
      <c r="J82" s="9" t="s">
        <v>592</v>
      </c>
      <c r="K82" s="7" t="s">
        <v>571</v>
      </c>
      <c r="L82" s="10" t="s">
        <v>572</v>
      </c>
    </row>
    <row r="83" customFormat="false" ht="52.5" hidden="false" customHeight="true" outlineLevel="0" collapsed="false">
      <c r="A83" s="7" t="s">
        <v>593</v>
      </c>
      <c r="B83" s="7" t="s">
        <v>594</v>
      </c>
      <c r="C83" s="7" t="s">
        <v>162</v>
      </c>
      <c r="D83" s="7" t="s">
        <v>595</v>
      </c>
      <c r="E83" s="7" t="s">
        <v>108</v>
      </c>
      <c r="F83" s="7" t="s">
        <v>174</v>
      </c>
      <c r="G83" s="7" t="s">
        <v>245</v>
      </c>
      <c r="H83" s="7" t="s">
        <v>246</v>
      </c>
      <c r="I83" s="7" t="s">
        <v>596</v>
      </c>
      <c r="J83" s="9" t="s">
        <v>597</v>
      </c>
      <c r="K83" s="7" t="s">
        <v>249</v>
      </c>
      <c r="L83" s="12" t="s">
        <v>186</v>
      </c>
    </row>
    <row r="84" customFormat="false" ht="35.25" hidden="false" customHeight="true" outlineLevel="0" collapsed="false">
      <c r="A84" s="7" t="s">
        <v>598</v>
      </c>
      <c r="B84" s="7" t="s">
        <v>599</v>
      </c>
      <c r="C84" s="7" t="s">
        <v>162</v>
      </c>
      <c r="D84" s="7" t="s">
        <v>600</v>
      </c>
      <c r="E84" s="7" t="s">
        <v>108</v>
      </c>
      <c r="F84" s="7" t="s">
        <v>174</v>
      </c>
      <c r="G84" s="7" t="s">
        <v>538</v>
      </c>
      <c r="H84" s="7" t="s">
        <v>539</v>
      </c>
      <c r="I84" s="7" t="s">
        <v>601</v>
      </c>
      <c r="J84" s="9" t="s">
        <v>602</v>
      </c>
      <c r="K84" s="7" t="s">
        <v>603</v>
      </c>
      <c r="L84" s="11" t="s">
        <v>180</v>
      </c>
    </row>
    <row r="85" customFormat="false" ht="69.75" hidden="false" customHeight="true" outlineLevel="0" collapsed="false">
      <c r="A85" s="7" t="s">
        <v>604</v>
      </c>
      <c r="B85" s="7" t="s">
        <v>605</v>
      </c>
      <c r="C85" s="7" t="s">
        <v>162</v>
      </c>
      <c r="D85" s="7" t="s">
        <v>606</v>
      </c>
      <c r="E85" s="7" t="s">
        <v>108</v>
      </c>
      <c r="F85" s="7" t="s">
        <v>174</v>
      </c>
      <c r="G85" s="7" t="s">
        <v>538</v>
      </c>
      <c r="H85" s="7" t="s">
        <v>539</v>
      </c>
      <c r="I85" s="7" t="s">
        <v>607</v>
      </c>
      <c r="J85" s="9" t="s">
        <v>608</v>
      </c>
      <c r="K85" s="7" t="s">
        <v>603</v>
      </c>
      <c r="L85" s="12" t="s">
        <v>186</v>
      </c>
    </row>
    <row r="86" customFormat="false" ht="35.25" hidden="false" customHeight="true" outlineLevel="0" collapsed="false">
      <c r="A86" s="7" t="s">
        <v>609</v>
      </c>
      <c r="B86" s="7" t="s">
        <v>610</v>
      </c>
      <c r="C86" s="7" t="s">
        <v>162</v>
      </c>
      <c r="D86" s="7" t="s">
        <v>611</v>
      </c>
      <c r="E86" s="7" t="s">
        <v>108</v>
      </c>
      <c r="F86" s="7" t="s">
        <v>174</v>
      </c>
      <c r="G86" s="7" t="s">
        <v>538</v>
      </c>
      <c r="H86" s="7" t="s">
        <v>539</v>
      </c>
      <c r="I86" s="7" t="s">
        <v>612</v>
      </c>
      <c r="J86" s="9" t="s">
        <v>613</v>
      </c>
      <c r="K86" s="7" t="s">
        <v>249</v>
      </c>
      <c r="L86" s="11" t="s">
        <v>180</v>
      </c>
    </row>
    <row r="87" customFormat="false" ht="69.75" hidden="false" customHeight="true" outlineLevel="0" collapsed="false">
      <c r="A87" s="7" t="s">
        <v>614</v>
      </c>
      <c r="B87" s="7" t="s">
        <v>615</v>
      </c>
      <c r="C87" s="7" t="s">
        <v>162</v>
      </c>
      <c r="D87" s="7" t="s">
        <v>616</v>
      </c>
      <c r="E87" s="7" t="s">
        <v>108</v>
      </c>
      <c r="F87" s="7" t="s">
        <v>174</v>
      </c>
      <c r="G87" s="7" t="s">
        <v>538</v>
      </c>
      <c r="H87" s="7" t="s">
        <v>539</v>
      </c>
      <c r="I87" s="7" t="s">
        <v>617</v>
      </c>
      <c r="J87" s="9" t="s">
        <v>618</v>
      </c>
      <c r="K87" s="7" t="s">
        <v>249</v>
      </c>
      <c r="L87" s="12" t="s">
        <v>186</v>
      </c>
    </row>
    <row r="88" customFormat="false" ht="52.5" hidden="false" customHeight="true" outlineLevel="0" collapsed="false">
      <c r="A88" s="7" t="s">
        <v>619</v>
      </c>
      <c r="B88" s="7" t="s">
        <v>620</v>
      </c>
      <c r="C88" s="7" t="s">
        <v>162</v>
      </c>
      <c r="D88" s="7" t="s">
        <v>621</v>
      </c>
      <c r="E88" s="7" t="s">
        <v>108</v>
      </c>
      <c r="F88" s="7" t="s">
        <v>174</v>
      </c>
      <c r="G88" s="7" t="s">
        <v>245</v>
      </c>
      <c r="H88" s="7" t="s">
        <v>246</v>
      </c>
      <c r="I88" s="7" t="s">
        <v>622</v>
      </c>
      <c r="J88" s="9" t="s">
        <v>623</v>
      </c>
      <c r="K88" s="7" t="s">
        <v>624</v>
      </c>
      <c r="L88" s="12" t="s">
        <v>186</v>
      </c>
    </row>
    <row r="89" customFormat="false" ht="35.25" hidden="false" customHeight="true" outlineLevel="0" collapsed="false">
      <c r="A89" s="7" t="s">
        <v>625</v>
      </c>
      <c r="B89" s="7" t="s">
        <v>626</v>
      </c>
      <c r="C89" s="7" t="s">
        <v>162</v>
      </c>
      <c r="D89" s="7" t="s">
        <v>627</v>
      </c>
      <c r="E89" s="7" t="s">
        <v>108</v>
      </c>
      <c r="F89" s="7" t="s">
        <v>628</v>
      </c>
      <c r="G89" s="7" t="s">
        <v>629</v>
      </c>
      <c r="H89" s="7" t="s">
        <v>630</v>
      </c>
      <c r="I89" s="7" t="s">
        <v>631</v>
      </c>
      <c r="J89" s="9" t="s">
        <v>632</v>
      </c>
      <c r="K89" s="7" t="s">
        <v>603</v>
      </c>
      <c r="L89" s="10" t="s">
        <v>572</v>
      </c>
    </row>
    <row r="90" customFormat="false" ht="69.75" hidden="false" customHeight="true" outlineLevel="0" collapsed="false">
      <c r="A90" s="7" t="s">
        <v>633</v>
      </c>
      <c r="B90" s="7" t="s">
        <v>634</v>
      </c>
      <c r="C90" s="7" t="s">
        <v>162</v>
      </c>
      <c r="D90" s="7" t="s">
        <v>635</v>
      </c>
      <c r="E90" s="7" t="s">
        <v>108</v>
      </c>
      <c r="F90" s="7" t="s">
        <v>628</v>
      </c>
      <c r="G90" s="7" t="s">
        <v>629</v>
      </c>
      <c r="H90" s="7" t="s">
        <v>630</v>
      </c>
      <c r="I90" s="7" t="s">
        <v>636</v>
      </c>
      <c r="J90" s="9" t="s">
        <v>637</v>
      </c>
      <c r="K90" s="7" t="s">
        <v>603</v>
      </c>
      <c r="L90" s="10" t="s">
        <v>572</v>
      </c>
    </row>
    <row r="91" customFormat="false" ht="87" hidden="false" customHeight="true" outlineLevel="0" collapsed="false">
      <c r="A91" s="7" t="s">
        <v>638</v>
      </c>
      <c r="B91" s="7" t="s">
        <v>639</v>
      </c>
      <c r="C91" s="7" t="s">
        <v>162</v>
      </c>
      <c r="D91" s="7" t="s">
        <v>640</v>
      </c>
      <c r="E91" s="7" t="s">
        <v>108</v>
      </c>
      <c r="F91" s="7" t="s">
        <v>628</v>
      </c>
      <c r="G91" s="7" t="s">
        <v>629</v>
      </c>
      <c r="H91" s="7" t="s">
        <v>630</v>
      </c>
      <c r="I91" s="7" t="s">
        <v>641</v>
      </c>
      <c r="J91" s="9" t="s">
        <v>642</v>
      </c>
      <c r="K91" s="7" t="s">
        <v>603</v>
      </c>
      <c r="L91" s="10" t="s">
        <v>572</v>
      </c>
    </row>
    <row r="92" customFormat="false" ht="69.75" hidden="false" customHeight="true" outlineLevel="0" collapsed="false">
      <c r="A92" s="7" t="s">
        <v>643</v>
      </c>
      <c r="B92" s="7" t="s">
        <v>644</v>
      </c>
      <c r="C92" s="7" t="s">
        <v>162</v>
      </c>
      <c r="D92" s="7" t="s">
        <v>645</v>
      </c>
      <c r="E92" s="7" t="s">
        <v>108</v>
      </c>
      <c r="F92" s="7" t="s">
        <v>628</v>
      </c>
      <c r="G92" s="7" t="s">
        <v>629</v>
      </c>
      <c r="H92" s="7" t="s">
        <v>630</v>
      </c>
      <c r="I92" s="7" t="s">
        <v>646</v>
      </c>
      <c r="J92" s="9" t="s">
        <v>647</v>
      </c>
      <c r="K92" s="7" t="s">
        <v>603</v>
      </c>
      <c r="L92" s="10" t="s">
        <v>572</v>
      </c>
    </row>
    <row r="93" customFormat="false" ht="69.75" hidden="false" customHeight="true" outlineLevel="0" collapsed="false">
      <c r="A93" s="7" t="s">
        <v>648</v>
      </c>
      <c r="B93" s="7" t="s">
        <v>649</v>
      </c>
      <c r="C93" s="7" t="s">
        <v>162</v>
      </c>
      <c r="D93" s="7" t="s">
        <v>650</v>
      </c>
      <c r="E93" s="7" t="s">
        <v>108</v>
      </c>
      <c r="F93" s="7" t="s">
        <v>628</v>
      </c>
      <c r="G93" s="7" t="s">
        <v>629</v>
      </c>
      <c r="H93" s="7" t="s">
        <v>630</v>
      </c>
      <c r="I93" s="7" t="s">
        <v>651</v>
      </c>
      <c r="J93" s="9" t="s">
        <v>652</v>
      </c>
      <c r="K93" s="7" t="s">
        <v>603</v>
      </c>
      <c r="L93" s="10" t="s">
        <v>572</v>
      </c>
    </row>
    <row r="94" customFormat="false" ht="69.75" hidden="false" customHeight="true" outlineLevel="0" collapsed="false">
      <c r="A94" s="7" t="s">
        <v>653</v>
      </c>
      <c r="B94" s="7" t="s">
        <v>654</v>
      </c>
      <c r="C94" s="7" t="s">
        <v>162</v>
      </c>
      <c r="D94" s="7" t="s">
        <v>655</v>
      </c>
      <c r="E94" s="7" t="s">
        <v>108</v>
      </c>
      <c r="F94" s="7" t="s">
        <v>628</v>
      </c>
      <c r="G94" s="7" t="s">
        <v>629</v>
      </c>
      <c r="H94" s="7" t="s">
        <v>630</v>
      </c>
      <c r="I94" s="7" t="s">
        <v>656</v>
      </c>
      <c r="J94" s="9" t="s">
        <v>657</v>
      </c>
      <c r="K94" s="7" t="s">
        <v>603</v>
      </c>
      <c r="L94" s="10" t="s">
        <v>572</v>
      </c>
    </row>
    <row r="95" customFormat="false" ht="69.75" hidden="false" customHeight="true" outlineLevel="0" collapsed="false">
      <c r="A95" s="7" t="s">
        <v>658</v>
      </c>
      <c r="B95" s="7" t="s">
        <v>659</v>
      </c>
      <c r="C95" s="7" t="s">
        <v>162</v>
      </c>
      <c r="D95" s="7" t="s">
        <v>660</v>
      </c>
      <c r="E95" s="7" t="s">
        <v>108</v>
      </c>
      <c r="F95" s="7" t="s">
        <v>628</v>
      </c>
      <c r="G95" s="7" t="s">
        <v>629</v>
      </c>
      <c r="H95" s="7" t="s">
        <v>630</v>
      </c>
      <c r="I95" s="7" t="s">
        <v>661</v>
      </c>
      <c r="J95" s="9" t="s">
        <v>662</v>
      </c>
      <c r="K95" s="7" t="s">
        <v>603</v>
      </c>
      <c r="L95" s="10" t="s">
        <v>572</v>
      </c>
    </row>
    <row r="96" customFormat="false" ht="69.75" hidden="false" customHeight="true" outlineLevel="0" collapsed="false">
      <c r="A96" s="7" t="s">
        <v>663</v>
      </c>
      <c r="B96" s="7" t="s">
        <v>664</v>
      </c>
      <c r="C96" s="7" t="s">
        <v>162</v>
      </c>
      <c r="D96" s="7" t="s">
        <v>665</v>
      </c>
      <c r="E96" s="7" t="s">
        <v>108</v>
      </c>
      <c r="F96" s="7" t="s">
        <v>628</v>
      </c>
      <c r="G96" s="7" t="s">
        <v>629</v>
      </c>
      <c r="H96" s="7" t="s">
        <v>630</v>
      </c>
      <c r="I96" s="7" t="s">
        <v>666</v>
      </c>
      <c r="J96" s="9" t="s">
        <v>667</v>
      </c>
      <c r="K96" s="7" t="s">
        <v>603</v>
      </c>
      <c r="L96" s="10" t="s">
        <v>572</v>
      </c>
    </row>
    <row r="97" customFormat="false" ht="69.75" hidden="false" customHeight="true" outlineLevel="0" collapsed="false">
      <c r="A97" s="7" t="s">
        <v>668</v>
      </c>
      <c r="B97" s="7" t="s">
        <v>669</v>
      </c>
      <c r="C97" s="7" t="s">
        <v>162</v>
      </c>
      <c r="D97" s="7" t="s">
        <v>670</v>
      </c>
      <c r="E97" s="7" t="s">
        <v>108</v>
      </c>
      <c r="F97" s="7" t="s">
        <v>628</v>
      </c>
      <c r="G97" s="7" t="s">
        <v>629</v>
      </c>
      <c r="H97" s="7" t="s">
        <v>630</v>
      </c>
      <c r="I97" s="7" t="s">
        <v>671</v>
      </c>
      <c r="J97" s="9" t="s">
        <v>672</v>
      </c>
      <c r="K97" s="7" t="s">
        <v>603</v>
      </c>
      <c r="L97" s="10" t="s">
        <v>572</v>
      </c>
    </row>
    <row r="98" customFormat="false" ht="87" hidden="false" customHeight="true" outlineLevel="0" collapsed="false">
      <c r="A98" s="7" t="s">
        <v>673</v>
      </c>
      <c r="B98" s="7" t="s">
        <v>674</v>
      </c>
      <c r="C98" s="7" t="s">
        <v>162</v>
      </c>
      <c r="D98" s="7" t="s">
        <v>675</v>
      </c>
      <c r="E98" s="7" t="s">
        <v>108</v>
      </c>
      <c r="F98" s="7" t="s">
        <v>628</v>
      </c>
      <c r="G98" s="7" t="s">
        <v>629</v>
      </c>
      <c r="H98" s="7" t="s">
        <v>630</v>
      </c>
      <c r="I98" s="7" t="s">
        <v>676</v>
      </c>
      <c r="J98" s="9" t="s">
        <v>677</v>
      </c>
      <c r="K98" s="7" t="s">
        <v>603</v>
      </c>
      <c r="L98" s="10" t="s">
        <v>572</v>
      </c>
    </row>
    <row r="99" customFormat="false" ht="87" hidden="false" customHeight="true" outlineLevel="0" collapsed="false">
      <c r="A99" s="7" t="s">
        <v>678</v>
      </c>
      <c r="B99" s="7" t="s">
        <v>679</v>
      </c>
      <c r="C99" s="7" t="s">
        <v>162</v>
      </c>
      <c r="D99" s="7" t="s">
        <v>680</v>
      </c>
      <c r="E99" s="7" t="s">
        <v>108</v>
      </c>
      <c r="F99" s="7" t="s">
        <v>628</v>
      </c>
      <c r="G99" s="7" t="s">
        <v>629</v>
      </c>
      <c r="H99" s="7" t="s">
        <v>630</v>
      </c>
      <c r="I99" s="7" t="s">
        <v>681</v>
      </c>
      <c r="J99" s="9" t="s">
        <v>682</v>
      </c>
      <c r="K99" s="7" t="s">
        <v>603</v>
      </c>
      <c r="L99" s="10" t="s">
        <v>572</v>
      </c>
    </row>
    <row r="100" customFormat="false" ht="35.25" hidden="false" customHeight="true" outlineLevel="0" collapsed="false">
      <c r="A100" s="7" t="s">
        <v>683</v>
      </c>
      <c r="B100" s="7" t="s">
        <v>684</v>
      </c>
      <c r="C100" s="7" t="s">
        <v>162</v>
      </c>
      <c r="D100" s="7" t="s">
        <v>685</v>
      </c>
      <c r="E100" s="7" t="s">
        <v>108</v>
      </c>
      <c r="F100" s="7" t="s">
        <v>318</v>
      </c>
      <c r="G100" s="7" t="s">
        <v>319</v>
      </c>
      <c r="H100" s="7" t="s">
        <v>320</v>
      </c>
      <c r="I100" s="7" t="s">
        <v>686</v>
      </c>
      <c r="J100" s="9" t="s">
        <v>687</v>
      </c>
      <c r="K100" s="7" t="s">
        <v>688</v>
      </c>
      <c r="L100" s="11" t="s">
        <v>180</v>
      </c>
    </row>
    <row r="101" customFormat="false" ht="69.75" hidden="false" customHeight="true" outlineLevel="0" collapsed="false">
      <c r="A101" s="7" t="s">
        <v>689</v>
      </c>
      <c r="B101" s="7" t="s">
        <v>690</v>
      </c>
      <c r="C101" s="7" t="s">
        <v>162</v>
      </c>
      <c r="D101" s="7" t="s">
        <v>691</v>
      </c>
      <c r="E101" s="7" t="s">
        <v>108</v>
      </c>
      <c r="F101" s="7" t="s">
        <v>318</v>
      </c>
      <c r="G101" s="7" t="s">
        <v>319</v>
      </c>
      <c r="H101" s="7" t="s">
        <v>320</v>
      </c>
      <c r="I101" s="7" t="s">
        <v>692</v>
      </c>
      <c r="J101" s="9" t="s">
        <v>693</v>
      </c>
      <c r="K101" s="7" t="s">
        <v>688</v>
      </c>
      <c r="L101" s="12" t="s">
        <v>186</v>
      </c>
    </row>
    <row r="102" customFormat="false" ht="87" hidden="false" customHeight="true" outlineLevel="0" collapsed="false">
      <c r="A102" s="7" t="s">
        <v>694</v>
      </c>
      <c r="B102" s="7" t="s">
        <v>695</v>
      </c>
      <c r="C102" s="7" t="s">
        <v>162</v>
      </c>
      <c r="D102" s="7" t="s">
        <v>696</v>
      </c>
      <c r="E102" s="7" t="s">
        <v>108</v>
      </c>
      <c r="F102" s="7" t="s">
        <v>318</v>
      </c>
      <c r="G102" s="7" t="s">
        <v>319</v>
      </c>
      <c r="H102" s="7" t="s">
        <v>320</v>
      </c>
      <c r="I102" s="7" t="s">
        <v>697</v>
      </c>
      <c r="J102" s="9" t="s">
        <v>698</v>
      </c>
      <c r="K102" s="7" t="s">
        <v>688</v>
      </c>
      <c r="L102" s="11" t="s">
        <v>180</v>
      </c>
    </row>
    <row r="103" customFormat="false" ht="87" hidden="false" customHeight="true" outlineLevel="0" collapsed="false">
      <c r="A103" s="7" t="s">
        <v>699</v>
      </c>
      <c r="B103" s="7" t="s">
        <v>700</v>
      </c>
      <c r="C103" s="7" t="s">
        <v>162</v>
      </c>
      <c r="D103" s="7" t="s">
        <v>701</v>
      </c>
      <c r="E103" s="7" t="s">
        <v>108</v>
      </c>
      <c r="F103" s="7" t="s">
        <v>318</v>
      </c>
      <c r="G103" s="7" t="s">
        <v>319</v>
      </c>
      <c r="H103" s="7" t="s">
        <v>320</v>
      </c>
      <c r="I103" s="7" t="s">
        <v>702</v>
      </c>
      <c r="J103" s="9" t="s">
        <v>703</v>
      </c>
      <c r="K103" s="7" t="s">
        <v>688</v>
      </c>
      <c r="L103" s="12" t="s">
        <v>186</v>
      </c>
    </row>
    <row r="104" customFormat="false" ht="87" hidden="false" customHeight="true" outlineLevel="0" collapsed="false">
      <c r="A104" s="7" t="s">
        <v>704</v>
      </c>
      <c r="B104" s="7" t="s">
        <v>705</v>
      </c>
      <c r="C104" s="7" t="s">
        <v>162</v>
      </c>
      <c r="D104" s="7" t="s">
        <v>706</v>
      </c>
      <c r="E104" s="7" t="s">
        <v>108</v>
      </c>
      <c r="F104" s="7" t="s">
        <v>318</v>
      </c>
      <c r="G104" s="7" t="s">
        <v>319</v>
      </c>
      <c r="H104" s="7" t="s">
        <v>320</v>
      </c>
      <c r="I104" s="7" t="s">
        <v>707</v>
      </c>
      <c r="J104" s="9" t="s">
        <v>708</v>
      </c>
      <c r="K104" s="7" t="s">
        <v>688</v>
      </c>
      <c r="L104" s="11" t="s">
        <v>180</v>
      </c>
    </row>
    <row r="105" customFormat="false" ht="87" hidden="false" customHeight="true" outlineLevel="0" collapsed="false">
      <c r="A105" s="7" t="s">
        <v>709</v>
      </c>
      <c r="B105" s="7" t="s">
        <v>710</v>
      </c>
      <c r="C105" s="7" t="s">
        <v>162</v>
      </c>
      <c r="D105" s="7" t="s">
        <v>711</v>
      </c>
      <c r="E105" s="7" t="s">
        <v>108</v>
      </c>
      <c r="F105" s="7" t="s">
        <v>318</v>
      </c>
      <c r="G105" s="7" t="s">
        <v>319</v>
      </c>
      <c r="H105" s="7" t="s">
        <v>320</v>
      </c>
      <c r="I105" s="7" t="s">
        <v>712</v>
      </c>
      <c r="J105" s="9" t="s">
        <v>713</v>
      </c>
      <c r="K105" s="7" t="s">
        <v>688</v>
      </c>
      <c r="L105" s="12" t="s">
        <v>186</v>
      </c>
    </row>
    <row r="106" customFormat="false" ht="87" hidden="false" customHeight="true" outlineLevel="0" collapsed="false">
      <c r="A106" s="7" t="s">
        <v>714</v>
      </c>
      <c r="B106" s="7" t="s">
        <v>715</v>
      </c>
      <c r="C106" s="7" t="s">
        <v>162</v>
      </c>
      <c r="D106" s="7" t="s">
        <v>716</v>
      </c>
      <c r="E106" s="7" t="s">
        <v>108</v>
      </c>
      <c r="F106" s="7" t="s">
        <v>318</v>
      </c>
      <c r="G106" s="7" t="s">
        <v>319</v>
      </c>
      <c r="H106" s="7" t="s">
        <v>320</v>
      </c>
      <c r="I106" s="7" t="s">
        <v>717</v>
      </c>
      <c r="J106" s="9" t="s">
        <v>718</v>
      </c>
      <c r="K106" s="7" t="s">
        <v>688</v>
      </c>
      <c r="L106" s="12" t="s">
        <v>186</v>
      </c>
    </row>
    <row r="107" customFormat="false" ht="35.25" hidden="false" customHeight="true" outlineLevel="0" collapsed="false">
      <c r="A107" s="7" t="s">
        <v>719</v>
      </c>
      <c r="B107" s="7" t="s">
        <v>720</v>
      </c>
      <c r="C107" s="7" t="s">
        <v>162</v>
      </c>
      <c r="D107" s="7" t="s">
        <v>721</v>
      </c>
      <c r="E107" s="7" t="s">
        <v>108</v>
      </c>
      <c r="F107" s="7" t="s">
        <v>318</v>
      </c>
      <c r="G107" s="7" t="s">
        <v>319</v>
      </c>
      <c r="H107" s="7" t="s">
        <v>320</v>
      </c>
      <c r="I107" s="7" t="s">
        <v>722</v>
      </c>
      <c r="J107" s="9" t="s">
        <v>723</v>
      </c>
      <c r="K107" s="7" t="s">
        <v>724</v>
      </c>
      <c r="L107" s="11" t="s">
        <v>180</v>
      </c>
    </row>
    <row r="108" customFormat="false" ht="69.75" hidden="false" customHeight="true" outlineLevel="0" collapsed="false">
      <c r="A108" s="7" t="s">
        <v>725</v>
      </c>
      <c r="B108" s="7" t="s">
        <v>726</v>
      </c>
      <c r="C108" s="7" t="s">
        <v>162</v>
      </c>
      <c r="D108" s="7" t="s">
        <v>727</v>
      </c>
      <c r="E108" s="7" t="s">
        <v>108</v>
      </c>
      <c r="F108" s="7" t="s">
        <v>318</v>
      </c>
      <c r="G108" s="7" t="s">
        <v>319</v>
      </c>
      <c r="H108" s="7" t="s">
        <v>320</v>
      </c>
      <c r="I108" s="7" t="s">
        <v>728</v>
      </c>
      <c r="J108" s="9" t="s">
        <v>729</v>
      </c>
      <c r="K108" s="7" t="s">
        <v>724</v>
      </c>
      <c r="L108" s="11" t="s">
        <v>180</v>
      </c>
    </row>
    <row r="109" customFormat="false" ht="69.75" hidden="false" customHeight="true" outlineLevel="0" collapsed="false">
      <c r="A109" s="7" t="s">
        <v>730</v>
      </c>
      <c r="B109" s="7" t="s">
        <v>731</v>
      </c>
      <c r="C109" s="7" t="s">
        <v>162</v>
      </c>
      <c r="D109" s="7" t="s">
        <v>732</v>
      </c>
      <c r="E109" s="7" t="s">
        <v>108</v>
      </c>
      <c r="F109" s="7" t="s">
        <v>318</v>
      </c>
      <c r="G109" s="7" t="s">
        <v>319</v>
      </c>
      <c r="H109" s="7" t="s">
        <v>320</v>
      </c>
      <c r="I109" s="7" t="s">
        <v>733</v>
      </c>
      <c r="J109" s="9" t="s">
        <v>734</v>
      </c>
      <c r="K109" s="7" t="s">
        <v>724</v>
      </c>
      <c r="L109" s="12" t="s">
        <v>186</v>
      </c>
    </row>
    <row r="110" customFormat="false" ht="69.75" hidden="false" customHeight="true" outlineLevel="0" collapsed="false">
      <c r="A110" s="7" t="s">
        <v>735</v>
      </c>
      <c r="B110" s="7" t="s">
        <v>736</v>
      </c>
      <c r="C110" s="7" t="s">
        <v>162</v>
      </c>
      <c r="D110" s="7" t="s">
        <v>737</v>
      </c>
      <c r="E110" s="7" t="s">
        <v>108</v>
      </c>
      <c r="F110" s="7" t="s">
        <v>318</v>
      </c>
      <c r="G110" s="7" t="s">
        <v>319</v>
      </c>
      <c r="H110" s="7" t="s">
        <v>320</v>
      </c>
      <c r="I110" s="7" t="s">
        <v>738</v>
      </c>
      <c r="J110" s="9" t="s">
        <v>739</v>
      </c>
      <c r="K110" s="7" t="s">
        <v>724</v>
      </c>
      <c r="L110" s="12" t="s">
        <v>186</v>
      </c>
    </row>
    <row r="111" customFormat="false" ht="69.75" hidden="false" customHeight="true" outlineLevel="0" collapsed="false">
      <c r="A111" s="7" t="s">
        <v>740</v>
      </c>
      <c r="B111" s="7" t="s">
        <v>741</v>
      </c>
      <c r="C111" s="7" t="s">
        <v>162</v>
      </c>
      <c r="D111" s="7" t="s">
        <v>742</v>
      </c>
      <c r="E111" s="7" t="s">
        <v>108</v>
      </c>
      <c r="F111" s="7" t="s">
        <v>318</v>
      </c>
      <c r="G111" s="7" t="s">
        <v>319</v>
      </c>
      <c r="H111" s="7" t="s">
        <v>320</v>
      </c>
      <c r="I111" s="7" t="s">
        <v>743</v>
      </c>
      <c r="J111" s="9" t="s">
        <v>744</v>
      </c>
      <c r="K111" s="7" t="s">
        <v>724</v>
      </c>
      <c r="L111" s="12" t="s">
        <v>186</v>
      </c>
    </row>
    <row r="112" customFormat="false" ht="35.25" hidden="false" customHeight="true" outlineLevel="0" collapsed="false">
      <c r="A112" s="7" t="s">
        <v>745</v>
      </c>
      <c r="B112" s="7" t="s">
        <v>746</v>
      </c>
      <c r="C112" s="7" t="s">
        <v>162</v>
      </c>
      <c r="D112" s="7" t="s">
        <v>747</v>
      </c>
      <c r="E112" s="7" t="s">
        <v>108</v>
      </c>
      <c r="F112" s="7" t="s">
        <v>748</v>
      </c>
      <c r="G112" s="7" t="s">
        <v>749</v>
      </c>
      <c r="H112" s="7" t="s">
        <v>750</v>
      </c>
      <c r="I112" s="7" t="s">
        <v>751</v>
      </c>
      <c r="J112" s="9" t="s">
        <v>752</v>
      </c>
      <c r="K112" s="7" t="s">
        <v>603</v>
      </c>
      <c r="L112" s="12" t="s">
        <v>186</v>
      </c>
    </row>
    <row r="113" customFormat="false" ht="69.75" hidden="false" customHeight="true" outlineLevel="0" collapsed="false">
      <c r="A113" s="7" t="s">
        <v>753</v>
      </c>
      <c r="B113" s="7" t="s">
        <v>754</v>
      </c>
      <c r="C113" s="7" t="s">
        <v>162</v>
      </c>
      <c r="D113" s="7" t="s">
        <v>755</v>
      </c>
      <c r="E113" s="7" t="s">
        <v>108</v>
      </c>
      <c r="F113" s="7" t="s">
        <v>748</v>
      </c>
      <c r="G113" s="7" t="s">
        <v>749</v>
      </c>
      <c r="H113" s="7" t="s">
        <v>750</v>
      </c>
      <c r="I113" s="7" t="s">
        <v>756</v>
      </c>
      <c r="J113" s="9" t="s">
        <v>757</v>
      </c>
      <c r="K113" s="7" t="s">
        <v>603</v>
      </c>
      <c r="L113" s="12" t="s">
        <v>186</v>
      </c>
    </row>
    <row r="114" customFormat="false" ht="35.25" hidden="false" customHeight="true" outlineLevel="0" collapsed="false">
      <c r="A114" s="7" t="s">
        <v>758</v>
      </c>
      <c r="B114" s="7" t="s">
        <v>759</v>
      </c>
      <c r="C114" s="7" t="s">
        <v>162</v>
      </c>
      <c r="D114" s="7" t="s">
        <v>760</v>
      </c>
      <c r="E114" s="7" t="s">
        <v>108</v>
      </c>
      <c r="F114" s="7" t="s">
        <v>318</v>
      </c>
      <c r="G114" s="7" t="s">
        <v>319</v>
      </c>
      <c r="H114" s="7" t="s">
        <v>320</v>
      </c>
      <c r="I114" s="7" t="s">
        <v>761</v>
      </c>
      <c r="J114" s="9" t="s">
        <v>762</v>
      </c>
      <c r="K114" s="7" t="s">
        <v>323</v>
      </c>
      <c r="L114" s="12" t="s">
        <v>186</v>
      </c>
    </row>
    <row r="115" customFormat="false" ht="69.75" hidden="false" customHeight="true" outlineLevel="0" collapsed="false">
      <c r="A115" s="7" t="s">
        <v>763</v>
      </c>
      <c r="B115" s="7" t="s">
        <v>764</v>
      </c>
      <c r="C115" s="7" t="s">
        <v>162</v>
      </c>
      <c r="D115" s="7" t="s">
        <v>765</v>
      </c>
      <c r="E115" s="7" t="s">
        <v>108</v>
      </c>
      <c r="F115" s="7" t="s">
        <v>318</v>
      </c>
      <c r="G115" s="7" t="s">
        <v>319</v>
      </c>
      <c r="H115" s="7" t="s">
        <v>320</v>
      </c>
      <c r="I115" s="7" t="s">
        <v>766</v>
      </c>
      <c r="J115" s="9" t="s">
        <v>767</v>
      </c>
      <c r="K115" s="7" t="s">
        <v>323</v>
      </c>
      <c r="L115" s="10" t="s">
        <v>572</v>
      </c>
    </row>
    <row r="116" customFormat="false" ht="69.75" hidden="false" customHeight="true" outlineLevel="0" collapsed="false">
      <c r="A116" s="7" t="s">
        <v>768</v>
      </c>
      <c r="B116" s="7" t="s">
        <v>769</v>
      </c>
      <c r="C116" s="7" t="s">
        <v>162</v>
      </c>
      <c r="D116" s="7" t="s">
        <v>770</v>
      </c>
      <c r="E116" s="7" t="s">
        <v>108</v>
      </c>
      <c r="F116" s="7" t="s">
        <v>318</v>
      </c>
      <c r="G116" s="7" t="s">
        <v>319</v>
      </c>
      <c r="H116" s="7" t="s">
        <v>320</v>
      </c>
      <c r="I116" s="7" t="s">
        <v>771</v>
      </c>
      <c r="J116" s="9" t="s">
        <v>772</v>
      </c>
      <c r="K116" s="7" t="s">
        <v>323</v>
      </c>
      <c r="L116" s="10" t="s">
        <v>572</v>
      </c>
    </row>
    <row r="117" customFormat="false" ht="87" hidden="false" customHeight="true" outlineLevel="0" collapsed="false">
      <c r="A117" s="7" t="s">
        <v>773</v>
      </c>
      <c r="B117" s="7" t="s">
        <v>774</v>
      </c>
      <c r="C117" s="7" t="s">
        <v>162</v>
      </c>
      <c r="D117" s="7" t="s">
        <v>775</v>
      </c>
      <c r="E117" s="7" t="s">
        <v>108</v>
      </c>
      <c r="F117" s="7" t="s">
        <v>318</v>
      </c>
      <c r="G117" s="7" t="s">
        <v>319</v>
      </c>
      <c r="H117" s="7" t="s">
        <v>320</v>
      </c>
      <c r="I117" s="7" t="s">
        <v>776</v>
      </c>
      <c r="J117" s="9" t="s">
        <v>777</v>
      </c>
      <c r="K117" s="7" t="s">
        <v>323</v>
      </c>
      <c r="L117" s="10" t="s">
        <v>572</v>
      </c>
    </row>
    <row r="118" customFormat="false" ht="87" hidden="false" customHeight="true" outlineLevel="0" collapsed="false">
      <c r="A118" s="7" t="s">
        <v>778</v>
      </c>
      <c r="B118" s="7" t="s">
        <v>779</v>
      </c>
      <c r="C118" s="7" t="s">
        <v>162</v>
      </c>
      <c r="D118" s="7" t="s">
        <v>780</v>
      </c>
      <c r="E118" s="7" t="s">
        <v>108</v>
      </c>
      <c r="F118" s="7" t="s">
        <v>318</v>
      </c>
      <c r="G118" s="7" t="s">
        <v>319</v>
      </c>
      <c r="H118" s="7" t="s">
        <v>320</v>
      </c>
      <c r="I118" s="7" t="s">
        <v>781</v>
      </c>
      <c r="J118" s="9" t="s">
        <v>782</v>
      </c>
      <c r="K118" s="7" t="s">
        <v>323</v>
      </c>
      <c r="L118" s="10" t="s">
        <v>572</v>
      </c>
    </row>
    <row r="119" customFormat="false" ht="69.75" hidden="false" customHeight="true" outlineLevel="0" collapsed="false">
      <c r="A119" s="7" t="s">
        <v>783</v>
      </c>
      <c r="B119" s="7" t="s">
        <v>784</v>
      </c>
      <c r="C119" s="7" t="s">
        <v>162</v>
      </c>
      <c r="D119" s="7" t="s">
        <v>785</v>
      </c>
      <c r="E119" s="7" t="s">
        <v>108</v>
      </c>
      <c r="F119" s="7" t="s">
        <v>318</v>
      </c>
      <c r="G119" s="7" t="s">
        <v>319</v>
      </c>
      <c r="H119" s="7" t="s">
        <v>320</v>
      </c>
      <c r="I119" s="7" t="s">
        <v>786</v>
      </c>
      <c r="J119" s="9" t="s">
        <v>787</v>
      </c>
      <c r="K119" s="7" t="s">
        <v>323</v>
      </c>
      <c r="L119" s="10" t="s">
        <v>572</v>
      </c>
    </row>
    <row r="120" customFormat="false" ht="35.25" hidden="false" customHeight="true" outlineLevel="0" collapsed="false">
      <c r="A120" s="7" t="s">
        <v>788</v>
      </c>
      <c r="B120" s="7" t="s">
        <v>789</v>
      </c>
      <c r="C120" s="7" t="s">
        <v>162</v>
      </c>
      <c r="D120" s="7" t="s">
        <v>790</v>
      </c>
      <c r="E120" s="7" t="s">
        <v>108</v>
      </c>
      <c r="F120" s="7" t="s">
        <v>628</v>
      </c>
      <c r="G120" s="7" t="s">
        <v>629</v>
      </c>
      <c r="H120" s="7" t="s">
        <v>630</v>
      </c>
      <c r="I120" s="7" t="s">
        <v>791</v>
      </c>
      <c r="J120" s="9" t="s">
        <v>792</v>
      </c>
      <c r="K120" s="7" t="s">
        <v>603</v>
      </c>
      <c r="L120" s="10" t="s">
        <v>572</v>
      </c>
    </row>
    <row r="121" customFormat="false" ht="69.75" hidden="false" customHeight="true" outlineLevel="0" collapsed="false">
      <c r="A121" s="7" t="s">
        <v>793</v>
      </c>
      <c r="B121" s="7" t="s">
        <v>794</v>
      </c>
      <c r="C121" s="7" t="s">
        <v>162</v>
      </c>
      <c r="D121" s="7" t="s">
        <v>795</v>
      </c>
      <c r="E121" s="7" t="s">
        <v>108</v>
      </c>
      <c r="F121" s="7" t="s">
        <v>628</v>
      </c>
      <c r="G121" s="7" t="s">
        <v>629</v>
      </c>
      <c r="H121" s="7" t="s">
        <v>630</v>
      </c>
      <c r="I121" s="7" t="s">
        <v>796</v>
      </c>
      <c r="J121" s="9" t="s">
        <v>797</v>
      </c>
      <c r="K121" s="7" t="s">
        <v>603</v>
      </c>
      <c r="L121" s="10" t="s">
        <v>572</v>
      </c>
    </row>
    <row r="122" customFormat="false" ht="69.75" hidden="false" customHeight="true" outlineLevel="0" collapsed="false">
      <c r="A122" s="7" t="s">
        <v>798</v>
      </c>
      <c r="B122" s="7" t="s">
        <v>799</v>
      </c>
      <c r="C122" s="7" t="s">
        <v>162</v>
      </c>
      <c r="D122" s="7" t="s">
        <v>800</v>
      </c>
      <c r="E122" s="7" t="s">
        <v>108</v>
      </c>
      <c r="F122" s="7" t="s">
        <v>628</v>
      </c>
      <c r="G122" s="7" t="s">
        <v>629</v>
      </c>
      <c r="H122" s="7" t="s">
        <v>630</v>
      </c>
      <c r="I122" s="7" t="s">
        <v>801</v>
      </c>
      <c r="J122" s="9" t="s">
        <v>802</v>
      </c>
      <c r="K122" s="7" t="s">
        <v>603</v>
      </c>
      <c r="L122" s="10" t="s">
        <v>572</v>
      </c>
    </row>
    <row r="123" customFormat="false" ht="35.25" hidden="false" customHeight="true" outlineLevel="0" collapsed="false">
      <c r="A123" s="7" t="s">
        <v>803</v>
      </c>
      <c r="B123" s="7" t="s">
        <v>804</v>
      </c>
      <c r="C123" s="7" t="s">
        <v>162</v>
      </c>
      <c r="D123" s="7" t="s">
        <v>805</v>
      </c>
      <c r="E123" s="7" t="s">
        <v>108</v>
      </c>
      <c r="F123" s="7" t="s">
        <v>628</v>
      </c>
      <c r="G123" s="7" t="s">
        <v>629</v>
      </c>
      <c r="H123" s="7" t="s">
        <v>630</v>
      </c>
      <c r="I123" s="7" t="s">
        <v>806</v>
      </c>
      <c r="J123" s="9" t="s">
        <v>807</v>
      </c>
      <c r="K123" s="7" t="s">
        <v>808</v>
      </c>
      <c r="L123" s="12" t="s">
        <v>186</v>
      </c>
    </row>
    <row r="124" customFormat="false" ht="35.25" hidden="false" customHeight="true" outlineLevel="0" collapsed="false">
      <c r="A124" s="7" t="s">
        <v>809</v>
      </c>
      <c r="B124" s="7" t="s">
        <v>810</v>
      </c>
      <c r="C124" s="7" t="s">
        <v>162</v>
      </c>
      <c r="D124" s="7" t="s">
        <v>811</v>
      </c>
      <c r="E124" s="7" t="s">
        <v>108</v>
      </c>
      <c r="F124" s="7" t="s">
        <v>628</v>
      </c>
      <c r="G124" s="7" t="s">
        <v>629</v>
      </c>
      <c r="H124" s="7" t="s">
        <v>630</v>
      </c>
      <c r="I124" s="7" t="s">
        <v>812</v>
      </c>
      <c r="J124" s="9" t="s">
        <v>813</v>
      </c>
      <c r="K124" s="7" t="s">
        <v>814</v>
      </c>
      <c r="L124" s="10" t="s">
        <v>572</v>
      </c>
    </row>
    <row r="125" customFormat="false" ht="52.5" hidden="false" customHeight="true" outlineLevel="0" collapsed="false">
      <c r="A125" s="7" t="s">
        <v>815</v>
      </c>
      <c r="B125" s="7" t="s">
        <v>816</v>
      </c>
      <c r="C125" s="7" t="s">
        <v>162</v>
      </c>
      <c r="D125" s="7" t="s">
        <v>817</v>
      </c>
      <c r="E125" s="7" t="s">
        <v>108</v>
      </c>
      <c r="F125" s="7" t="s">
        <v>174</v>
      </c>
      <c r="G125" s="7" t="s">
        <v>245</v>
      </c>
      <c r="H125" s="7" t="s">
        <v>246</v>
      </c>
      <c r="I125" s="7" t="s">
        <v>818</v>
      </c>
      <c r="J125" s="9" t="s">
        <v>819</v>
      </c>
      <c r="K125" s="7" t="s">
        <v>820</v>
      </c>
      <c r="L125" s="10" t="s">
        <v>572</v>
      </c>
    </row>
    <row r="126" customFormat="false" ht="69.75" hidden="false" customHeight="true" outlineLevel="0" collapsed="false">
      <c r="A126" s="7" t="s">
        <v>821</v>
      </c>
      <c r="B126" s="7" t="s">
        <v>822</v>
      </c>
      <c r="C126" s="7" t="s">
        <v>162</v>
      </c>
      <c r="D126" s="7" t="s">
        <v>823</v>
      </c>
      <c r="E126" s="7" t="s">
        <v>108</v>
      </c>
      <c r="F126" s="7" t="s">
        <v>174</v>
      </c>
      <c r="G126" s="7" t="s">
        <v>245</v>
      </c>
      <c r="H126" s="7" t="s">
        <v>246</v>
      </c>
      <c r="I126" s="7" t="s">
        <v>824</v>
      </c>
      <c r="J126" s="9" t="s">
        <v>825</v>
      </c>
      <c r="K126" s="7" t="s">
        <v>820</v>
      </c>
      <c r="L126" s="10" t="s">
        <v>572</v>
      </c>
    </row>
    <row r="127" customFormat="false" ht="69.75" hidden="false" customHeight="true" outlineLevel="0" collapsed="false">
      <c r="A127" s="7" t="s">
        <v>826</v>
      </c>
      <c r="B127" s="7" t="s">
        <v>827</v>
      </c>
      <c r="C127" s="7" t="s">
        <v>162</v>
      </c>
      <c r="D127" s="7" t="s">
        <v>828</v>
      </c>
      <c r="E127" s="7" t="s">
        <v>108</v>
      </c>
      <c r="F127" s="7" t="s">
        <v>174</v>
      </c>
      <c r="G127" s="7" t="s">
        <v>245</v>
      </c>
      <c r="H127" s="7" t="s">
        <v>246</v>
      </c>
      <c r="I127" s="7" t="s">
        <v>829</v>
      </c>
      <c r="J127" s="9" t="s">
        <v>830</v>
      </c>
      <c r="K127" s="7" t="s">
        <v>820</v>
      </c>
      <c r="L127" s="10" t="s">
        <v>572</v>
      </c>
    </row>
    <row r="128" customFormat="false" ht="35.25" hidden="false" customHeight="true" outlineLevel="0" collapsed="false">
      <c r="A128" s="7" t="s">
        <v>831</v>
      </c>
      <c r="B128" s="7" t="s">
        <v>832</v>
      </c>
      <c r="C128" s="7" t="s">
        <v>162</v>
      </c>
      <c r="D128" s="7" t="s">
        <v>833</v>
      </c>
      <c r="E128" s="7" t="s">
        <v>108</v>
      </c>
      <c r="F128" s="7" t="s">
        <v>318</v>
      </c>
      <c r="G128" s="7" t="s">
        <v>319</v>
      </c>
      <c r="H128" s="7" t="s">
        <v>320</v>
      </c>
      <c r="I128" s="7" t="s">
        <v>834</v>
      </c>
      <c r="J128" s="9" t="s">
        <v>835</v>
      </c>
      <c r="K128" s="7" t="s">
        <v>603</v>
      </c>
      <c r="L128" s="10" t="s">
        <v>572</v>
      </c>
    </row>
    <row r="129" customFormat="false" ht="52.5" hidden="false" customHeight="true" outlineLevel="0" collapsed="false">
      <c r="A129" s="7" t="s">
        <v>836</v>
      </c>
      <c r="B129" s="7" t="s">
        <v>837</v>
      </c>
      <c r="C129" s="7" t="s">
        <v>838</v>
      </c>
      <c r="D129" s="7" t="s">
        <v>163</v>
      </c>
      <c r="E129" s="7" t="s">
        <v>100</v>
      </c>
      <c r="F129" s="7" t="s">
        <v>164</v>
      </c>
      <c r="G129" s="7" t="s">
        <v>165</v>
      </c>
      <c r="H129" s="7" t="s">
        <v>166</v>
      </c>
      <c r="I129" s="7" t="s">
        <v>839</v>
      </c>
      <c r="J129" s="9" t="s">
        <v>840</v>
      </c>
      <c r="K129" s="7" t="s">
        <v>169</v>
      </c>
      <c r="L129" s="10" t="s">
        <v>170</v>
      </c>
    </row>
    <row r="130" customFormat="false" ht="52.5" hidden="false" customHeight="true" outlineLevel="0" collapsed="false">
      <c r="A130" s="7" t="s">
        <v>841</v>
      </c>
      <c r="B130" s="7" t="s">
        <v>842</v>
      </c>
      <c r="C130" s="7" t="s">
        <v>838</v>
      </c>
      <c r="D130" s="7" t="s">
        <v>843</v>
      </c>
      <c r="E130" s="7" t="s">
        <v>108</v>
      </c>
      <c r="F130" s="7" t="s">
        <v>844</v>
      </c>
      <c r="G130" s="7" t="s">
        <v>845</v>
      </c>
      <c r="H130" s="7" t="s">
        <v>846</v>
      </c>
      <c r="I130" s="7" t="s">
        <v>847</v>
      </c>
      <c r="J130" s="9" t="s">
        <v>848</v>
      </c>
      <c r="K130" s="7" t="s">
        <v>169</v>
      </c>
      <c r="L130" s="10" t="s">
        <v>170</v>
      </c>
    </row>
    <row r="131" customFormat="false" ht="52.5" hidden="false" customHeight="true" outlineLevel="0" collapsed="false">
      <c r="A131" s="7" t="s">
        <v>849</v>
      </c>
      <c r="B131" s="7" t="s">
        <v>850</v>
      </c>
      <c r="C131" s="7" t="s">
        <v>838</v>
      </c>
      <c r="D131" s="7" t="s">
        <v>851</v>
      </c>
      <c r="E131" s="7" t="s">
        <v>108</v>
      </c>
      <c r="F131" s="7" t="s">
        <v>844</v>
      </c>
      <c r="G131" s="7" t="s">
        <v>845</v>
      </c>
      <c r="H131" s="7" t="s">
        <v>846</v>
      </c>
      <c r="I131" s="7" t="s">
        <v>852</v>
      </c>
      <c r="J131" s="9" t="s">
        <v>853</v>
      </c>
      <c r="K131" s="7" t="s">
        <v>169</v>
      </c>
      <c r="L131" s="10" t="s">
        <v>170</v>
      </c>
    </row>
    <row r="132" customFormat="false" ht="52.5" hidden="false" customHeight="true" outlineLevel="0" collapsed="false">
      <c r="A132" s="7" t="s">
        <v>854</v>
      </c>
      <c r="B132" s="7" t="s">
        <v>855</v>
      </c>
      <c r="C132" s="7" t="s">
        <v>838</v>
      </c>
      <c r="D132" s="7" t="s">
        <v>856</v>
      </c>
      <c r="E132" s="7" t="s">
        <v>108</v>
      </c>
      <c r="F132" s="7" t="s">
        <v>844</v>
      </c>
      <c r="G132" s="7" t="s">
        <v>845</v>
      </c>
      <c r="H132" s="7" t="s">
        <v>846</v>
      </c>
      <c r="I132" s="7" t="s">
        <v>857</v>
      </c>
      <c r="J132" s="9" t="s">
        <v>858</v>
      </c>
      <c r="K132" s="7" t="s">
        <v>169</v>
      </c>
      <c r="L132" s="10" t="s">
        <v>170</v>
      </c>
    </row>
    <row r="133" customFormat="false" ht="52.5" hidden="false" customHeight="true" outlineLevel="0" collapsed="false">
      <c r="A133" s="7" t="s">
        <v>859</v>
      </c>
      <c r="B133" s="7" t="s">
        <v>860</v>
      </c>
      <c r="C133" s="7" t="s">
        <v>838</v>
      </c>
      <c r="D133" s="7" t="s">
        <v>861</v>
      </c>
      <c r="E133" s="7" t="s">
        <v>108</v>
      </c>
      <c r="F133" s="7" t="s">
        <v>844</v>
      </c>
      <c r="G133" s="7" t="s">
        <v>845</v>
      </c>
      <c r="H133" s="7" t="s">
        <v>846</v>
      </c>
      <c r="I133" s="7" t="s">
        <v>862</v>
      </c>
      <c r="J133" s="9" t="s">
        <v>863</v>
      </c>
      <c r="K133" s="7" t="s">
        <v>169</v>
      </c>
      <c r="L133" s="10" t="s">
        <v>170</v>
      </c>
    </row>
    <row r="134" customFormat="false" ht="52.5" hidden="false" customHeight="true" outlineLevel="0" collapsed="false">
      <c r="A134" s="7" t="s">
        <v>864</v>
      </c>
      <c r="B134" s="7" t="s">
        <v>865</v>
      </c>
      <c r="C134" s="7" t="s">
        <v>838</v>
      </c>
      <c r="D134" s="7" t="s">
        <v>866</v>
      </c>
      <c r="E134" s="7" t="s">
        <v>108</v>
      </c>
      <c r="F134" s="7" t="s">
        <v>844</v>
      </c>
      <c r="G134" s="7" t="s">
        <v>845</v>
      </c>
      <c r="H134" s="7" t="s">
        <v>846</v>
      </c>
      <c r="I134" s="7" t="s">
        <v>867</v>
      </c>
      <c r="J134" s="9" t="s">
        <v>868</v>
      </c>
      <c r="K134" s="7" t="s">
        <v>169</v>
      </c>
      <c r="L134" s="10" t="s">
        <v>170</v>
      </c>
    </row>
    <row r="135" customFormat="false" ht="52.5" hidden="false" customHeight="true" outlineLevel="0" collapsed="false">
      <c r="A135" s="7" t="s">
        <v>869</v>
      </c>
      <c r="B135" s="7" t="s">
        <v>870</v>
      </c>
      <c r="C135" s="7" t="s">
        <v>838</v>
      </c>
      <c r="D135" s="7" t="s">
        <v>871</v>
      </c>
      <c r="E135" s="7" t="s">
        <v>108</v>
      </c>
      <c r="F135" s="7" t="s">
        <v>844</v>
      </c>
      <c r="G135" s="7" t="s">
        <v>845</v>
      </c>
      <c r="H135" s="7" t="s">
        <v>846</v>
      </c>
      <c r="I135" s="7" t="s">
        <v>872</v>
      </c>
      <c r="J135" s="9" t="s">
        <v>873</v>
      </c>
      <c r="K135" s="7" t="s">
        <v>169</v>
      </c>
      <c r="L135" s="10" t="s">
        <v>170</v>
      </c>
    </row>
    <row r="136" customFormat="false" ht="52.5" hidden="false" customHeight="true" outlineLevel="0" collapsed="false">
      <c r="A136" s="7" t="s">
        <v>874</v>
      </c>
      <c r="B136" s="7" t="s">
        <v>875</v>
      </c>
      <c r="C136" s="7" t="s">
        <v>838</v>
      </c>
      <c r="D136" s="7" t="s">
        <v>876</v>
      </c>
      <c r="E136" s="7" t="s">
        <v>108</v>
      </c>
      <c r="F136" s="7" t="s">
        <v>844</v>
      </c>
      <c r="G136" s="7" t="s">
        <v>845</v>
      </c>
      <c r="H136" s="7" t="s">
        <v>846</v>
      </c>
      <c r="I136" s="7" t="s">
        <v>877</v>
      </c>
      <c r="J136" s="9" t="s">
        <v>878</v>
      </c>
      <c r="K136" s="7" t="s">
        <v>169</v>
      </c>
      <c r="L136" s="10" t="s">
        <v>170</v>
      </c>
    </row>
    <row r="137" customFormat="false" ht="52.5" hidden="false" customHeight="true" outlineLevel="0" collapsed="false">
      <c r="A137" s="7" t="s">
        <v>879</v>
      </c>
      <c r="B137" s="7" t="s">
        <v>880</v>
      </c>
      <c r="C137" s="7" t="s">
        <v>838</v>
      </c>
      <c r="D137" s="7" t="s">
        <v>881</v>
      </c>
      <c r="E137" s="7" t="s">
        <v>108</v>
      </c>
      <c r="F137" s="7" t="s">
        <v>844</v>
      </c>
      <c r="G137" s="7" t="s">
        <v>882</v>
      </c>
      <c r="H137" s="7" t="s">
        <v>883</v>
      </c>
      <c r="I137" s="7" t="s">
        <v>884</v>
      </c>
      <c r="J137" s="9" t="s">
        <v>885</v>
      </c>
      <c r="K137" s="7" t="s">
        <v>169</v>
      </c>
      <c r="L137" s="10" t="s">
        <v>170</v>
      </c>
    </row>
    <row r="138" customFormat="false" ht="52.5" hidden="false" customHeight="true" outlineLevel="0" collapsed="false">
      <c r="A138" s="7" t="s">
        <v>886</v>
      </c>
      <c r="B138" s="7" t="s">
        <v>887</v>
      </c>
      <c r="C138" s="7" t="s">
        <v>838</v>
      </c>
      <c r="D138" s="7" t="s">
        <v>888</v>
      </c>
      <c r="E138" s="7" t="s">
        <v>108</v>
      </c>
      <c r="F138" s="7" t="s">
        <v>844</v>
      </c>
      <c r="G138" s="7" t="s">
        <v>882</v>
      </c>
      <c r="H138" s="7" t="s">
        <v>883</v>
      </c>
      <c r="I138" s="7" t="s">
        <v>889</v>
      </c>
      <c r="J138" s="9" t="s">
        <v>890</v>
      </c>
      <c r="K138" s="7" t="s">
        <v>169</v>
      </c>
      <c r="L138" s="10" t="s">
        <v>170</v>
      </c>
    </row>
    <row r="139" customFormat="false" ht="52.5" hidden="false" customHeight="true" outlineLevel="0" collapsed="false">
      <c r="A139" s="7" t="s">
        <v>891</v>
      </c>
      <c r="B139" s="7" t="s">
        <v>892</v>
      </c>
      <c r="C139" s="7" t="s">
        <v>838</v>
      </c>
      <c r="D139" s="7" t="s">
        <v>893</v>
      </c>
      <c r="E139" s="7" t="s">
        <v>108</v>
      </c>
      <c r="F139" s="7" t="s">
        <v>844</v>
      </c>
      <c r="G139" s="7" t="s">
        <v>882</v>
      </c>
      <c r="H139" s="7" t="s">
        <v>883</v>
      </c>
      <c r="I139" s="7" t="s">
        <v>894</v>
      </c>
      <c r="J139" s="9" t="s">
        <v>895</v>
      </c>
      <c r="K139" s="7" t="s">
        <v>169</v>
      </c>
      <c r="L139" s="10" t="s">
        <v>170</v>
      </c>
    </row>
    <row r="140" customFormat="false" ht="52.5" hidden="false" customHeight="true" outlineLevel="0" collapsed="false">
      <c r="A140" s="7" t="s">
        <v>896</v>
      </c>
      <c r="B140" s="7" t="s">
        <v>897</v>
      </c>
      <c r="C140" s="7" t="s">
        <v>838</v>
      </c>
      <c r="D140" s="7" t="s">
        <v>898</v>
      </c>
      <c r="E140" s="7" t="s">
        <v>108</v>
      </c>
      <c r="F140" s="7" t="s">
        <v>844</v>
      </c>
      <c r="G140" s="7" t="s">
        <v>882</v>
      </c>
      <c r="H140" s="7" t="s">
        <v>883</v>
      </c>
      <c r="I140" s="7" t="s">
        <v>899</v>
      </c>
      <c r="J140" s="9" t="s">
        <v>900</v>
      </c>
      <c r="K140" s="7" t="s">
        <v>169</v>
      </c>
      <c r="L140" s="10" t="s">
        <v>170</v>
      </c>
    </row>
    <row r="141" customFormat="false" ht="52.5" hidden="false" customHeight="true" outlineLevel="0" collapsed="false">
      <c r="A141" s="7" t="s">
        <v>901</v>
      </c>
      <c r="B141" s="7" t="s">
        <v>902</v>
      </c>
      <c r="C141" s="7" t="s">
        <v>838</v>
      </c>
      <c r="D141" s="7" t="s">
        <v>903</v>
      </c>
      <c r="E141" s="7" t="s">
        <v>108</v>
      </c>
      <c r="F141" s="7" t="s">
        <v>844</v>
      </c>
      <c r="G141" s="7" t="s">
        <v>882</v>
      </c>
      <c r="H141" s="7" t="s">
        <v>883</v>
      </c>
      <c r="I141" s="7" t="s">
        <v>904</v>
      </c>
      <c r="J141" s="9" t="s">
        <v>905</v>
      </c>
      <c r="K141" s="7" t="s">
        <v>169</v>
      </c>
      <c r="L141" s="10" t="s">
        <v>170</v>
      </c>
    </row>
    <row r="142" customFormat="false" ht="52.5" hidden="false" customHeight="true" outlineLevel="0" collapsed="false">
      <c r="A142" s="7" t="s">
        <v>906</v>
      </c>
      <c r="B142" s="7" t="s">
        <v>907</v>
      </c>
      <c r="C142" s="7" t="s">
        <v>838</v>
      </c>
      <c r="D142" s="7" t="s">
        <v>908</v>
      </c>
      <c r="E142" s="7" t="s">
        <v>108</v>
      </c>
      <c r="F142" s="7" t="s">
        <v>844</v>
      </c>
      <c r="G142" s="7" t="s">
        <v>882</v>
      </c>
      <c r="H142" s="7" t="s">
        <v>883</v>
      </c>
      <c r="I142" s="7" t="s">
        <v>909</v>
      </c>
      <c r="J142" s="9" t="s">
        <v>910</v>
      </c>
      <c r="K142" s="7" t="s">
        <v>169</v>
      </c>
      <c r="L142" s="10" t="s">
        <v>170</v>
      </c>
    </row>
    <row r="143" customFormat="false" ht="52.5" hidden="false" customHeight="true" outlineLevel="0" collapsed="false">
      <c r="A143" s="7" t="s">
        <v>911</v>
      </c>
      <c r="B143" s="7" t="s">
        <v>912</v>
      </c>
      <c r="C143" s="7" t="s">
        <v>838</v>
      </c>
      <c r="D143" s="7" t="s">
        <v>913</v>
      </c>
      <c r="E143" s="7" t="s">
        <v>108</v>
      </c>
      <c r="F143" s="7" t="s">
        <v>844</v>
      </c>
      <c r="G143" s="7" t="s">
        <v>845</v>
      </c>
      <c r="H143" s="7" t="s">
        <v>846</v>
      </c>
      <c r="I143" s="7" t="s">
        <v>914</v>
      </c>
      <c r="J143" s="9" t="s">
        <v>915</v>
      </c>
      <c r="K143" s="7" t="s">
        <v>169</v>
      </c>
      <c r="L143" s="10" t="s">
        <v>170</v>
      </c>
    </row>
    <row r="144" customFormat="false" ht="52.5" hidden="false" customHeight="true" outlineLevel="0" collapsed="false">
      <c r="A144" s="7" t="s">
        <v>916</v>
      </c>
      <c r="B144" s="7" t="s">
        <v>917</v>
      </c>
      <c r="C144" s="7" t="s">
        <v>838</v>
      </c>
      <c r="D144" s="7" t="s">
        <v>918</v>
      </c>
      <c r="E144" s="7" t="s">
        <v>108</v>
      </c>
      <c r="F144" s="7" t="s">
        <v>844</v>
      </c>
      <c r="G144" s="7" t="s">
        <v>845</v>
      </c>
      <c r="H144" s="7" t="s">
        <v>846</v>
      </c>
      <c r="I144" s="7" t="s">
        <v>919</v>
      </c>
      <c r="J144" s="9" t="s">
        <v>920</v>
      </c>
      <c r="K144" s="7" t="s">
        <v>169</v>
      </c>
      <c r="L144" s="10" t="s">
        <v>170</v>
      </c>
    </row>
    <row r="145" customFormat="false" ht="52.5" hidden="false" customHeight="true" outlineLevel="0" collapsed="false">
      <c r="A145" s="7" t="s">
        <v>921</v>
      </c>
      <c r="B145" s="7" t="s">
        <v>922</v>
      </c>
      <c r="C145" s="7" t="s">
        <v>923</v>
      </c>
      <c r="D145" s="7" t="s">
        <v>163</v>
      </c>
      <c r="E145" s="7" t="s">
        <v>100</v>
      </c>
      <c r="F145" s="7" t="s">
        <v>164</v>
      </c>
      <c r="G145" s="7" t="s">
        <v>165</v>
      </c>
      <c r="H145" s="7" t="s">
        <v>166</v>
      </c>
      <c r="I145" s="7" t="s">
        <v>924</v>
      </c>
      <c r="J145" s="9" t="s">
        <v>925</v>
      </c>
      <c r="K145" s="7" t="s">
        <v>169</v>
      </c>
      <c r="L145" s="10" t="s">
        <v>170</v>
      </c>
    </row>
    <row r="146" customFormat="false" ht="35.25" hidden="false" customHeight="true" outlineLevel="0" collapsed="false">
      <c r="A146" s="7" t="s">
        <v>926</v>
      </c>
      <c r="B146" s="7" t="s">
        <v>927</v>
      </c>
      <c r="C146" s="7" t="s">
        <v>923</v>
      </c>
      <c r="D146" s="7" t="s">
        <v>928</v>
      </c>
      <c r="E146" s="7" t="s">
        <v>108</v>
      </c>
      <c r="F146" s="7" t="s">
        <v>748</v>
      </c>
      <c r="G146" s="7" t="s">
        <v>929</v>
      </c>
      <c r="H146" s="7" t="s">
        <v>930</v>
      </c>
      <c r="I146" s="7" t="s">
        <v>931</v>
      </c>
      <c r="J146" s="9" t="s">
        <v>932</v>
      </c>
      <c r="K146" s="7" t="s">
        <v>933</v>
      </c>
      <c r="L146" s="11" t="s">
        <v>180</v>
      </c>
    </row>
    <row r="147" customFormat="false" ht="87" hidden="false" customHeight="true" outlineLevel="0" collapsed="false">
      <c r="A147" s="7" t="s">
        <v>934</v>
      </c>
      <c r="B147" s="7" t="s">
        <v>935</v>
      </c>
      <c r="C147" s="7" t="s">
        <v>923</v>
      </c>
      <c r="D147" s="7" t="s">
        <v>936</v>
      </c>
      <c r="E147" s="7" t="s">
        <v>108</v>
      </c>
      <c r="F147" s="7" t="s">
        <v>748</v>
      </c>
      <c r="G147" s="7" t="s">
        <v>929</v>
      </c>
      <c r="H147" s="7" t="s">
        <v>930</v>
      </c>
      <c r="I147" s="7" t="s">
        <v>937</v>
      </c>
      <c r="J147" s="9" t="s">
        <v>938</v>
      </c>
      <c r="K147" s="7" t="s">
        <v>933</v>
      </c>
      <c r="L147" s="12" t="s">
        <v>186</v>
      </c>
    </row>
    <row r="148" customFormat="false" ht="35.25" hidden="false" customHeight="true" outlineLevel="0" collapsed="false">
      <c r="A148" s="7" t="s">
        <v>939</v>
      </c>
      <c r="B148" s="7" t="s">
        <v>940</v>
      </c>
      <c r="C148" s="7" t="s">
        <v>923</v>
      </c>
      <c r="D148" s="7" t="s">
        <v>941</v>
      </c>
      <c r="E148" s="7" t="s">
        <v>108</v>
      </c>
      <c r="F148" s="7" t="s">
        <v>748</v>
      </c>
      <c r="G148" s="7" t="s">
        <v>929</v>
      </c>
      <c r="H148" s="7" t="s">
        <v>930</v>
      </c>
      <c r="I148" s="7" t="s">
        <v>942</v>
      </c>
      <c r="J148" s="9" t="s">
        <v>943</v>
      </c>
      <c r="K148" s="7" t="s">
        <v>933</v>
      </c>
      <c r="L148" s="11" t="s">
        <v>180</v>
      </c>
    </row>
    <row r="149" customFormat="false" ht="69.75" hidden="false" customHeight="true" outlineLevel="0" collapsed="false">
      <c r="A149" s="7" t="s">
        <v>944</v>
      </c>
      <c r="B149" s="7" t="s">
        <v>945</v>
      </c>
      <c r="C149" s="7" t="s">
        <v>923</v>
      </c>
      <c r="D149" s="7" t="s">
        <v>946</v>
      </c>
      <c r="E149" s="7" t="s">
        <v>108</v>
      </c>
      <c r="F149" s="7" t="s">
        <v>748</v>
      </c>
      <c r="G149" s="7" t="s">
        <v>929</v>
      </c>
      <c r="H149" s="7" t="s">
        <v>930</v>
      </c>
      <c r="I149" s="7" t="s">
        <v>947</v>
      </c>
      <c r="J149" s="9" t="s">
        <v>948</v>
      </c>
      <c r="K149" s="7" t="s">
        <v>933</v>
      </c>
      <c r="L149" s="11" t="s">
        <v>180</v>
      </c>
    </row>
    <row r="150" customFormat="false" ht="87" hidden="false" customHeight="true" outlineLevel="0" collapsed="false">
      <c r="A150" s="7" t="s">
        <v>949</v>
      </c>
      <c r="B150" s="7" t="s">
        <v>950</v>
      </c>
      <c r="C150" s="7" t="s">
        <v>923</v>
      </c>
      <c r="D150" s="7" t="s">
        <v>951</v>
      </c>
      <c r="E150" s="7" t="s">
        <v>108</v>
      </c>
      <c r="F150" s="7" t="s">
        <v>748</v>
      </c>
      <c r="G150" s="7" t="s">
        <v>929</v>
      </c>
      <c r="H150" s="7" t="s">
        <v>930</v>
      </c>
      <c r="I150" s="7" t="s">
        <v>952</v>
      </c>
      <c r="J150" s="9" t="s">
        <v>953</v>
      </c>
      <c r="K150" s="7" t="s">
        <v>933</v>
      </c>
      <c r="L150" s="12" t="s">
        <v>186</v>
      </c>
    </row>
    <row r="151" customFormat="false" ht="35.25" hidden="false" customHeight="true" outlineLevel="0" collapsed="false">
      <c r="A151" s="7" t="s">
        <v>954</v>
      </c>
      <c r="B151" s="7" t="s">
        <v>955</v>
      </c>
      <c r="C151" s="7" t="s">
        <v>923</v>
      </c>
      <c r="D151" s="7" t="s">
        <v>956</v>
      </c>
      <c r="E151" s="7" t="s">
        <v>108</v>
      </c>
      <c r="F151" s="7" t="s">
        <v>318</v>
      </c>
      <c r="G151" s="7" t="s">
        <v>957</v>
      </c>
      <c r="H151" s="7" t="s">
        <v>958</v>
      </c>
      <c r="I151" s="7" t="s">
        <v>959</v>
      </c>
      <c r="J151" s="9" t="s">
        <v>960</v>
      </c>
      <c r="K151" s="7" t="s">
        <v>933</v>
      </c>
      <c r="L151" s="12" t="s">
        <v>186</v>
      </c>
    </row>
    <row r="152" customFormat="false" ht="69.75" hidden="false" customHeight="true" outlineLevel="0" collapsed="false">
      <c r="A152" s="7" t="s">
        <v>961</v>
      </c>
      <c r="B152" s="7" t="s">
        <v>962</v>
      </c>
      <c r="C152" s="7" t="s">
        <v>923</v>
      </c>
      <c r="D152" s="7" t="s">
        <v>963</v>
      </c>
      <c r="E152" s="7" t="s">
        <v>108</v>
      </c>
      <c r="F152" s="7" t="s">
        <v>318</v>
      </c>
      <c r="G152" s="7" t="s">
        <v>957</v>
      </c>
      <c r="H152" s="7" t="s">
        <v>958</v>
      </c>
      <c r="I152" s="7" t="s">
        <v>964</v>
      </c>
      <c r="J152" s="9" t="s">
        <v>965</v>
      </c>
      <c r="K152" s="7" t="s">
        <v>933</v>
      </c>
      <c r="L152" s="10" t="s">
        <v>572</v>
      </c>
    </row>
    <row r="153" customFormat="false" ht="35.25" hidden="false" customHeight="true" outlineLevel="0" collapsed="false">
      <c r="A153" s="7" t="s">
        <v>966</v>
      </c>
      <c r="B153" s="7" t="s">
        <v>967</v>
      </c>
      <c r="C153" s="7" t="s">
        <v>923</v>
      </c>
      <c r="D153" s="7" t="s">
        <v>968</v>
      </c>
      <c r="E153" s="7" t="s">
        <v>112</v>
      </c>
      <c r="F153" s="7" t="s">
        <v>566</v>
      </c>
      <c r="G153" s="7" t="s">
        <v>969</v>
      </c>
      <c r="H153" s="7" t="s">
        <v>970</v>
      </c>
      <c r="I153" s="7" t="s">
        <v>971</v>
      </c>
      <c r="J153" s="9" t="s">
        <v>972</v>
      </c>
      <c r="K153" s="7" t="s">
        <v>933</v>
      </c>
      <c r="L153" s="11" t="s">
        <v>180</v>
      </c>
    </row>
    <row r="154" customFormat="false" ht="69.75" hidden="false" customHeight="true" outlineLevel="0" collapsed="false">
      <c r="A154" s="7" t="s">
        <v>973</v>
      </c>
      <c r="B154" s="7" t="s">
        <v>974</v>
      </c>
      <c r="C154" s="7" t="s">
        <v>923</v>
      </c>
      <c r="D154" s="7" t="s">
        <v>975</v>
      </c>
      <c r="E154" s="7" t="s">
        <v>112</v>
      </c>
      <c r="F154" s="7" t="s">
        <v>566</v>
      </c>
      <c r="G154" s="7" t="s">
        <v>969</v>
      </c>
      <c r="H154" s="7" t="s">
        <v>970</v>
      </c>
      <c r="I154" s="7" t="s">
        <v>976</v>
      </c>
      <c r="J154" s="9" t="s">
        <v>977</v>
      </c>
      <c r="K154" s="7" t="s">
        <v>933</v>
      </c>
      <c r="L154" s="12" t="s">
        <v>186</v>
      </c>
    </row>
    <row r="155" customFormat="false" ht="69.75" hidden="false" customHeight="true" outlineLevel="0" collapsed="false">
      <c r="A155" s="7" t="s">
        <v>978</v>
      </c>
      <c r="B155" s="7" t="s">
        <v>979</v>
      </c>
      <c r="C155" s="7" t="s">
        <v>923</v>
      </c>
      <c r="D155" s="7" t="s">
        <v>980</v>
      </c>
      <c r="E155" s="7" t="s">
        <v>112</v>
      </c>
      <c r="F155" s="7" t="s">
        <v>566</v>
      </c>
      <c r="G155" s="7" t="s">
        <v>969</v>
      </c>
      <c r="H155" s="7" t="s">
        <v>970</v>
      </c>
      <c r="I155" s="7" t="s">
        <v>981</v>
      </c>
      <c r="J155" s="9" t="s">
        <v>982</v>
      </c>
      <c r="K155" s="7" t="s">
        <v>933</v>
      </c>
      <c r="L155" s="12" t="s">
        <v>186</v>
      </c>
    </row>
    <row r="156" customFormat="false" ht="69.75" hidden="false" customHeight="true" outlineLevel="0" collapsed="false">
      <c r="A156" s="7" t="s">
        <v>983</v>
      </c>
      <c r="B156" s="7" t="s">
        <v>984</v>
      </c>
      <c r="C156" s="7" t="s">
        <v>923</v>
      </c>
      <c r="D156" s="7" t="s">
        <v>985</v>
      </c>
      <c r="E156" s="7" t="s">
        <v>112</v>
      </c>
      <c r="F156" s="7" t="s">
        <v>566</v>
      </c>
      <c r="G156" s="7" t="s">
        <v>969</v>
      </c>
      <c r="H156" s="7" t="s">
        <v>970</v>
      </c>
      <c r="I156" s="7" t="s">
        <v>986</v>
      </c>
      <c r="J156" s="9" t="s">
        <v>987</v>
      </c>
      <c r="K156" s="7" t="s">
        <v>933</v>
      </c>
      <c r="L156" s="12" t="s">
        <v>186</v>
      </c>
    </row>
    <row r="157" customFormat="false" ht="69.75" hidden="false" customHeight="true" outlineLevel="0" collapsed="false">
      <c r="A157" s="7" t="s">
        <v>988</v>
      </c>
      <c r="B157" s="7" t="s">
        <v>989</v>
      </c>
      <c r="C157" s="7" t="s">
        <v>923</v>
      </c>
      <c r="D157" s="7" t="s">
        <v>990</v>
      </c>
      <c r="E157" s="7" t="s">
        <v>112</v>
      </c>
      <c r="F157" s="7" t="s">
        <v>566</v>
      </c>
      <c r="G157" s="7" t="s">
        <v>969</v>
      </c>
      <c r="H157" s="7" t="s">
        <v>970</v>
      </c>
      <c r="I157" s="7" t="s">
        <v>991</v>
      </c>
      <c r="J157" s="9" t="s">
        <v>992</v>
      </c>
      <c r="K157" s="7" t="s">
        <v>933</v>
      </c>
      <c r="L157" s="12" t="s">
        <v>186</v>
      </c>
    </row>
    <row r="158" customFormat="false" ht="69.75" hidden="false" customHeight="true" outlineLevel="0" collapsed="false">
      <c r="A158" s="7" t="s">
        <v>993</v>
      </c>
      <c r="B158" s="7" t="s">
        <v>994</v>
      </c>
      <c r="C158" s="7" t="s">
        <v>923</v>
      </c>
      <c r="D158" s="7" t="s">
        <v>995</v>
      </c>
      <c r="E158" s="7" t="s">
        <v>112</v>
      </c>
      <c r="F158" s="7" t="s">
        <v>566</v>
      </c>
      <c r="G158" s="7" t="s">
        <v>969</v>
      </c>
      <c r="H158" s="7" t="s">
        <v>970</v>
      </c>
      <c r="I158" s="7" t="s">
        <v>996</v>
      </c>
      <c r="J158" s="9" t="s">
        <v>997</v>
      </c>
      <c r="K158" s="7" t="s">
        <v>933</v>
      </c>
      <c r="L158" s="11" t="s">
        <v>180</v>
      </c>
    </row>
    <row r="159" customFormat="false" ht="35.25" hidden="false" customHeight="true" outlineLevel="0" collapsed="false">
      <c r="A159" s="7" t="s">
        <v>998</v>
      </c>
      <c r="B159" s="7" t="s">
        <v>999</v>
      </c>
      <c r="C159" s="7" t="s">
        <v>923</v>
      </c>
      <c r="D159" s="7" t="s">
        <v>1000</v>
      </c>
      <c r="E159" s="7" t="s">
        <v>112</v>
      </c>
      <c r="F159" s="7" t="s">
        <v>1001</v>
      </c>
      <c r="G159" s="7" t="s">
        <v>1002</v>
      </c>
      <c r="H159" s="7" t="s">
        <v>1003</v>
      </c>
      <c r="I159" s="7" t="s">
        <v>1004</v>
      </c>
      <c r="J159" s="9" t="s">
        <v>1005</v>
      </c>
      <c r="K159" s="7" t="s">
        <v>1006</v>
      </c>
      <c r="L159" s="12" t="s">
        <v>186</v>
      </c>
    </row>
    <row r="160" customFormat="false" ht="69.75" hidden="false" customHeight="true" outlineLevel="0" collapsed="false">
      <c r="A160" s="7" t="s">
        <v>1007</v>
      </c>
      <c r="B160" s="7" t="s">
        <v>1008</v>
      </c>
      <c r="C160" s="7" t="s">
        <v>923</v>
      </c>
      <c r="D160" s="7" t="s">
        <v>1009</v>
      </c>
      <c r="E160" s="7" t="s">
        <v>112</v>
      </c>
      <c r="F160" s="7" t="s">
        <v>1001</v>
      </c>
      <c r="G160" s="7" t="s">
        <v>1002</v>
      </c>
      <c r="H160" s="7" t="s">
        <v>1003</v>
      </c>
      <c r="I160" s="7" t="s">
        <v>1010</v>
      </c>
      <c r="J160" s="9" t="s">
        <v>1011</v>
      </c>
      <c r="K160" s="7" t="s">
        <v>1006</v>
      </c>
      <c r="L160" s="10" t="s">
        <v>572</v>
      </c>
    </row>
    <row r="161" customFormat="false" ht="69.75" hidden="false" customHeight="true" outlineLevel="0" collapsed="false">
      <c r="A161" s="7" t="s">
        <v>1012</v>
      </c>
      <c r="B161" s="7" t="s">
        <v>1013</v>
      </c>
      <c r="C161" s="7" t="s">
        <v>923</v>
      </c>
      <c r="D161" s="7" t="s">
        <v>1014</v>
      </c>
      <c r="E161" s="7" t="s">
        <v>112</v>
      </c>
      <c r="F161" s="7" t="s">
        <v>1001</v>
      </c>
      <c r="G161" s="7" t="s">
        <v>1002</v>
      </c>
      <c r="H161" s="7" t="s">
        <v>1003</v>
      </c>
      <c r="I161" s="7" t="s">
        <v>1015</v>
      </c>
      <c r="J161" s="9" t="s">
        <v>1016</v>
      </c>
      <c r="K161" s="7" t="s">
        <v>1006</v>
      </c>
      <c r="L161" s="12" t="s">
        <v>186</v>
      </c>
    </row>
    <row r="162" customFormat="false" ht="69.75" hidden="false" customHeight="true" outlineLevel="0" collapsed="false">
      <c r="A162" s="7" t="s">
        <v>1017</v>
      </c>
      <c r="B162" s="7" t="s">
        <v>1018</v>
      </c>
      <c r="C162" s="7" t="s">
        <v>923</v>
      </c>
      <c r="D162" s="7" t="s">
        <v>1019</v>
      </c>
      <c r="E162" s="7" t="s">
        <v>112</v>
      </c>
      <c r="F162" s="7" t="s">
        <v>1001</v>
      </c>
      <c r="G162" s="7" t="s">
        <v>1002</v>
      </c>
      <c r="H162" s="7" t="s">
        <v>1003</v>
      </c>
      <c r="I162" s="7" t="s">
        <v>1020</v>
      </c>
      <c r="J162" s="9" t="s">
        <v>1021</v>
      </c>
      <c r="K162" s="7" t="s">
        <v>1006</v>
      </c>
      <c r="L162" s="10" t="s">
        <v>572</v>
      </c>
    </row>
    <row r="163" customFormat="false" ht="69.75" hidden="false" customHeight="true" outlineLevel="0" collapsed="false">
      <c r="A163" s="7" t="s">
        <v>1022</v>
      </c>
      <c r="B163" s="7" t="s">
        <v>1023</v>
      </c>
      <c r="C163" s="7" t="s">
        <v>923</v>
      </c>
      <c r="D163" s="7" t="s">
        <v>1024</v>
      </c>
      <c r="E163" s="7" t="s">
        <v>112</v>
      </c>
      <c r="F163" s="7" t="s">
        <v>1001</v>
      </c>
      <c r="G163" s="7" t="s">
        <v>1002</v>
      </c>
      <c r="H163" s="7" t="s">
        <v>1003</v>
      </c>
      <c r="I163" s="7" t="s">
        <v>1025</v>
      </c>
      <c r="J163" s="9" t="s">
        <v>1026</v>
      </c>
      <c r="K163" s="7" t="s">
        <v>1006</v>
      </c>
      <c r="L163" s="12" t="s">
        <v>186</v>
      </c>
    </row>
    <row r="164" customFormat="false" ht="69.75" hidden="false" customHeight="true" outlineLevel="0" collapsed="false">
      <c r="A164" s="7" t="s">
        <v>1027</v>
      </c>
      <c r="B164" s="7" t="s">
        <v>1028</v>
      </c>
      <c r="C164" s="7" t="s">
        <v>923</v>
      </c>
      <c r="D164" s="7" t="s">
        <v>1029</v>
      </c>
      <c r="E164" s="7" t="s">
        <v>112</v>
      </c>
      <c r="F164" s="7" t="s">
        <v>1001</v>
      </c>
      <c r="G164" s="7" t="s">
        <v>1002</v>
      </c>
      <c r="H164" s="7" t="s">
        <v>1003</v>
      </c>
      <c r="I164" s="7" t="s">
        <v>1030</v>
      </c>
      <c r="J164" s="9" t="s">
        <v>1031</v>
      </c>
      <c r="K164" s="7" t="s">
        <v>1006</v>
      </c>
      <c r="L164" s="10" t="s">
        <v>572</v>
      </c>
    </row>
    <row r="165" customFormat="false" ht="69.75" hidden="false" customHeight="true" outlineLevel="0" collapsed="false">
      <c r="A165" s="7" t="s">
        <v>1032</v>
      </c>
      <c r="B165" s="7" t="s">
        <v>1033</v>
      </c>
      <c r="C165" s="7" t="s">
        <v>923</v>
      </c>
      <c r="D165" s="7" t="s">
        <v>1034</v>
      </c>
      <c r="E165" s="7" t="s">
        <v>112</v>
      </c>
      <c r="F165" s="7" t="s">
        <v>1001</v>
      </c>
      <c r="G165" s="7" t="s">
        <v>1002</v>
      </c>
      <c r="H165" s="7" t="s">
        <v>1003</v>
      </c>
      <c r="I165" s="7" t="s">
        <v>1035</v>
      </c>
      <c r="J165" s="9" t="s">
        <v>1036</v>
      </c>
      <c r="K165" s="7" t="s">
        <v>1006</v>
      </c>
      <c r="L165" s="10" t="s">
        <v>572</v>
      </c>
    </row>
    <row r="166" customFormat="false" ht="69.75" hidden="false" customHeight="true" outlineLevel="0" collapsed="false">
      <c r="A166" s="7" t="s">
        <v>1037</v>
      </c>
      <c r="B166" s="7" t="s">
        <v>1038</v>
      </c>
      <c r="C166" s="7" t="s">
        <v>923</v>
      </c>
      <c r="D166" s="7" t="s">
        <v>1039</v>
      </c>
      <c r="E166" s="7" t="s">
        <v>112</v>
      </c>
      <c r="F166" s="7" t="s">
        <v>1001</v>
      </c>
      <c r="G166" s="7" t="s">
        <v>1002</v>
      </c>
      <c r="H166" s="7" t="s">
        <v>1003</v>
      </c>
      <c r="I166" s="7" t="s">
        <v>1040</v>
      </c>
      <c r="J166" s="9" t="s">
        <v>1041</v>
      </c>
      <c r="K166" s="7" t="s">
        <v>1006</v>
      </c>
      <c r="L166" s="12" t="s">
        <v>186</v>
      </c>
    </row>
    <row r="167" customFormat="false" ht="87" hidden="false" customHeight="true" outlineLevel="0" collapsed="false">
      <c r="A167" s="7" t="s">
        <v>1042</v>
      </c>
      <c r="B167" s="7" t="s">
        <v>1043</v>
      </c>
      <c r="C167" s="7" t="s">
        <v>923</v>
      </c>
      <c r="D167" s="7" t="s">
        <v>1044</v>
      </c>
      <c r="E167" s="7" t="s">
        <v>112</v>
      </c>
      <c r="F167" s="7" t="s">
        <v>1001</v>
      </c>
      <c r="G167" s="7" t="s">
        <v>1002</v>
      </c>
      <c r="H167" s="7" t="s">
        <v>1003</v>
      </c>
      <c r="I167" s="7" t="s">
        <v>1045</v>
      </c>
      <c r="J167" s="9" t="s">
        <v>1046</v>
      </c>
      <c r="K167" s="7" t="s">
        <v>1006</v>
      </c>
      <c r="L167" s="10" t="s">
        <v>572</v>
      </c>
    </row>
    <row r="168" customFormat="false" ht="35.25" hidden="false" customHeight="true" outlineLevel="0" collapsed="false">
      <c r="A168" s="7" t="s">
        <v>1047</v>
      </c>
      <c r="B168" s="7" t="s">
        <v>1048</v>
      </c>
      <c r="C168" s="7" t="s">
        <v>923</v>
      </c>
      <c r="D168" s="7" t="s">
        <v>1049</v>
      </c>
      <c r="E168" s="7" t="s">
        <v>112</v>
      </c>
      <c r="F168" s="7" t="s">
        <v>1001</v>
      </c>
      <c r="G168" s="7" t="s">
        <v>1050</v>
      </c>
      <c r="H168" s="7" t="s">
        <v>1051</v>
      </c>
      <c r="I168" s="7" t="s">
        <v>1052</v>
      </c>
      <c r="J168" s="9" t="s">
        <v>1053</v>
      </c>
      <c r="K168" s="7" t="s">
        <v>1054</v>
      </c>
      <c r="L168" s="10" t="s">
        <v>572</v>
      </c>
    </row>
    <row r="169" customFormat="false" ht="69.75" hidden="false" customHeight="true" outlineLevel="0" collapsed="false">
      <c r="A169" s="7" t="s">
        <v>1055</v>
      </c>
      <c r="B169" s="7" t="s">
        <v>1056</v>
      </c>
      <c r="C169" s="7" t="s">
        <v>923</v>
      </c>
      <c r="D169" s="7" t="s">
        <v>1057</v>
      </c>
      <c r="E169" s="7" t="s">
        <v>112</v>
      </c>
      <c r="F169" s="7" t="s">
        <v>1001</v>
      </c>
      <c r="G169" s="7" t="s">
        <v>1050</v>
      </c>
      <c r="H169" s="7" t="s">
        <v>1051</v>
      </c>
      <c r="I169" s="7" t="s">
        <v>1058</v>
      </c>
      <c r="J169" s="9" t="s">
        <v>1059</v>
      </c>
      <c r="K169" s="7" t="s">
        <v>1054</v>
      </c>
      <c r="L169" s="10" t="s">
        <v>572</v>
      </c>
    </row>
    <row r="170" customFormat="false" ht="35.25" hidden="false" customHeight="true" outlineLevel="0" collapsed="false">
      <c r="A170" s="7" t="s">
        <v>1060</v>
      </c>
      <c r="B170" s="7" t="s">
        <v>1061</v>
      </c>
      <c r="C170" s="7" t="s">
        <v>923</v>
      </c>
      <c r="D170" s="7" t="s">
        <v>1062</v>
      </c>
      <c r="E170" s="7" t="s">
        <v>108</v>
      </c>
      <c r="F170" s="7" t="s">
        <v>748</v>
      </c>
      <c r="G170" s="7" t="s">
        <v>929</v>
      </c>
      <c r="H170" s="7" t="s">
        <v>930</v>
      </c>
      <c r="I170" s="7" t="s">
        <v>1063</v>
      </c>
      <c r="J170" s="9" t="s">
        <v>1064</v>
      </c>
      <c r="K170" s="7" t="s">
        <v>624</v>
      </c>
      <c r="L170" s="11" t="s">
        <v>180</v>
      </c>
    </row>
    <row r="171" customFormat="false" ht="35.25" hidden="false" customHeight="true" outlineLevel="0" collapsed="false">
      <c r="A171" s="7" t="s">
        <v>1065</v>
      </c>
      <c r="B171" s="7" t="s">
        <v>1066</v>
      </c>
      <c r="C171" s="7" t="s">
        <v>923</v>
      </c>
      <c r="D171" s="7" t="s">
        <v>1067</v>
      </c>
      <c r="E171" s="7" t="s">
        <v>108</v>
      </c>
      <c r="F171" s="7" t="s">
        <v>748</v>
      </c>
      <c r="G171" s="7" t="s">
        <v>929</v>
      </c>
      <c r="H171" s="7" t="s">
        <v>930</v>
      </c>
      <c r="I171" s="7" t="s">
        <v>1068</v>
      </c>
      <c r="J171" s="9" t="s">
        <v>1069</v>
      </c>
      <c r="K171" s="7" t="s">
        <v>1070</v>
      </c>
      <c r="L171" s="11" t="s">
        <v>180</v>
      </c>
    </row>
    <row r="172" customFormat="false" ht="69.75" hidden="false" customHeight="true" outlineLevel="0" collapsed="false">
      <c r="A172" s="7" t="s">
        <v>1071</v>
      </c>
      <c r="B172" s="7" t="s">
        <v>1072</v>
      </c>
      <c r="C172" s="7" t="s">
        <v>923</v>
      </c>
      <c r="D172" s="7" t="s">
        <v>1073</v>
      </c>
      <c r="E172" s="7" t="s">
        <v>108</v>
      </c>
      <c r="F172" s="7" t="s">
        <v>748</v>
      </c>
      <c r="G172" s="7" t="s">
        <v>929</v>
      </c>
      <c r="H172" s="7" t="s">
        <v>930</v>
      </c>
      <c r="I172" s="7" t="s">
        <v>1074</v>
      </c>
      <c r="J172" s="9" t="s">
        <v>1075</v>
      </c>
      <c r="K172" s="7" t="s">
        <v>1070</v>
      </c>
      <c r="L172" s="12" t="s">
        <v>186</v>
      </c>
    </row>
    <row r="173" customFormat="false" ht="87" hidden="false" customHeight="true" outlineLevel="0" collapsed="false">
      <c r="A173" s="7" t="s">
        <v>1076</v>
      </c>
      <c r="B173" s="7" t="s">
        <v>1077</v>
      </c>
      <c r="C173" s="7" t="s">
        <v>923</v>
      </c>
      <c r="D173" s="7" t="s">
        <v>1078</v>
      </c>
      <c r="E173" s="7" t="s">
        <v>108</v>
      </c>
      <c r="F173" s="7" t="s">
        <v>748</v>
      </c>
      <c r="G173" s="7" t="s">
        <v>929</v>
      </c>
      <c r="H173" s="7" t="s">
        <v>930</v>
      </c>
      <c r="I173" s="7" t="s">
        <v>1079</v>
      </c>
      <c r="J173" s="9" t="s">
        <v>1080</v>
      </c>
      <c r="K173" s="7" t="s">
        <v>1070</v>
      </c>
      <c r="L173" s="12" t="s">
        <v>186</v>
      </c>
    </row>
    <row r="174" customFormat="false" ht="69.75" hidden="false" customHeight="true" outlineLevel="0" collapsed="false">
      <c r="A174" s="7" t="s">
        <v>1081</v>
      </c>
      <c r="B174" s="7" t="s">
        <v>1082</v>
      </c>
      <c r="C174" s="7" t="s">
        <v>923</v>
      </c>
      <c r="D174" s="7" t="s">
        <v>1083</v>
      </c>
      <c r="E174" s="7" t="s">
        <v>108</v>
      </c>
      <c r="F174" s="7" t="s">
        <v>748</v>
      </c>
      <c r="G174" s="7" t="s">
        <v>929</v>
      </c>
      <c r="H174" s="7" t="s">
        <v>930</v>
      </c>
      <c r="I174" s="7" t="s">
        <v>1084</v>
      </c>
      <c r="J174" s="9" t="s">
        <v>1085</v>
      </c>
      <c r="K174" s="7" t="s">
        <v>1070</v>
      </c>
      <c r="L174" s="11" t="s">
        <v>180</v>
      </c>
    </row>
    <row r="175" customFormat="false" ht="69.75" hidden="false" customHeight="true" outlineLevel="0" collapsed="false">
      <c r="A175" s="7" t="s">
        <v>1086</v>
      </c>
      <c r="B175" s="7" t="s">
        <v>1087</v>
      </c>
      <c r="C175" s="7" t="s">
        <v>923</v>
      </c>
      <c r="D175" s="7" t="s">
        <v>1088</v>
      </c>
      <c r="E175" s="7" t="s">
        <v>108</v>
      </c>
      <c r="F175" s="7" t="s">
        <v>748</v>
      </c>
      <c r="G175" s="7" t="s">
        <v>929</v>
      </c>
      <c r="H175" s="7" t="s">
        <v>930</v>
      </c>
      <c r="I175" s="7" t="s">
        <v>1089</v>
      </c>
      <c r="J175" s="9" t="s">
        <v>1090</v>
      </c>
      <c r="K175" s="7" t="s">
        <v>1070</v>
      </c>
      <c r="L175" s="11" t="s">
        <v>180</v>
      </c>
    </row>
    <row r="176" customFormat="false" ht="69.75" hidden="false" customHeight="true" outlineLevel="0" collapsed="false">
      <c r="A176" s="7" t="s">
        <v>1091</v>
      </c>
      <c r="B176" s="7" t="s">
        <v>1092</v>
      </c>
      <c r="C176" s="7" t="s">
        <v>923</v>
      </c>
      <c r="D176" s="7" t="s">
        <v>1093</v>
      </c>
      <c r="E176" s="7" t="s">
        <v>108</v>
      </c>
      <c r="F176" s="7" t="s">
        <v>748</v>
      </c>
      <c r="G176" s="7" t="s">
        <v>929</v>
      </c>
      <c r="H176" s="7" t="s">
        <v>930</v>
      </c>
      <c r="I176" s="7" t="s">
        <v>1094</v>
      </c>
      <c r="J176" s="9" t="s">
        <v>1095</v>
      </c>
      <c r="K176" s="7" t="s">
        <v>1070</v>
      </c>
      <c r="L176" s="12" t="s">
        <v>186</v>
      </c>
    </row>
    <row r="177" customFormat="false" ht="69.75" hidden="false" customHeight="true" outlineLevel="0" collapsed="false">
      <c r="A177" s="7" t="s">
        <v>1096</v>
      </c>
      <c r="B177" s="7" t="s">
        <v>1097</v>
      </c>
      <c r="C177" s="7" t="s">
        <v>923</v>
      </c>
      <c r="D177" s="7" t="s">
        <v>1098</v>
      </c>
      <c r="E177" s="7" t="s">
        <v>108</v>
      </c>
      <c r="F177" s="7" t="s">
        <v>748</v>
      </c>
      <c r="G177" s="7" t="s">
        <v>929</v>
      </c>
      <c r="H177" s="7" t="s">
        <v>930</v>
      </c>
      <c r="I177" s="7" t="s">
        <v>1099</v>
      </c>
      <c r="J177" s="9" t="s">
        <v>1100</v>
      </c>
      <c r="K177" s="7" t="s">
        <v>1070</v>
      </c>
      <c r="L177" s="12" t="s">
        <v>186</v>
      </c>
    </row>
    <row r="178" customFormat="false" ht="87" hidden="false" customHeight="true" outlineLevel="0" collapsed="false">
      <c r="A178" s="7" t="s">
        <v>1101</v>
      </c>
      <c r="B178" s="7" t="s">
        <v>1102</v>
      </c>
      <c r="C178" s="7" t="s">
        <v>923</v>
      </c>
      <c r="D178" s="7" t="s">
        <v>1103</v>
      </c>
      <c r="E178" s="7" t="s">
        <v>108</v>
      </c>
      <c r="F178" s="7" t="s">
        <v>748</v>
      </c>
      <c r="G178" s="7" t="s">
        <v>929</v>
      </c>
      <c r="H178" s="7" t="s">
        <v>930</v>
      </c>
      <c r="I178" s="7" t="s">
        <v>1104</v>
      </c>
      <c r="J178" s="9" t="s">
        <v>1105</v>
      </c>
      <c r="K178" s="7" t="s">
        <v>1070</v>
      </c>
      <c r="L178" s="12" t="s">
        <v>186</v>
      </c>
    </row>
    <row r="179" customFormat="false" ht="35.25" hidden="false" customHeight="true" outlineLevel="0" collapsed="false">
      <c r="A179" s="7" t="s">
        <v>1106</v>
      </c>
      <c r="B179" s="7" t="s">
        <v>1107</v>
      </c>
      <c r="C179" s="7" t="s">
        <v>923</v>
      </c>
      <c r="D179" s="7" t="s">
        <v>1108</v>
      </c>
      <c r="E179" s="7" t="s">
        <v>108</v>
      </c>
      <c r="F179" s="7" t="s">
        <v>174</v>
      </c>
      <c r="G179" s="7" t="s">
        <v>538</v>
      </c>
      <c r="H179" s="7" t="s">
        <v>539</v>
      </c>
      <c r="I179" s="7" t="s">
        <v>1109</v>
      </c>
      <c r="J179" s="9" t="s">
        <v>1110</v>
      </c>
      <c r="K179" s="7" t="s">
        <v>603</v>
      </c>
      <c r="L179" s="10" t="s">
        <v>572</v>
      </c>
    </row>
    <row r="180" customFormat="false" ht="69.75" hidden="false" customHeight="true" outlineLevel="0" collapsed="false">
      <c r="A180" s="7" t="s">
        <v>1111</v>
      </c>
      <c r="B180" s="7" t="s">
        <v>1112</v>
      </c>
      <c r="C180" s="7" t="s">
        <v>923</v>
      </c>
      <c r="D180" s="7" t="s">
        <v>1113</v>
      </c>
      <c r="E180" s="7" t="s">
        <v>108</v>
      </c>
      <c r="F180" s="7" t="s">
        <v>174</v>
      </c>
      <c r="G180" s="7" t="s">
        <v>538</v>
      </c>
      <c r="H180" s="7" t="s">
        <v>539</v>
      </c>
      <c r="I180" s="7" t="s">
        <v>1114</v>
      </c>
      <c r="J180" s="9" t="s">
        <v>1115</v>
      </c>
      <c r="K180" s="7" t="s">
        <v>603</v>
      </c>
      <c r="L180" s="10" t="s">
        <v>572</v>
      </c>
    </row>
    <row r="181" customFormat="false" ht="69.75" hidden="false" customHeight="true" outlineLevel="0" collapsed="false">
      <c r="A181" s="7" t="s">
        <v>1116</v>
      </c>
      <c r="B181" s="7" t="s">
        <v>1117</v>
      </c>
      <c r="C181" s="7" t="s">
        <v>923</v>
      </c>
      <c r="D181" s="7" t="s">
        <v>1118</v>
      </c>
      <c r="E181" s="7" t="s">
        <v>108</v>
      </c>
      <c r="F181" s="7" t="s">
        <v>174</v>
      </c>
      <c r="G181" s="7" t="s">
        <v>538</v>
      </c>
      <c r="H181" s="7" t="s">
        <v>539</v>
      </c>
      <c r="I181" s="7" t="s">
        <v>1119</v>
      </c>
      <c r="J181" s="9" t="s">
        <v>1120</v>
      </c>
      <c r="K181" s="7" t="s">
        <v>603</v>
      </c>
      <c r="L181" s="10" t="s">
        <v>572</v>
      </c>
    </row>
    <row r="182" customFormat="false" ht="69.75" hidden="false" customHeight="true" outlineLevel="0" collapsed="false">
      <c r="A182" s="7" t="s">
        <v>1121</v>
      </c>
      <c r="B182" s="7" t="s">
        <v>1122</v>
      </c>
      <c r="C182" s="7" t="s">
        <v>923</v>
      </c>
      <c r="D182" s="7" t="s">
        <v>1123</v>
      </c>
      <c r="E182" s="7" t="s">
        <v>108</v>
      </c>
      <c r="F182" s="7" t="s">
        <v>174</v>
      </c>
      <c r="G182" s="7" t="s">
        <v>538</v>
      </c>
      <c r="H182" s="7" t="s">
        <v>539</v>
      </c>
      <c r="I182" s="7" t="s">
        <v>1124</v>
      </c>
      <c r="J182" s="9" t="s">
        <v>1125</v>
      </c>
      <c r="K182" s="7" t="s">
        <v>603</v>
      </c>
      <c r="L182" s="10" t="s">
        <v>572</v>
      </c>
    </row>
    <row r="183" customFormat="false" ht="69.75" hidden="false" customHeight="true" outlineLevel="0" collapsed="false">
      <c r="A183" s="7" t="s">
        <v>1126</v>
      </c>
      <c r="B183" s="7" t="s">
        <v>1127</v>
      </c>
      <c r="C183" s="7" t="s">
        <v>923</v>
      </c>
      <c r="D183" s="7" t="s">
        <v>1128</v>
      </c>
      <c r="E183" s="7" t="s">
        <v>108</v>
      </c>
      <c r="F183" s="7" t="s">
        <v>174</v>
      </c>
      <c r="G183" s="7" t="s">
        <v>538</v>
      </c>
      <c r="H183" s="7" t="s">
        <v>539</v>
      </c>
      <c r="I183" s="7" t="s">
        <v>1129</v>
      </c>
      <c r="J183" s="9" t="s">
        <v>1130</v>
      </c>
      <c r="K183" s="7" t="s">
        <v>603</v>
      </c>
      <c r="L183" s="10" t="s">
        <v>572</v>
      </c>
    </row>
    <row r="184" customFormat="false" ht="35.25" hidden="false" customHeight="true" outlineLevel="0" collapsed="false">
      <c r="A184" s="7" t="s">
        <v>1131</v>
      </c>
      <c r="B184" s="7" t="s">
        <v>1132</v>
      </c>
      <c r="C184" s="7" t="s">
        <v>923</v>
      </c>
      <c r="D184" s="7" t="s">
        <v>1133</v>
      </c>
      <c r="E184" s="7" t="s">
        <v>108</v>
      </c>
      <c r="F184" s="7" t="s">
        <v>628</v>
      </c>
      <c r="G184" s="7" t="s">
        <v>1134</v>
      </c>
      <c r="H184" s="7" t="s">
        <v>1135</v>
      </c>
      <c r="I184" s="7" t="s">
        <v>1136</v>
      </c>
      <c r="J184" s="9" t="s">
        <v>1137</v>
      </c>
      <c r="K184" s="7" t="s">
        <v>933</v>
      </c>
      <c r="L184" s="12" t="s">
        <v>186</v>
      </c>
    </row>
    <row r="185" customFormat="false" ht="69.75" hidden="false" customHeight="true" outlineLevel="0" collapsed="false">
      <c r="A185" s="7" t="s">
        <v>1138</v>
      </c>
      <c r="B185" s="7" t="s">
        <v>1139</v>
      </c>
      <c r="C185" s="7" t="s">
        <v>923</v>
      </c>
      <c r="D185" s="7" t="s">
        <v>1140</v>
      </c>
      <c r="E185" s="7" t="s">
        <v>108</v>
      </c>
      <c r="F185" s="7" t="s">
        <v>628</v>
      </c>
      <c r="G185" s="7" t="s">
        <v>1134</v>
      </c>
      <c r="H185" s="7" t="s">
        <v>1135</v>
      </c>
      <c r="I185" s="7" t="s">
        <v>1141</v>
      </c>
      <c r="J185" s="9" t="s">
        <v>1142</v>
      </c>
      <c r="K185" s="7" t="s">
        <v>933</v>
      </c>
      <c r="L185" s="10" t="s">
        <v>572</v>
      </c>
    </row>
    <row r="186" customFormat="false" ht="35.25" hidden="false" customHeight="true" outlineLevel="0" collapsed="false">
      <c r="A186" s="7" t="s">
        <v>1143</v>
      </c>
      <c r="B186" s="7" t="s">
        <v>1144</v>
      </c>
      <c r="C186" s="7" t="s">
        <v>923</v>
      </c>
      <c r="D186" s="7" t="s">
        <v>1145</v>
      </c>
      <c r="E186" s="7" t="s">
        <v>108</v>
      </c>
      <c r="F186" s="7" t="s">
        <v>748</v>
      </c>
      <c r="G186" s="7" t="s">
        <v>929</v>
      </c>
      <c r="H186" s="7" t="s">
        <v>930</v>
      </c>
      <c r="I186" s="7" t="s">
        <v>1146</v>
      </c>
      <c r="J186" s="9" t="s">
        <v>1147</v>
      </c>
      <c r="K186" s="7" t="s">
        <v>933</v>
      </c>
      <c r="L186" s="11" t="s">
        <v>180</v>
      </c>
    </row>
    <row r="187" customFormat="false" ht="69.75" hidden="false" customHeight="true" outlineLevel="0" collapsed="false">
      <c r="A187" s="7" t="s">
        <v>1148</v>
      </c>
      <c r="B187" s="7" t="s">
        <v>1149</v>
      </c>
      <c r="C187" s="7" t="s">
        <v>923</v>
      </c>
      <c r="D187" s="7" t="s">
        <v>1150</v>
      </c>
      <c r="E187" s="7" t="s">
        <v>108</v>
      </c>
      <c r="F187" s="7" t="s">
        <v>748</v>
      </c>
      <c r="G187" s="7" t="s">
        <v>929</v>
      </c>
      <c r="H187" s="7" t="s">
        <v>930</v>
      </c>
      <c r="I187" s="7" t="s">
        <v>1151</v>
      </c>
      <c r="J187" s="9" t="s">
        <v>1152</v>
      </c>
      <c r="K187" s="7" t="s">
        <v>933</v>
      </c>
      <c r="L187" s="11" t="s">
        <v>180</v>
      </c>
    </row>
    <row r="188" customFormat="false" ht="69.75" hidden="false" customHeight="true" outlineLevel="0" collapsed="false">
      <c r="A188" s="7" t="s">
        <v>1153</v>
      </c>
      <c r="B188" s="7" t="s">
        <v>1154</v>
      </c>
      <c r="C188" s="7" t="s">
        <v>923</v>
      </c>
      <c r="D188" s="7" t="s">
        <v>1155</v>
      </c>
      <c r="E188" s="7" t="s">
        <v>108</v>
      </c>
      <c r="F188" s="7" t="s">
        <v>748</v>
      </c>
      <c r="G188" s="7" t="s">
        <v>929</v>
      </c>
      <c r="H188" s="7" t="s">
        <v>930</v>
      </c>
      <c r="I188" s="7" t="s">
        <v>1156</v>
      </c>
      <c r="J188" s="9" t="s">
        <v>1157</v>
      </c>
      <c r="K188" s="7" t="s">
        <v>933</v>
      </c>
      <c r="L188" s="12" t="s">
        <v>186</v>
      </c>
    </row>
    <row r="189" customFormat="false" ht="69.75" hidden="false" customHeight="true" outlineLevel="0" collapsed="false">
      <c r="A189" s="7" t="s">
        <v>1158</v>
      </c>
      <c r="B189" s="7" t="s">
        <v>1159</v>
      </c>
      <c r="C189" s="7" t="s">
        <v>923</v>
      </c>
      <c r="D189" s="7" t="s">
        <v>1160</v>
      </c>
      <c r="E189" s="7" t="s">
        <v>108</v>
      </c>
      <c r="F189" s="7" t="s">
        <v>748</v>
      </c>
      <c r="G189" s="7" t="s">
        <v>929</v>
      </c>
      <c r="H189" s="7" t="s">
        <v>930</v>
      </c>
      <c r="I189" s="7" t="s">
        <v>1161</v>
      </c>
      <c r="J189" s="9" t="s">
        <v>1162</v>
      </c>
      <c r="K189" s="7" t="s">
        <v>933</v>
      </c>
      <c r="L189" s="12" t="s">
        <v>186</v>
      </c>
    </row>
    <row r="190" customFormat="false" ht="87" hidden="false" customHeight="true" outlineLevel="0" collapsed="false">
      <c r="A190" s="7" t="s">
        <v>1163</v>
      </c>
      <c r="B190" s="7" t="s">
        <v>1164</v>
      </c>
      <c r="C190" s="7" t="s">
        <v>923</v>
      </c>
      <c r="D190" s="7" t="s">
        <v>1165</v>
      </c>
      <c r="E190" s="7" t="s">
        <v>108</v>
      </c>
      <c r="F190" s="7" t="s">
        <v>748</v>
      </c>
      <c r="G190" s="7" t="s">
        <v>929</v>
      </c>
      <c r="H190" s="7" t="s">
        <v>930</v>
      </c>
      <c r="I190" s="7" t="s">
        <v>1166</v>
      </c>
      <c r="J190" s="9" t="s">
        <v>1167</v>
      </c>
      <c r="K190" s="7" t="s">
        <v>933</v>
      </c>
      <c r="L190" s="11" t="s">
        <v>180</v>
      </c>
    </row>
    <row r="191" customFormat="false" ht="35.25" hidden="false" customHeight="true" outlineLevel="0" collapsed="false">
      <c r="A191" s="7" t="s">
        <v>1168</v>
      </c>
      <c r="B191" s="7" t="s">
        <v>1169</v>
      </c>
      <c r="C191" s="7" t="s">
        <v>923</v>
      </c>
      <c r="D191" s="7" t="s">
        <v>1170</v>
      </c>
      <c r="E191" s="7" t="s">
        <v>112</v>
      </c>
      <c r="F191" s="7" t="s">
        <v>566</v>
      </c>
      <c r="G191" s="7" t="s">
        <v>567</v>
      </c>
      <c r="H191" s="7" t="s">
        <v>568</v>
      </c>
      <c r="I191" s="7" t="s">
        <v>1171</v>
      </c>
      <c r="J191" s="9" t="s">
        <v>1172</v>
      </c>
      <c r="K191" s="7" t="s">
        <v>1173</v>
      </c>
      <c r="L191" s="10" t="s">
        <v>572</v>
      </c>
    </row>
    <row r="192" customFormat="false" ht="69.75" hidden="false" customHeight="true" outlineLevel="0" collapsed="false">
      <c r="A192" s="7" t="s">
        <v>1174</v>
      </c>
      <c r="B192" s="7" t="s">
        <v>1175</v>
      </c>
      <c r="C192" s="7" t="s">
        <v>923</v>
      </c>
      <c r="D192" s="7" t="s">
        <v>1176</v>
      </c>
      <c r="E192" s="7" t="s">
        <v>112</v>
      </c>
      <c r="F192" s="7" t="s">
        <v>566</v>
      </c>
      <c r="G192" s="7" t="s">
        <v>567</v>
      </c>
      <c r="H192" s="7" t="s">
        <v>568</v>
      </c>
      <c r="I192" s="7" t="s">
        <v>1177</v>
      </c>
      <c r="J192" s="9" t="s">
        <v>1178</v>
      </c>
      <c r="K192" s="7" t="s">
        <v>1173</v>
      </c>
      <c r="L192" s="10" t="s">
        <v>572</v>
      </c>
    </row>
    <row r="193" customFormat="false" ht="69.75" hidden="false" customHeight="true" outlineLevel="0" collapsed="false">
      <c r="A193" s="7" t="s">
        <v>1179</v>
      </c>
      <c r="B193" s="7" t="s">
        <v>1180</v>
      </c>
      <c r="C193" s="7" t="s">
        <v>923</v>
      </c>
      <c r="D193" s="7" t="s">
        <v>1181</v>
      </c>
      <c r="E193" s="7" t="s">
        <v>112</v>
      </c>
      <c r="F193" s="7" t="s">
        <v>566</v>
      </c>
      <c r="G193" s="7" t="s">
        <v>567</v>
      </c>
      <c r="H193" s="7" t="s">
        <v>568</v>
      </c>
      <c r="I193" s="7" t="s">
        <v>1182</v>
      </c>
      <c r="J193" s="9" t="s">
        <v>1183</v>
      </c>
      <c r="K193" s="7" t="s">
        <v>1173</v>
      </c>
      <c r="L193" s="10" t="s">
        <v>572</v>
      </c>
    </row>
    <row r="194" customFormat="false" ht="69.75" hidden="false" customHeight="true" outlineLevel="0" collapsed="false">
      <c r="A194" s="7" t="s">
        <v>1184</v>
      </c>
      <c r="B194" s="7" t="s">
        <v>1185</v>
      </c>
      <c r="C194" s="7" t="s">
        <v>923</v>
      </c>
      <c r="D194" s="7" t="s">
        <v>1186</v>
      </c>
      <c r="E194" s="7" t="s">
        <v>112</v>
      </c>
      <c r="F194" s="7" t="s">
        <v>566</v>
      </c>
      <c r="G194" s="7" t="s">
        <v>567</v>
      </c>
      <c r="H194" s="7" t="s">
        <v>568</v>
      </c>
      <c r="I194" s="7" t="s">
        <v>1187</v>
      </c>
      <c r="J194" s="9" t="s">
        <v>1188</v>
      </c>
      <c r="K194" s="7" t="s">
        <v>1173</v>
      </c>
      <c r="L194" s="10" t="s">
        <v>572</v>
      </c>
    </row>
    <row r="195" customFormat="false" ht="35.25" hidden="false" customHeight="true" outlineLevel="0" collapsed="false">
      <c r="A195" s="7" t="s">
        <v>1189</v>
      </c>
      <c r="B195" s="7" t="s">
        <v>1190</v>
      </c>
      <c r="C195" s="7" t="s">
        <v>923</v>
      </c>
      <c r="D195" s="7" t="s">
        <v>1191</v>
      </c>
      <c r="E195" s="7" t="s">
        <v>112</v>
      </c>
      <c r="F195" s="7" t="s">
        <v>566</v>
      </c>
      <c r="G195" s="7" t="s">
        <v>567</v>
      </c>
      <c r="H195" s="7" t="s">
        <v>568</v>
      </c>
      <c r="I195" s="7" t="s">
        <v>1192</v>
      </c>
      <c r="J195" s="9" t="s">
        <v>1193</v>
      </c>
      <c r="K195" s="7" t="s">
        <v>1194</v>
      </c>
      <c r="L195" s="10" t="s">
        <v>572</v>
      </c>
    </row>
    <row r="196" customFormat="false" ht="52.5" hidden="false" customHeight="true" outlineLevel="0" collapsed="false">
      <c r="A196" s="7" t="s">
        <v>1195</v>
      </c>
      <c r="B196" s="7" t="s">
        <v>1196</v>
      </c>
      <c r="C196" s="7" t="s">
        <v>923</v>
      </c>
      <c r="D196" s="7" t="s">
        <v>1197</v>
      </c>
      <c r="E196" s="7" t="s">
        <v>112</v>
      </c>
      <c r="F196" s="7" t="s">
        <v>566</v>
      </c>
      <c r="G196" s="7" t="s">
        <v>567</v>
      </c>
      <c r="H196" s="7" t="s">
        <v>568</v>
      </c>
      <c r="I196" s="7" t="s">
        <v>1198</v>
      </c>
      <c r="J196" s="9" t="s">
        <v>1199</v>
      </c>
      <c r="K196" s="7" t="s">
        <v>1194</v>
      </c>
      <c r="L196" s="10" t="s">
        <v>572</v>
      </c>
    </row>
    <row r="197" customFormat="false" ht="69.75" hidden="false" customHeight="true" outlineLevel="0" collapsed="false">
      <c r="A197" s="7" t="s">
        <v>1200</v>
      </c>
      <c r="B197" s="7" t="s">
        <v>1201</v>
      </c>
      <c r="C197" s="7" t="s">
        <v>923</v>
      </c>
      <c r="D197" s="7" t="s">
        <v>1202</v>
      </c>
      <c r="E197" s="7" t="s">
        <v>112</v>
      </c>
      <c r="F197" s="7" t="s">
        <v>566</v>
      </c>
      <c r="G197" s="7" t="s">
        <v>567</v>
      </c>
      <c r="H197" s="7" t="s">
        <v>568</v>
      </c>
      <c r="I197" s="7" t="s">
        <v>1203</v>
      </c>
      <c r="J197" s="9" t="s">
        <v>1204</v>
      </c>
      <c r="K197" s="7" t="s">
        <v>1194</v>
      </c>
      <c r="L197" s="10" t="s">
        <v>572</v>
      </c>
    </row>
    <row r="198" customFormat="false" ht="35.25" hidden="false" customHeight="true" outlineLevel="0" collapsed="false">
      <c r="A198" s="7" t="s">
        <v>1205</v>
      </c>
      <c r="B198" s="7" t="s">
        <v>1206</v>
      </c>
      <c r="C198" s="7" t="s">
        <v>923</v>
      </c>
      <c r="D198" s="7" t="s">
        <v>1207</v>
      </c>
      <c r="E198" s="7" t="s">
        <v>112</v>
      </c>
      <c r="F198" s="7" t="s">
        <v>1001</v>
      </c>
      <c r="G198" s="7" t="s">
        <v>1208</v>
      </c>
      <c r="H198" s="7" t="s">
        <v>1209</v>
      </c>
      <c r="I198" s="7" t="s">
        <v>1210</v>
      </c>
      <c r="J198" s="9" t="s">
        <v>1211</v>
      </c>
      <c r="K198" s="7" t="s">
        <v>1173</v>
      </c>
      <c r="L198" s="10" t="s">
        <v>572</v>
      </c>
    </row>
    <row r="199" customFormat="false" ht="69.75" hidden="false" customHeight="true" outlineLevel="0" collapsed="false">
      <c r="A199" s="7" t="s">
        <v>1212</v>
      </c>
      <c r="B199" s="7" t="s">
        <v>1213</v>
      </c>
      <c r="C199" s="7" t="s">
        <v>923</v>
      </c>
      <c r="D199" s="7" t="s">
        <v>1214</v>
      </c>
      <c r="E199" s="7" t="s">
        <v>112</v>
      </c>
      <c r="F199" s="7" t="s">
        <v>1001</v>
      </c>
      <c r="G199" s="7" t="s">
        <v>1208</v>
      </c>
      <c r="H199" s="7" t="s">
        <v>1209</v>
      </c>
      <c r="I199" s="7" t="s">
        <v>1215</v>
      </c>
      <c r="J199" s="9" t="s">
        <v>1216</v>
      </c>
      <c r="K199" s="7" t="s">
        <v>1173</v>
      </c>
      <c r="L199" s="10" t="s">
        <v>572</v>
      </c>
    </row>
    <row r="200" customFormat="false" ht="69.75" hidden="false" customHeight="true" outlineLevel="0" collapsed="false">
      <c r="A200" s="7" t="s">
        <v>1217</v>
      </c>
      <c r="B200" s="7" t="s">
        <v>1218</v>
      </c>
      <c r="C200" s="7" t="s">
        <v>923</v>
      </c>
      <c r="D200" s="7" t="s">
        <v>1219</v>
      </c>
      <c r="E200" s="7" t="s">
        <v>112</v>
      </c>
      <c r="F200" s="7" t="s">
        <v>1001</v>
      </c>
      <c r="G200" s="7" t="s">
        <v>1208</v>
      </c>
      <c r="H200" s="7" t="s">
        <v>1209</v>
      </c>
      <c r="I200" s="7" t="s">
        <v>1220</v>
      </c>
      <c r="J200" s="9" t="s">
        <v>1221</v>
      </c>
      <c r="K200" s="7" t="s">
        <v>1173</v>
      </c>
      <c r="L200" s="10" t="s">
        <v>572</v>
      </c>
    </row>
    <row r="201" customFormat="false" ht="69.75" hidden="false" customHeight="true" outlineLevel="0" collapsed="false">
      <c r="A201" s="7" t="s">
        <v>1222</v>
      </c>
      <c r="B201" s="7" t="s">
        <v>1223</v>
      </c>
      <c r="C201" s="7" t="s">
        <v>923</v>
      </c>
      <c r="D201" s="7" t="s">
        <v>1224</v>
      </c>
      <c r="E201" s="7" t="s">
        <v>112</v>
      </c>
      <c r="F201" s="7" t="s">
        <v>1001</v>
      </c>
      <c r="G201" s="7" t="s">
        <v>1208</v>
      </c>
      <c r="H201" s="7" t="s">
        <v>1209</v>
      </c>
      <c r="I201" s="7" t="s">
        <v>1225</v>
      </c>
      <c r="J201" s="9" t="s">
        <v>1226</v>
      </c>
      <c r="K201" s="7" t="s">
        <v>1173</v>
      </c>
      <c r="L201" s="10" t="s">
        <v>572</v>
      </c>
    </row>
    <row r="202" customFormat="false" ht="52.5" hidden="false" customHeight="true" outlineLevel="0" collapsed="false">
      <c r="A202" s="7" t="s">
        <v>1227</v>
      </c>
      <c r="B202" s="7" t="s">
        <v>1228</v>
      </c>
      <c r="C202" s="7" t="s">
        <v>1229</v>
      </c>
      <c r="D202" s="7" t="s">
        <v>163</v>
      </c>
      <c r="E202" s="7" t="s">
        <v>100</v>
      </c>
      <c r="F202" s="7" t="s">
        <v>164</v>
      </c>
      <c r="G202" s="7" t="s">
        <v>165</v>
      </c>
      <c r="H202" s="7" t="s">
        <v>166</v>
      </c>
      <c r="I202" s="7" t="s">
        <v>1230</v>
      </c>
      <c r="J202" s="9" t="s">
        <v>1231</v>
      </c>
      <c r="K202" s="7" t="s">
        <v>169</v>
      </c>
      <c r="L202" s="10" t="s">
        <v>170</v>
      </c>
    </row>
    <row r="203" customFormat="false" ht="35.25" hidden="false" customHeight="true" outlineLevel="0" collapsed="false">
      <c r="A203" s="7" t="s">
        <v>1232</v>
      </c>
      <c r="B203" s="7" t="s">
        <v>1233</v>
      </c>
      <c r="C203" s="7" t="s">
        <v>1229</v>
      </c>
      <c r="D203" s="7" t="s">
        <v>1234</v>
      </c>
      <c r="E203" s="7" t="s">
        <v>104</v>
      </c>
      <c r="F203" s="7" t="s">
        <v>1235</v>
      </c>
      <c r="G203" s="7" t="s">
        <v>1236</v>
      </c>
      <c r="H203" s="7" t="s">
        <v>1237</v>
      </c>
      <c r="I203" s="7" t="s">
        <v>1238</v>
      </c>
      <c r="J203" s="9" t="s">
        <v>1239</v>
      </c>
      <c r="K203" s="7" t="s">
        <v>1240</v>
      </c>
      <c r="L203" s="10" t="s">
        <v>170</v>
      </c>
    </row>
    <row r="204" customFormat="false" ht="52.5" hidden="false" customHeight="true" outlineLevel="0" collapsed="false">
      <c r="A204" s="7" t="s">
        <v>1241</v>
      </c>
      <c r="B204" s="7" t="s">
        <v>1242</v>
      </c>
      <c r="C204" s="7" t="s">
        <v>1229</v>
      </c>
      <c r="D204" s="7" t="s">
        <v>1243</v>
      </c>
      <c r="E204" s="7" t="s">
        <v>104</v>
      </c>
      <c r="F204" s="7" t="s">
        <v>1235</v>
      </c>
      <c r="G204" s="7" t="s">
        <v>1236</v>
      </c>
      <c r="H204" s="7" t="s">
        <v>1237</v>
      </c>
      <c r="I204" s="7" t="s">
        <v>1244</v>
      </c>
      <c r="J204" s="9" t="s">
        <v>1245</v>
      </c>
      <c r="K204" s="7" t="s">
        <v>1240</v>
      </c>
      <c r="L204" s="10" t="s">
        <v>170</v>
      </c>
    </row>
    <row r="205" customFormat="false" ht="52.5" hidden="false" customHeight="true" outlineLevel="0" collapsed="false">
      <c r="A205" s="7" t="s">
        <v>1246</v>
      </c>
      <c r="B205" s="7" t="s">
        <v>1247</v>
      </c>
      <c r="C205" s="7" t="s">
        <v>1229</v>
      </c>
      <c r="D205" s="7" t="s">
        <v>1248</v>
      </c>
      <c r="E205" s="7" t="s">
        <v>104</v>
      </c>
      <c r="F205" s="7" t="s">
        <v>1235</v>
      </c>
      <c r="G205" s="7" t="s">
        <v>1236</v>
      </c>
      <c r="H205" s="7" t="s">
        <v>1237</v>
      </c>
      <c r="I205" s="7" t="s">
        <v>1249</v>
      </c>
      <c r="J205" s="9" t="s">
        <v>1250</v>
      </c>
      <c r="K205" s="7" t="s">
        <v>1240</v>
      </c>
      <c r="L205" s="10" t="s">
        <v>170</v>
      </c>
    </row>
    <row r="206" customFormat="false" ht="52.5" hidden="false" customHeight="true" outlineLevel="0" collapsed="false">
      <c r="A206" s="7" t="s">
        <v>1251</v>
      </c>
      <c r="B206" s="7" t="s">
        <v>1252</v>
      </c>
      <c r="C206" s="7" t="s">
        <v>1229</v>
      </c>
      <c r="D206" s="7" t="s">
        <v>1253</v>
      </c>
      <c r="E206" s="7" t="s">
        <v>104</v>
      </c>
      <c r="F206" s="7" t="s">
        <v>1235</v>
      </c>
      <c r="G206" s="7" t="s">
        <v>1236</v>
      </c>
      <c r="H206" s="7" t="s">
        <v>1237</v>
      </c>
      <c r="I206" s="7" t="s">
        <v>1254</v>
      </c>
      <c r="J206" s="9" t="s">
        <v>1255</v>
      </c>
      <c r="K206" s="7" t="s">
        <v>1240</v>
      </c>
      <c r="L206" s="10" t="s">
        <v>170</v>
      </c>
    </row>
    <row r="207" customFormat="false" ht="35.25" hidden="false" customHeight="true" outlineLevel="0" collapsed="false">
      <c r="A207" s="7" t="s">
        <v>1256</v>
      </c>
      <c r="B207" s="7" t="s">
        <v>1257</v>
      </c>
      <c r="C207" s="7" t="s">
        <v>1229</v>
      </c>
      <c r="D207" s="7" t="s">
        <v>1258</v>
      </c>
      <c r="E207" s="7" t="s">
        <v>108</v>
      </c>
      <c r="F207" s="7" t="s">
        <v>318</v>
      </c>
      <c r="G207" s="7" t="s">
        <v>319</v>
      </c>
      <c r="H207" s="7" t="s">
        <v>320</v>
      </c>
      <c r="I207" s="7" t="s">
        <v>1259</v>
      </c>
      <c r="J207" s="9" t="s">
        <v>1260</v>
      </c>
      <c r="K207" s="7" t="s">
        <v>323</v>
      </c>
      <c r="L207" s="12" t="s">
        <v>186</v>
      </c>
    </row>
    <row r="208" customFormat="false" ht="69.75" hidden="false" customHeight="true" outlineLevel="0" collapsed="false">
      <c r="A208" s="7" t="s">
        <v>1261</v>
      </c>
      <c r="B208" s="7" t="s">
        <v>1262</v>
      </c>
      <c r="C208" s="7" t="s">
        <v>1229</v>
      </c>
      <c r="D208" s="7" t="s">
        <v>1263</v>
      </c>
      <c r="E208" s="7" t="s">
        <v>108</v>
      </c>
      <c r="F208" s="7" t="s">
        <v>318</v>
      </c>
      <c r="G208" s="7" t="s">
        <v>319</v>
      </c>
      <c r="H208" s="7" t="s">
        <v>320</v>
      </c>
      <c r="I208" s="7" t="s">
        <v>1264</v>
      </c>
      <c r="J208" s="9" t="s">
        <v>1265</v>
      </c>
      <c r="K208" s="7" t="s">
        <v>323</v>
      </c>
      <c r="L208" s="10" t="s">
        <v>572</v>
      </c>
    </row>
    <row r="209" customFormat="false" ht="69.75" hidden="false" customHeight="true" outlineLevel="0" collapsed="false">
      <c r="A209" s="7" t="s">
        <v>1266</v>
      </c>
      <c r="B209" s="7" t="s">
        <v>1267</v>
      </c>
      <c r="C209" s="7" t="s">
        <v>1229</v>
      </c>
      <c r="D209" s="7" t="s">
        <v>1268</v>
      </c>
      <c r="E209" s="7" t="s">
        <v>108</v>
      </c>
      <c r="F209" s="7" t="s">
        <v>318</v>
      </c>
      <c r="G209" s="7" t="s">
        <v>319</v>
      </c>
      <c r="H209" s="7" t="s">
        <v>320</v>
      </c>
      <c r="I209" s="7" t="s">
        <v>1269</v>
      </c>
      <c r="J209" s="9" t="s">
        <v>1270</v>
      </c>
      <c r="K209" s="7" t="s">
        <v>323</v>
      </c>
      <c r="L209" s="10" t="s">
        <v>572</v>
      </c>
    </row>
    <row r="210" customFormat="false" ht="35.25" hidden="false" customHeight="true" outlineLevel="0" collapsed="false">
      <c r="A210" s="7" t="s">
        <v>1271</v>
      </c>
      <c r="B210" s="7" t="s">
        <v>1272</v>
      </c>
      <c r="C210" s="7" t="s">
        <v>1229</v>
      </c>
      <c r="D210" s="7" t="s">
        <v>1273</v>
      </c>
      <c r="E210" s="7" t="s">
        <v>104</v>
      </c>
      <c r="F210" s="7" t="s">
        <v>1274</v>
      </c>
      <c r="G210" s="7" t="s">
        <v>1275</v>
      </c>
      <c r="H210" s="7" t="s">
        <v>1276</v>
      </c>
      <c r="I210" s="7" t="s">
        <v>1277</v>
      </c>
      <c r="J210" s="9" t="s">
        <v>1278</v>
      </c>
      <c r="K210" s="7" t="s">
        <v>1279</v>
      </c>
      <c r="L210" s="10" t="s">
        <v>170</v>
      </c>
    </row>
    <row r="211" customFormat="false" ht="52.5" hidden="false" customHeight="true" outlineLevel="0" collapsed="false">
      <c r="A211" s="7" t="s">
        <v>1280</v>
      </c>
      <c r="B211" s="7" t="s">
        <v>1281</v>
      </c>
      <c r="C211" s="7" t="s">
        <v>1229</v>
      </c>
      <c r="D211" s="7" t="s">
        <v>1282</v>
      </c>
      <c r="E211" s="7" t="s">
        <v>104</v>
      </c>
      <c r="F211" s="7" t="s">
        <v>1274</v>
      </c>
      <c r="G211" s="7" t="s">
        <v>1275</v>
      </c>
      <c r="H211" s="7" t="s">
        <v>1276</v>
      </c>
      <c r="I211" s="7" t="s">
        <v>1283</v>
      </c>
      <c r="J211" s="9" t="s">
        <v>1284</v>
      </c>
      <c r="K211" s="7" t="s">
        <v>1279</v>
      </c>
      <c r="L211" s="10" t="s">
        <v>170</v>
      </c>
    </row>
    <row r="212" customFormat="false" ht="35.25" hidden="false" customHeight="true" outlineLevel="0" collapsed="false">
      <c r="A212" s="7" t="s">
        <v>1285</v>
      </c>
      <c r="B212" s="7" t="s">
        <v>1286</v>
      </c>
      <c r="C212" s="7" t="s">
        <v>1229</v>
      </c>
      <c r="D212" s="7" t="s">
        <v>1287</v>
      </c>
      <c r="E212" s="7" t="s">
        <v>100</v>
      </c>
      <c r="F212" s="7" t="s">
        <v>1288</v>
      </c>
      <c r="G212" s="7" t="s">
        <v>1289</v>
      </c>
      <c r="H212" s="7" t="s">
        <v>1290</v>
      </c>
      <c r="I212" s="7" t="s">
        <v>1291</v>
      </c>
      <c r="J212" s="9" t="s">
        <v>1292</v>
      </c>
      <c r="K212" s="7" t="s">
        <v>169</v>
      </c>
      <c r="L212" s="10" t="s">
        <v>170</v>
      </c>
    </row>
    <row r="213" customFormat="false" ht="52.5" hidden="false" customHeight="true" outlineLevel="0" collapsed="false">
      <c r="A213" s="7" t="s">
        <v>1293</v>
      </c>
      <c r="B213" s="7" t="s">
        <v>1294</v>
      </c>
      <c r="C213" s="7" t="s">
        <v>1229</v>
      </c>
      <c r="D213" s="7" t="s">
        <v>1295</v>
      </c>
      <c r="E213" s="7" t="s">
        <v>100</v>
      </c>
      <c r="F213" s="7" t="s">
        <v>1288</v>
      </c>
      <c r="G213" s="7" t="s">
        <v>1289</v>
      </c>
      <c r="H213" s="7" t="s">
        <v>1290</v>
      </c>
      <c r="I213" s="7" t="s">
        <v>1296</v>
      </c>
      <c r="J213" s="9" t="s">
        <v>1297</v>
      </c>
      <c r="K213" s="7" t="s">
        <v>169</v>
      </c>
      <c r="L213" s="10" t="s">
        <v>170</v>
      </c>
    </row>
    <row r="214" customFormat="false" ht="52.5" hidden="false" customHeight="true" outlineLevel="0" collapsed="false">
      <c r="A214" s="7" t="s">
        <v>1298</v>
      </c>
      <c r="B214" s="7" t="s">
        <v>1299</v>
      </c>
      <c r="C214" s="7" t="s">
        <v>1229</v>
      </c>
      <c r="D214" s="7" t="s">
        <v>1300</v>
      </c>
      <c r="E214" s="7" t="s">
        <v>100</v>
      </c>
      <c r="F214" s="7" t="s">
        <v>1288</v>
      </c>
      <c r="G214" s="7" t="s">
        <v>1289</v>
      </c>
      <c r="H214" s="7" t="s">
        <v>1290</v>
      </c>
      <c r="I214" s="7" t="s">
        <v>1301</v>
      </c>
      <c r="J214" s="9" t="s">
        <v>1302</v>
      </c>
      <c r="K214" s="7" t="s">
        <v>169</v>
      </c>
      <c r="L214" s="10" t="s">
        <v>170</v>
      </c>
    </row>
    <row r="215" customFormat="false" ht="35.25" hidden="false" customHeight="true" outlineLevel="0" collapsed="false">
      <c r="A215" s="7" t="s">
        <v>1303</v>
      </c>
      <c r="B215" s="7" t="s">
        <v>1304</v>
      </c>
      <c r="C215" s="7" t="s">
        <v>1229</v>
      </c>
      <c r="D215" s="7" t="s">
        <v>1305</v>
      </c>
      <c r="E215" s="7" t="s">
        <v>112</v>
      </c>
      <c r="F215" s="7" t="s">
        <v>566</v>
      </c>
      <c r="G215" s="7" t="s">
        <v>969</v>
      </c>
      <c r="H215" s="7" t="s">
        <v>970</v>
      </c>
      <c r="I215" s="7" t="s">
        <v>1306</v>
      </c>
      <c r="J215" s="9" t="s">
        <v>1307</v>
      </c>
      <c r="K215" s="7" t="s">
        <v>1070</v>
      </c>
      <c r="L215" s="12" t="s">
        <v>186</v>
      </c>
    </row>
    <row r="216" customFormat="false" ht="69.75" hidden="false" customHeight="true" outlineLevel="0" collapsed="false">
      <c r="A216" s="7" t="s">
        <v>1308</v>
      </c>
      <c r="B216" s="7" t="s">
        <v>1309</v>
      </c>
      <c r="C216" s="7" t="s">
        <v>1229</v>
      </c>
      <c r="D216" s="7" t="s">
        <v>1310</v>
      </c>
      <c r="E216" s="7" t="s">
        <v>112</v>
      </c>
      <c r="F216" s="7" t="s">
        <v>566</v>
      </c>
      <c r="G216" s="7" t="s">
        <v>969</v>
      </c>
      <c r="H216" s="7" t="s">
        <v>970</v>
      </c>
      <c r="I216" s="7" t="s">
        <v>1311</v>
      </c>
      <c r="J216" s="9" t="s">
        <v>1312</v>
      </c>
      <c r="K216" s="7" t="s">
        <v>1070</v>
      </c>
      <c r="L216" s="10" t="s">
        <v>572</v>
      </c>
    </row>
    <row r="217" customFormat="false" ht="69.75" hidden="false" customHeight="true" outlineLevel="0" collapsed="false">
      <c r="A217" s="7" t="s">
        <v>1313</v>
      </c>
      <c r="B217" s="7" t="s">
        <v>1314</v>
      </c>
      <c r="C217" s="7" t="s">
        <v>1229</v>
      </c>
      <c r="D217" s="7" t="s">
        <v>1315</v>
      </c>
      <c r="E217" s="7" t="s">
        <v>112</v>
      </c>
      <c r="F217" s="7" t="s">
        <v>566</v>
      </c>
      <c r="G217" s="7" t="s">
        <v>969</v>
      </c>
      <c r="H217" s="7" t="s">
        <v>970</v>
      </c>
      <c r="I217" s="7" t="s">
        <v>1316</v>
      </c>
      <c r="J217" s="9" t="s">
        <v>1317</v>
      </c>
      <c r="K217" s="7" t="s">
        <v>1070</v>
      </c>
      <c r="L217" s="10" t="s">
        <v>572</v>
      </c>
    </row>
    <row r="218" customFormat="false" ht="69.75" hidden="false" customHeight="true" outlineLevel="0" collapsed="false">
      <c r="A218" s="7" t="s">
        <v>1318</v>
      </c>
      <c r="B218" s="7" t="s">
        <v>1319</v>
      </c>
      <c r="C218" s="7" t="s">
        <v>1229</v>
      </c>
      <c r="D218" s="7" t="s">
        <v>1320</v>
      </c>
      <c r="E218" s="7" t="s">
        <v>112</v>
      </c>
      <c r="F218" s="7" t="s">
        <v>566</v>
      </c>
      <c r="G218" s="7" t="s">
        <v>969</v>
      </c>
      <c r="H218" s="7" t="s">
        <v>970</v>
      </c>
      <c r="I218" s="7" t="s">
        <v>1321</v>
      </c>
      <c r="J218" s="9" t="s">
        <v>1322</v>
      </c>
      <c r="K218" s="7" t="s">
        <v>1070</v>
      </c>
      <c r="L218" s="10" t="s">
        <v>572</v>
      </c>
    </row>
    <row r="219" customFormat="false" ht="69.75" hidden="false" customHeight="true" outlineLevel="0" collapsed="false">
      <c r="A219" s="7" t="s">
        <v>1323</v>
      </c>
      <c r="B219" s="7" t="s">
        <v>1324</v>
      </c>
      <c r="C219" s="7" t="s">
        <v>1229</v>
      </c>
      <c r="D219" s="7" t="s">
        <v>1325</v>
      </c>
      <c r="E219" s="7" t="s">
        <v>112</v>
      </c>
      <c r="F219" s="7" t="s">
        <v>566</v>
      </c>
      <c r="G219" s="7" t="s">
        <v>969</v>
      </c>
      <c r="H219" s="7" t="s">
        <v>970</v>
      </c>
      <c r="I219" s="7" t="s">
        <v>1326</v>
      </c>
      <c r="J219" s="9" t="s">
        <v>1327</v>
      </c>
      <c r="K219" s="7" t="s">
        <v>1070</v>
      </c>
      <c r="L219" s="10" t="s">
        <v>572</v>
      </c>
    </row>
    <row r="220" customFormat="false" ht="69.75" hidden="false" customHeight="true" outlineLevel="0" collapsed="false">
      <c r="A220" s="7" t="s">
        <v>1328</v>
      </c>
      <c r="B220" s="7" t="s">
        <v>1329</v>
      </c>
      <c r="C220" s="7" t="s">
        <v>1229</v>
      </c>
      <c r="D220" s="7" t="s">
        <v>1330</v>
      </c>
      <c r="E220" s="7" t="s">
        <v>112</v>
      </c>
      <c r="F220" s="7" t="s">
        <v>566</v>
      </c>
      <c r="G220" s="7" t="s">
        <v>969</v>
      </c>
      <c r="H220" s="7" t="s">
        <v>970</v>
      </c>
      <c r="I220" s="7" t="s">
        <v>1331</v>
      </c>
      <c r="J220" s="9" t="s">
        <v>1332</v>
      </c>
      <c r="K220" s="7" t="s">
        <v>1070</v>
      </c>
      <c r="L220" s="10" t="s">
        <v>572</v>
      </c>
    </row>
    <row r="221" customFormat="false" ht="35.25" hidden="false" customHeight="true" outlineLevel="0" collapsed="false">
      <c r="A221" s="7" t="s">
        <v>1333</v>
      </c>
      <c r="B221" s="7" t="s">
        <v>1334</v>
      </c>
      <c r="C221" s="7" t="s">
        <v>1229</v>
      </c>
      <c r="D221" s="7" t="s">
        <v>1335</v>
      </c>
      <c r="E221" s="7" t="s">
        <v>104</v>
      </c>
      <c r="F221" s="7" t="s">
        <v>1274</v>
      </c>
      <c r="G221" s="7" t="s">
        <v>1336</v>
      </c>
      <c r="H221" s="7" t="s">
        <v>1337</v>
      </c>
      <c r="I221" s="7" t="s">
        <v>1338</v>
      </c>
      <c r="J221" s="9" t="s">
        <v>1339</v>
      </c>
      <c r="K221" s="7" t="s">
        <v>1240</v>
      </c>
      <c r="L221" s="10" t="s">
        <v>170</v>
      </c>
    </row>
    <row r="222" customFormat="false" ht="52.5" hidden="false" customHeight="true" outlineLevel="0" collapsed="false">
      <c r="A222" s="7" t="s">
        <v>1340</v>
      </c>
      <c r="B222" s="7" t="s">
        <v>1341</v>
      </c>
      <c r="C222" s="7" t="s">
        <v>1229</v>
      </c>
      <c r="D222" s="7" t="s">
        <v>1342</v>
      </c>
      <c r="E222" s="7" t="s">
        <v>104</v>
      </c>
      <c r="F222" s="7" t="s">
        <v>1274</v>
      </c>
      <c r="G222" s="7" t="s">
        <v>1336</v>
      </c>
      <c r="H222" s="7" t="s">
        <v>1337</v>
      </c>
      <c r="I222" s="7" t="s">
        <v>1343</v>
      </c>
      <c r="J222" s="9" t="s">
        <v>1344</v>
      </c>
      <c r="K222" s="7" t="s">
        <v>1240</v>
      </c>
      <c r="L222" s="10" t="s">
        <v>170</v>
      </c>
    </row>
    <row r="223" customFormat="false" ht="35.25" hidden="false" customHeight="true" outlineLevel="0" collapsed="false">
      <c r="A223" s="7" t="s">
        <v>1345</v>
      </c>
      <c r="B223" s="7" t="s">
        <v>1346</v>
      </c>
      <c r="C223" s="7" t="s">
        <v>1229</v>
      </c>
      <c r="D223" s="7" t="s">
        <v>1347</v>
      </c>
      <c r="E223" s="7" t="s">
        <v>104</v>
      </c>
      <c r="F223" s="7" t="s">
        <v>1274</v>
      </c>
      <c r="G223" s="7" t="s">
        <v>1336</v>
      </c>
      <c r="H223" s="7" t="s">
        <v>1337</v>
      </c>
      <c r="I223" s="7" t="s">
        <v>1348</v>
      </c>
      <c r="J223" s="9" t="s">
        <v>1349</v>
      </c>
      <c r="K223" s="7" t="s">
        <v>1240</v>
      </c>
      <c r="L223" s="10" t="s">
        <v>170</v>
      </c>
    </row>
    <row r="224" customFormat="false" ht="35.25" hidden="false" customHeight="true" outlineLevel="0" collapsed="false">
      <c r="A224" s="7" t="s">
        <v>1350</v>
      </c>
      <c r="B224" s="7" t="s">
        <v>1351</v>
      </c>
      <c r="C224" s="7" t="s">
        <v>1229</v>
      </c>
      <c r="D224" s="7" t="s">
        <v>1352</v>
      </c>
      <c r="E224" s="7" t="s">
        <v>104</v>
      </c>
      <c r="F224" s="7" t="s">
        <v>1274</v>
      </c>
      <c r="G224" s="7" t="s">
        <v>1336</v>
      </c>
      <c r="H224" s="7" t="s">
        <v>1337</v>
      </c>
      <c r="I224" s="7" t="s">
        <v>1353</v>
      </c>
      <c r="J224" s="9" t="s">
        <v>1354</v>
      </c>
      <c r="K224" s="7" t="s">
        <v>1240</v>
      </c>
      <c r="L224" s="10" t="s">
        <v>170</v>
      </c>
    </row>
    <row r="225" customFormat="false" ht="35.25" hidden="false" customHeight="true" outlineLevel="0" collapsed="false">
      <c r="A225" s="7" t="s">
        <v>1355</v>
      </c>
      <c r="B225" s="7" t="s">
        <v>1356</v>
      </c>
      <c r="C225" s="7" t="s">
        <v>1229</v>
      </c>
      <c r="D225" s="7" t="s">
        <v>1357</v>
      </c>
      <c r="E225" s="7" t="s">
        <v>108</v>
      </c>
      <c r="F225" s="7" t="s">
        <v>318</v>
      </c>
      <c r="G225" s="7" t="s">
        <v>319</v>
      </c>
      <c r="H225" s="7" t="s">
        <v>320</v>
      </c>
      <c r="I225" s="7" t="s">
        <v>1358</v>
      </c>
      <c r="J225" s="9" t="s">
        <v>1359</v>
      </c>
      <c r="K225" s="7" t="s">
        <v>323</v>
      </c>
      <c r="L225" s="12" t="s">
        <v>186</v>
      </c>
    </row>
    <row r="226" customFormat="false" ht="69.75" hidden="false" customHeight="true" outlineLevel="0" collapsed="false">
      <c r="A226" s="7" t="s">
        <v>1360</v>
      </c>
      <c r="B226" s="7" t="s">
        <v>1361</v>
      </c>
      <c r="C226" s="7" t="s">
        <v>1229</v>
      </c>
      <c r="D226" s="7" t="s">
        <v>1362</v>
      </c>
      <c r="E226" s="7" t="s">
        <v>108</v>
      </c>
      <c r="F226" s="7" t="s">
        <v>318</v>
      </c>
      <c r="G226" s="7" t="s">
        <v>319</v>
      </c>
      <c r="H226" s="7" t="s">
        <v>320</v>
      </c>
      <c r="I226" s="7" t="s">
        <v>1363</v>
      </c>
      <c r="J226" s="9" t="s">
        <v>1364</v>
      </c>
      <c r="K226" s="7" t="s">
        <v>323</v>
      </c>
      <c r="L226" s="10" t="s">
        <v>572</v>
      </c>
    </row>
    <row r="227" customFormat="false" ht="52.5" hidden="false" customHeight="true" outlineLevel="0" collapsed="false">
      <c r="A227" s="7" t="s">
        <v>1365</v>
      </c>
      <c r="B227" s="7" t="s">
        <v>1366</v>
      </c>
      <c r="C227" s="7" t="s">
        <v>1367</v>
      </c>
      <c r="D227" s="7" t="s">
        <v>163</v>
      </c>
      <c r="E227" s="7" t="s">
        <v>100</v>
      </c>
      <c r="F227" s="7" t="s">
        <v>164</v>
      </c>
      <c r="G227" s="7" t="s">
        <v>165</v>
      </c>
      <c r="H227" s="7" t="s">
        <v>166</v>
      </c>
      <c r="I227" s="7" t="s">
        <v>1368</v>
      </c>
      <c r="J227" s="9" t="s">
        <v>1369</v>
      </c>
      <c r="K227" s="7" t="s">
        <v>169</v>
      </c>
      <c r="L227" s="10" t="s">
        <v>170</v>
      </c>
    </row>
    <row r="228" customFormat="false" ht="35.25" hidden="false" customHeight="true" outlineLevel="0" collapsed="false">
      <c r="A228" s="7" t="s">
        <v>1370</v>
      </c>
      <c r="B228" s="7" t="s">
        <v>1371</v>
      </c>
      <c r="C228" s="7" t="s">
        <v>1367</v>
      </c>
      <c r="D228" s="7" t="s">
        <v>1372</v>
      </c>
      <c r="E228" s="7" t="s">
        <v>108</v>
      </c>
      <c r="F228" s="7" t="s">
        <v>748</v>
      </c>
      <c r="G228" s="7" t="s">
        <v>749</v>
      </c>
      <c r="H228" s="7" t="s">
        <v>750</v>
      </c>
      <c r="I228" s="7" t="s">
        <v>1373</v>
      </c>
      <c r="J228" s="9" t="s">
        <v>1374</v>
      </c>
      <c r="K228" s="7" t="s">
        <v>1375</v>
      </c>
      <c r="L228" s="11" t="s">
        <v>180</v>
      </c>
    </row>
    <row r="229" customFormat="false" ht="87" hidden="false" customHeight="true" outlineLevel="0" collapsed="false">
      <c r="A229" s="7" t="s">
        <v>1376</v>
      </c>
      <c r="B229" s="7" t="s">
        <v>1377</v>
      </c>
      <c r="C229" s="7" t="s">
        <v>1367</v>
      </c>
      <c r="D229" s="7" t="s">
        <v>1378</v>
      </c>
      <c r="E229" s="7" t="s">
        <v>108</v>
      </c>
      <c r="F229" s="7" t="s">
        <v>748</v>
      </c>
      <c r="G229" s="7" t="s">
        <v>749</v>
      </c>
      <c r="H229" s="7" t="s">
        <v>750</v>
      </c>
      <c r="I229" s="7" t="s">
        <v>1379</v>
      </c>
      <c r="J229" s="9" t="s">
        <v>1380</v>
      </c>
      <c r="K229" s="7" t="s">
        <v>1375</v>
      </c>
      <c r="L229" s="12" t="s">
        <v>186</v>
      </c>
    </row>
    <row r="230" customFormat="false" ht="87" hidden="false" customHeight="true" outlineLevel="0" collapsed="false">
      <c r="A230" s="7" t="s">
        <v>1381</v>
      </c>
      <c r="B230" s="7" t="s">
        <v>1382</v>
      </c>
      <c r="C230" s="7" t="s">
        <v>1367</v>
      </c>
      <c r="D230" s="7" t="s">
        <v>1383</v>
      </c>
      <c r="E230" s="7" t="s">
        <v>108</v>
      </c>
      <c r="F230" s="7" t="s">
        <v>748</v>
      </c>
      <c r="G230" s="7" t="s">
        <v>749</v>
      </c>
      <c r="H230" s="7" t="s">
        <v>750</v>
      </c>
      <c r="I230" s="7" t="s">
        <v>1384</v>
      </c>
      <c r="J230" s="9" t="s">
        <v>1385</v>
      </c>
      <c r="K230" s="7" t="s">
        <v>1375</v>
      </c>
      <c r="L230" s="12" t="s">
        <v>186</v>
      </c>
    </row>
    <row r="231" customFormat="false" ht="87" hidden="false" customHeight="true" outlineLevel="0" collapsed="false">
      <c r="A231" s="7" t="s">
        <v>1386</v>
      </c>
      <c r="B231" s="7" t="s">
        <v>1387</v>
      </c>
      <c r="C231" s="7" t="s">
        <v>1367</v>
      </c>
      <c r="D231" s="7" t="s">
        <v>1388</v>
      </c>
      <c r="E231" s="7" t="s">
        <v>108</v>
      </c>
      <c r="F231" s="7" t="s">
        <v>748</v>
      </c>
      <c r="G231" s="7" t="s">
        <v>749</v>
      </c>
      <c r="H231" s="7" t="s">
        <v>750</v>
      </c>
      <c r="I231" s="7" t="s">
        <v>1389</v>
      </c>
      <c r="J231" s="9" t="s">
        <v>1390</v>
      </c>
      <c r="K231" s="7" t="s">
        <v>1375</v>
      </c>
      <c r="L231" s="12" t="s">
        <v>186</v>
      </c>
    </row>
    <row r="232" customFormat="false" ht="87" hidden="false" customHeight="true" outlineLevel="0" collapsed="false">
      <c r="A232" s="7" t="s">
        <v>1391</v>
      </c>
      <c r="B232" s="7" t="s">
        <v>1392</v>
      </c>
      <c r="C232" s="7" t="s">
        <v>1367</v>
      </c>
      <c r="D232" s="7" t="s">
        <v>1393</v>
      </c>
      <c r="E232" s="7" t="s">
        <v>108</v>
      </c>
      <c r="F232" s="7" t="s">
        <v>748</v>
      </c>
      <c r="G232" s="7" t="s">
        <v>749</v>
      </c>
      <c r="H232" s="7" t="s">
        <v>750</v>
      </c>
      <c r="I232" s="7" t="s">
        <v>1394</v>
      </c>
      <c r="J232" s="9" t="s">
        <v>1395</v>
      </c>
      <c r="K232" s="7" t="s">
        <v>1375</v>
      </c>
      <c r="L232" s="12" t="s">
        <v>186</v>
      </c>
    </row>
    <row r="233" customFormat="false" ht="35.25" hidden="false" customHeight="true" outlineLevel="0" collapsed="false">
      <c r="A233" s="7" t="s">
        <v>1396</v>
      </c>
      <c r="B233" s="7" t="s">
        <v>1397</v>
      </c>
      <c r="C233" s="7" t="s">
        <v>1367</v>
      </c>
      <c r="D233" s="7" t="s">
        <v>1398</v>
      </c>
      <c r="E233" s="7" t="s">
        <v>104</v>
      </c>
      <c r="F233" s="7" t="s">
        <v>1274</v>
      </c>
      <c r="G233" s="7" t="s">
        <v>1399</v>
      </c>
      <c r="H233" s="7" t="s">
        <v>1400</v>
      </c>
      <c r="I233" s="7" t="s">
        <v>1401</v>
      </c>
      <c r="J233" s="9" t="s">
        <v>1402</v>
      </c>
      <c r="K233" s="7" t="s">
        <v>624</v>
      </c>
      <c r="L233" s="11" t="s">
        <v>180</v>
      </c>
    </row>
    <row r="234" customFormat="false" ht="87" hidden="false" customHeight="true" outlineLevel="0" collapsed="false">
      <c r="A234" s="7" t="s">
        <v>1403</v>
      </c>
      <c r="B234" s="7" t="s">
        <v>1404</v>
      </c>
      <c r="C234" s="7" t="s">
        <v>1367</v>
      </c>
      <c r="D234" s="7" t="s">
        <v>1405</v>
      </c>
      <c r="E234" s="7" t="s">
        <v>104</v>
      </c>
      <c r="F234" s="7" t="s">
        <v>1274</v>
      </c>
      <c r="G234" s="7" t="s">
        <v>1399</v>
      </c>
      <c r="H234" s="7" t="s">
        <v>1400</v>
      </c>
      <c r="I234" s="7" t="s">
        <v>1406</v>
      </c>
      <c r="J234" s="9" t="s">
        <v>1407</v>
      </c>
      <c r="K234" s="7" t="s">
        <v>624</v>
      </c>
      <c r="L234" s="12" t="s">
        <v>186</v>
      </c>
    </row>
    <row r="235" customFormat="false" ht="87" hidden="false" customHeight="true" outlineLevel="0" collapsed="false">
      <c r="A235" s="7" t="s">
        <v>1408</v>
      </c>
      <c r="B235" s="7" t="s">
        <v>1409</v>
      </c>
      <c r="C235" s="7" t="s">
        <v>1367</v>
      </c>
      <c r="D235" s="7" t="s">
        <v>1410</v>
      </c>
      <c r="E235" s="7" t="s">
        <v>104</v>
      </c>
      <c r="F235" s="7" t="s">
        <v>1274</v>
      </c>
      <c r="G235" s="7" t="s">
        <v>1399</v>
      </c>
      <c r="H235" s="7" t="s">
        <v>1400</v>
      </c>
      <c r="I235" s="7" t="s">
        <v>1411</v>
      </c>
      <c r="J235" s="9" t="s">
        <v>1412</v>
      </c>
      <c r="K235" s="7" t="s">
        <v>624</v>
      </c>
      <c r="L235" s="12" t="s">
        <v>186</v>
      </c>
    </row>
    <row r="236" customFormat="false" ht="69.75" hidden="false" customHeight="true" outlineLevel="0" collapsed="false">
      <c r="A236" s="7" t="s">
        <v>1413</v>
      </c>
      <c r="B236" s="7" t="s">
        <v>1414</v>
      </c>
      <c r="C236" s="7" t="s">
        <v>1367</v>
      </c>
      <c r="D236" s="7" t="s">
        <v>1415</v>
      </c>
      <c r="E236" s="7" t="s">
        <v>104</v>
      </c>
      <c r="F236" s="7" t="s">
        <v>1274</v>
      </c>
      <c r="G236" s="7" t="s">
        <v>1399</v>
      </c>
      <c r="H236" s="7" t="s">
        <v>1400</v>
      </c>
      <c r="I236" s="7" t="s">
        <v>1416</v>
      </c>
      <c r="J236" s="9" t="s">
        <v>1417</v>
      </c>
      <c r="K236" s="7" t="s">
        <v>624</v>
      </c>
      <c r="L236" s="12" t="s">
        <v>186</v>
      </c>
    </row>
    <row r="237" customFormat="false" ht="69.75" hidden="false" customHeight="true" outlineLevel="0" collapsed="false">
      <c r="A237" s="7" t="s">
        <v>1418</v>
      </c>
      <c r="B237" s="7" t="s">
        <v>1419</v>
      </c>
      <c r="C237" s="7" t="s">
        <v>1367</v>
      </c>
      <c r="D237" s="7" t="s">
        <v>1420</v>
      </c>
      <c r="E237" s="7" t="s">
        <v>104</v>
      </c>
      <c r="F237" s="7" t="s">
        <v>1274</v>
      </c>
      <c r="G237" s="7" t="s">
        <v>1399</v>
      </c>
      <c r="H237" s="7" t="s">
        <v>1400</v>
      </c>
      <c r="I237" s="7" t="s">
        <v>1421</v>
      </c>
      <c r="J237" s="9" t="s">
        <v>1422</v>
      </c>
      <c r="K237" s="7" t="s">
        <v>624</v>
      </c>
      <c r="L237" s="12" t="s">
        <v>186</v>
      </c>
    </row>
    <row r="238" customFormat="false" ht="69.75" hidden="false" customHeight="true" outlineLevel="0" collapsed="false">
      <c r="A238" s="7" t="s">
        <v>1423</v>
      </c>
      <c r="B238" s="7" t="s">
        <v>1424</v>
      </c>
      <c r="C238" s="7" t="s">
        <v>1367</v>
      </c>
      <c r="D238" s="7" t="s">
        <v>1425</v>
      </c>
      <c r="E238" s="7" t="s">
        <v>104</v>
      </c>
      <c r="F238" s="7" t="s">
        <v>1274</v>
      </c>
      <c r="G238" s="7" t="s">
        <v>1399</v>
      </c>
      <c r="H238" s="7" t="s">
        <v>1400</v>
      </c>
      <c r="I238" s="7" t="s">
        <v>1426</v>
      </c>
      <c r="J238" s="9" t="s">
        <v>1427</v>
      </c>
      <c r="K238" s="7" t="s">
        <v>624</v>
      </c>
      <c r="L238" s="12" t="s">
        <v>186</v>
      </c>
    </row>
    <row r="239" customFormat="false" ht="69.75" hidden="false" customHeight="true" outlineLevel="0" collapsed="false">
      <c r="A239" s="7" t="s">
        <v>1428</v>
      </c>
      <c r="B239" s="7" t="s">
        <v>1429</v>
      </c>
      <c r="C239" s="7" t="s">
        <v>1367</v>
      </c>
      <c r="D239" s="7" t="s">
        <v>1430</v>
      </c>
      <c r="E239" s="7" t="s">
        <v>104</v>
      </c>
      <c r="F239" s="7" t="s">
        <v>1274</v>
      </c>
      <c r="G239" s="7" t="s">
        <v>1399</v>
      </c>
      <c r="H239" s="7" t="s">
        <v>1400</v>
      </c>
      <c r="I239" s="7" t="s">
        <v>1431</v>
      </c>
      <c r="J239" s="9" t="s">
        <v>1432</v>
      </c>
      <c r="K239" s="7" t="s">
        <v>624</v>
      </c>
      <c r="L239" s="12" t="s">
        <v>186</v>
      </c>
    </row>
    <row r="240" customFormat="false" ht="69.75" hidden="false" customHeight="true" outlineLevel="0" collapsed="false">
      <c r="A240" s="7" t="s">
        <v>1433</v>
      </c>
      <c r="B240" s="7" t="s">
        <v>1434</v>
      </c>
      <c r="C240" s="7" t="s">
        <v>1367</v>
      </c>
      <c r="D240" s="7" t="s">
        <v>1435</v>
      </c>
      <c r="E240" s="7" t="s">
        <v>104</v>
      </c>
      <c r="F240" s="7" t="s">
        <v>1274</v>
      </c>
      <c r="G240" s="7" t="s">
        <v>1399</v>
      </c>
      <c r="H240" s="7" t="s">
        <v>1400</v>
      </c>
      <c r="I240" s="7" t="s">
        <v>1436</v>
      </c>
      <c r="J240" s="9" t="s">
        <v>1437</v>
      </c>
      <c r="K240" s="7" t="s">
        <v>624</v>
      </c>
      <c r="L240" s="12" t="s">
        <v>186</v>
      </c>
    </row>
    <row r="241" customFormat="false" ht="69.75" hidden="false" customHeight="true" outlineLevel="0" collapsed="false">
      <c r="A241" s="7" t="s">
        <v>1438</v>
      </c>
      <c r="B241" s="7" t="s">
        <v>1439</v>
      </c>
      <c r="C241" s="7" t="s">
        <v>1367</v>
      </c>
      <c r="D241" s="7" t="s">
        <v>1440</v>
      </c>
      <c r="E241" s="7" t="s">
        <v>104</v>
      </c>
      <c r="F241" s="7" t="s">
        <v>1274</v>
      </c>
      <c r="G241" s="7" t="s">
        <v>1399</v>
      </c>
      <c r="H241" s="7" t="s">
        <v>1400</v>
      </c>
      <c r="I241" s="7" t="s">
        <v>1441</v>
      </c>
      <c r="J241" s="9" t="s">
        <v>1442</v>
      </c>
      <c r="K241" s="7" t="s">
        <v>624</v>
      </c>
      <c r="L241" s="12" t="s">
        <v>186</v>
      </c>
    </row>
    <row r="242" customFormat="false" ht="35.25" hidden="false" customHeight="true" outlineLevel="0" collapsed="false">
      <c r="A242" s="7" t="s">
        <v>1443</v>
      </c>
      <c r="B242" s="7" t="s">
        <v>1444</v>
      </c>
      <c r="C242" s="7" t="s">
        <v>1367</v>
      </c>
      <c r="D242" s="7" t="s">
        <v>1445</v>
      </c>
      <c r="E242" s="7" t="s">
        <v>104</v>
      </c>
      <c r="F242" s="7" t="s">
        <v>1274</v>
      </c>
      <c r="G242" s="7" t="s">
        <v>1399</v>
      </c>
      <c r="H242" s="7" t="s">
        <v>1400</v>
      </c>
      <c r="I242" s="7" t="s">
        <v>1446</v>
      </c>
      <c r="J242" s="9" t="s">
        <v>1447</v>
      </c>
      <c r="K242" s="7" t="s">
        <v>624</v>
      </c>
      <c r="L242" s="10" t="s">
        <v>170</v>
      </c>
    </row>
    <row r="243" customFormat="false" ht="35.25" hidden="false" customHeight="true" outlineLevel="0" collapsed="false">
      <c r="A243" s="7" t="s">
        <v>1448</v>
      </c>
      <c r="B243" s="7" t="s">
        <v>1449</v>
      </c>
      <c r="C243" s="7" t="s">
        <v>1367</v>
      </c>
      <c r="D243" s="7" t="s">
        <v>1450</v>
      </c>
      <c r="E243" s="7" t="s">
        <v>104</v>
      </c>
      <c r="F243" s="7" t="s">
        <v>1274</v>
      </c>
      <c r="G243" s="7" t="s">
        <v>1399</v>
      </c>
      <c r="H243" s="7" t="s">
        <v>1400</v>
      </c>
      <c r="I243" s="7" t="s">
        <v>1451</v>
      </c>
      <c r="J243" s="9" t="s">
        <v>1452</v>
      </c>
      <c r="K243" s="7" t="s">
        <v>624</v>
      </c>
      <c r="L243" s="10" t="s">
        <v>170</v>
      </c>
    </row>
    <row r="244" customFormat="false" ht="35.25" hidden="false" customHeight="true" outlineLevel="0" collapsed="false">
      <c r="A244" s="7" t="s">
        <v>1453</v>
      </c>
      <c r="B244" s="7" t="s">
        <v>1454</v>
      </c>
      <c r="C244" s="7" t="s">
        <v>1367</v>
      </c>
      <c r="D244" s="7" t="s">
        <v>1455</v>
      </c>
      <c r="E244" s="7" t="s">
        <v>104</v>
      </c>
      <c r="F244" s="7" t="s">
        <v>1274</v>
      </c>
      <c r="G244" s="7" t="s">
        <v>1399</v>
      </c>
      <c r="H244" s="7" t="s">
        <v>1400</v>
      </c>
      <c r="I244" s="7" t="s">
        <v>1456</v>
      </c>
      <c r="J244" s="9" t="s">
        <v>1457</v>
      </c>
      <c r="K244" s="7" t="s">
        <v>624</v>
      </c>
      <c r="L244" s="10" t="s">
        <v>170</v>
      </c>
    </row>
    <row r="245" customFormat="false" ht="52.5" hidden="false" customHeight="true" outlineLevel="0" collapsed="false">
      <c r="A245" s="7" t="s">
        <v>1458</v>
      </c>
      <c r="B245" s="7" t="s">
        <v>1459</v>
      </c>
      <c r="C245" s="7" t="s">
        <v>1367</v>
      </c>
      <c r="D245" s="7" t="s">
        <v>1460</v>
      </c>
      <c r="E245" s="7" t="s">
        <v>108</v>
      </c>
      <c r="F245" s="7" t="s">
        <v>174</v>
      </c>
      <c r="G245" s="7" t="s">
        <v>245</v>
      </c>
      <c r="H245" s="7" t="s">
        <v>246</v>
      </c>
      <c r="I245" s="7" t="s">
        <v>1461</v>
      </c>
      <c r="J245" s="9" t="s">
        <v>1462</v>
      </c>
      <c r="K245" s="7" t="s">
        <v>624</v>
      </c>
      <c r="L245" s="11" t="s">
        <v>180</v>
      </c>
    </row>
    <row r="246" customFormat="false" ht="87" hidden="false" customHeight="true" outlineLevel="0" collapsed="false">
      <c r="A246" s="7" t="s">
        <v>1463</v>
      </c>
      <c r="B246" s="7" t="s">
        <v>1464</v>
      </c>
      <c r="C246" s="7" t="s">
        <v>1367</v>
      </c>
      <c r="D246" s="7" t="s">
        <v>1465</v>
      </c>
      <c r="E246" s="7" t="s">
        <v>108</v>
      </c>
      <c r="F246" s="7" t="s">
        <v>174</v>
      </c>
      <c r="G246" s="7" t="s">
        <v>245</v>
      </c>
      <c r="H246" s="7" t="s">
        <v>246</v>
      </c>
      <c r="I246" s="7" t="s">
        <v>1466</v>
      </c>
      <c r="J246" s="9" t="s">
        <v>1467</v>
      </c>
      <c r="K246" s="7" t="s">
        <v>624</v>
      </c>
      <c r="L246" s="11" t="s">
        <v>180</v>
      </c>
    </row>
    <row r="247" customFormat="false" ht="69.75" hidden="false" customHeight="true" outlineLevel="0" collapsed="false">
      <c r="A247" s="7" t="s">
        <v>1468</v>
      </c>
      <c r="B247" s="7" t="s">
        <v>1469</v>
      </c>
      <c r="C247" s="7" t="s">
        <v>1367</v>
      </c>
      <c r="D247" s="7" t="s">
        <v>1470</v>
      </c>
      <c r="E247" s="7" t="s">
        <v>108</v>
      </c>
      <c r="F247" s="7" t="s">
        <v>174</v>
      </c>
      <c r="G247" s="7" t="s">
        <v>245</v>
      </c>
      <c r="H247" s="7" t="s">
        <v>246</v>
      </c>
      <c r="I247" s="7" t="s">
        <v>1471</v>
      </c>
      <c r="J247" s="9" t="s">
        <v>1472</v>
      </c>
      <c r="K247" s="7" t="s">
        <v>624</v>
      </c>
      <c r="L247" s="12" t="s">
        <v>186</v>
      </c>
    </row>
    <row r="248" customFormat="false" ht="69.75" hidden="false" customHeight="true" outlineLevel="0" collapsed="false">
      <c r="A248" s="7" t="s">
        <v>1473</v>
      </c>
      <c r="B248" s="7" t="s">
        <v>1474</v>
      </c>
      <c r="C248" s="7" t="s">
        <v>1367</v>
      </c>
      <c r="D248" s="7" t="s">
        <v>1475</v>
      </c>
      <c r="E248" s="7" t="s">
        <v>108</v>
      </c>
      <c r="F248" s="7" t="s">
        <v>174</v>
      </c>
      <c r="G248" s="7" t="s">
        <v>245</v>
      </c>
      <c r="H248" s="7" t="s">
        <v>246</v>
      </c>
      <c r="I248" s="7" t="s">
        <v>1476</v>
      </c>
      <c r="J248" s="9" t="s">
        <v>1477</v>
      </c>
      <c r="K248" s="7" t="s">
        <v>624</v>
      </c>
      <c r="L248" s="12" t="s">
        <v>186</v>
      </c>
    </row>
    <row r="249" customFormat="false" ht="87" hidden="false" customHeight="true" outlineLevel="0" collapsed="false">
      <c r="A249" s="7" t="s">
        <v>1478</v>
      </c>
      <c r="B249" s="7" t="s">
        <v>1479</v>
      </c>
      <c r="C249" s="7" t="s">
        <v>1367</v>
      </c>
      <c r="D249" s="7" t="s">
        <v>1480</v>
      </c>
      <c r="E249" s="7" t="s">
        <v>108</v>
      </c>
      <c r="F249" s="7" t="s">
        <v>174</v>
      </c>
      <c r="G249" s="7" t="s">
        <v>245</v>
      </c>
      <c r="H249" s="7" t="s">
        <v>246</v>
      </c>
      <c r="I249" s="7" t="s">
        <v>1481</v>
      </c>
      <c r="J249" s="9" t="s">
        <v>1482</v>
      </c>
      <c r="K249" s="7" t="s">
        <v>624</v>
      </c>
      <c r="L249" s="12" t="s">
        <v>186</v>
      </c>
    </row>
    <row r="250" customFormat="false" ht="69.75" hidden="false" customHeight="true" outlineLevel="0" collapsed="false">
      <c r="A250" s="7" t="s">
        <v>1483</v>
      </c>
      <c r="B250" s="7" t="s">
        <v>1484</v>
      </c>
      <c r="C250" s="7" t="s">
        <v>1367</v>
      </c>
      <c r="D250" s="7" t="s">
        <v>1485</v>
      </c>
      <c r="E250" s="7" t="s">
        <v>108</v>
      </c>
      <c r="F250" s="7" t="s">
        <v>174</v>
      </c>
      <c r="G250" s="7" t="s">
        <v>245</v>
      </c>
      <c r="H250" s="7" t="s">
        <v>246</v>
      </c>
      <c r="I250" s="7" t="s">
        <v>1486</v>
      </c>
      <c r="J250" s="9" t="s">
        <v>1487</v>
      </c>
      <c r="K250" s="7" t="s">
        <v>624</v>
      </c>
      <c r="L250" s="12" t="s">
        <v>186</v>
      </c>
    </row>
    <row r="251" customFormat="false" ht="35.25" hidden="false" customHeight="true" outlineLevel="0" collapsed="false">
      <c r="A251" s="7" t="s">
        <v>1488</v>
      </c>
      <c r="B251" s="7" t="s">
        <v>1489</v>
      </c>
      <c r="C251" s="7" t="s">
        <v>1367</v>
      </c>
      <c r="D251" s="7" t="s">
        <v>1490</v>
      </c>
      <c r="E251" s="7" t="s">
        <v>108</v>
      </c>
      <c r="F251" s="7" t="s">
        <v>748</v>
      </c>
      <c r="G251" s="7" t="s">
        <v>749</v>
      </c>
      <c r="H251" s="7" t="s">
        <v>750</v>
      </c>
      <c r="I251" s="7" t="s">
        <v>1491</v>
      </c>
      <c r="J251" s="9" t="s">
        <v>1492</v>
      </c>
      <c r="K251" s="7" t="s">
        <v>1375</v>
      </c>
      <c r="L251" s="11" t="s">
        <v>180</v>
      </c>
    </row>
    <row r="252" customFormat="false" ht="87" hidden="false" customHeight="true" outlineLevel="0" collapsed="false">
      <c r="A252" s="7" t="s">
        <v>1493</v>
      </c>
      <c r="B252" s="7" t="s">
        <v>1494</v>
      </c>
      <c r="C252" s="7" t="s">
        <v>1367</v>
      </c>
      <c r="D252" s="7" t="s">
        <v>1495</v>
      </c>
      <c r="E252" s="7" t="s">
        <v>108</v>
      </c>
      <c r="F252" s="7" t="s">
        <v>748</v>
      </c>
      <c r="G252" s="7" t="s">
        <v>749</v>
      </c>
      <c r="H252" s="7" t="s">
        <v>750</v>
      </c>
      <c r="I252" s="7" t="s">
        <v>1496</v>
      </c>
      <c r="J252" s="9" t="s">
        <v>1497</v>
      </c>
      <c r="K252" s="7" t="s">
        <v>1375</v>
      </c>
      <c r="L252" s="12" t="s">
        <v>186</v>
      </c>
    </row>
    <row r="253" customFormat="false" ht="87" hidden="false" customHeight="true" outlineLevel="0" collapsed="false">
      <c r="A253" s="7" t="s">
        <v>1498</v>
      </c>
      <c r="B253" s="7" t="s">
        <v>1499</v>
      </c>
      <c r="C253" s="7" t="s">
        <v>1367</v>
      </c>
      <c r="D253" s="7" t="s">
        <v>1500</v>
      </c>
      <c r="E253" s="7" t="s">
        <v>108</v>
      </c>
      <c r="F253" s="7" t="s">
        <v>748</v>
      </c>
      <c r="G253" s="7" t="s">
        <v>749</v>
      </c>
      <c r="H253" s="7" t="s">
        <v>750</v>
      </c>
      <c r="I253" s="7" t="s">
        <v>1501</v>
      </c>
      <c r="J253" s="9" t="s">
        <v>1502</v>
      </c>
      <c r="K253" s="7" t="s">
        <v>1375</v>
      </c>
      <c r="L253" s="12" t="s">
        <v>186</v>
      </c>
    </row>
    <row r="254" customFormat="false" ht="35.25" hidden="false" customHeight="true" outlineLevel="0" collapsed="false">
      <c r="A254" s="7" t="s">
        <v>1503</v>
      </c>
      <c r="B254" s="7" t="s">
        <v>1504</v>
      </c>
      <c r="C254" s="7" t="s">
        <v>1367</v>
      </c>
      <c r="D254" s="7" t="s">
        <v>1505</v>
      </c>
      <c r="E254" s="7" t="s">
        <v>108</v>
      </c>
      <c r="F254" s="7" t="s">
        <v>748</v>
      </c>
      <c r="G254" s="7" t="s">
        <v>749</v>
      </c>
      <c r="H254" s="7" t="s">
        <v>750</v>
      </c>
      <c r="I254" s="7" t="s">
        <v>1506</v>
      </c>
      <c r="J254" s="9" t="s">
        <v>1507</v>
      </c>
      <c r="K254" s="7" t="s">
        <v>624</v>
      </c>
      <c r="L254" s="11" t="s">
        <v>180</v>
      </c>
    </row>
    <row r="255" customFormat="false" ht="69.75" hidden="false" customHeight="true" outlineLevel="0" collapsed="false">
      <c r="A255" s="7" t="s">
        <v>1508</v>
      </c>
      <c r="B255" s="7" t="s">
        <v>1509</v>
      </c>
      <c r="C255" s="7" t="s">
        <v>1367</v>
      </c>
      <c r="D255" s="7" t="s">
        <v>1510</v>
      </c>
      <c r="E255" s="7" t="s">
        <v>108</v>
      </c>
      <c r="F255" s="7" t="s">
        <v>748</v>
      </c>
      <c r="G255" s="7" t="s">
        <v>749</v>
      </c>
      <c r="H255" s="7" t="s">
        <v>750</v>
      </c>
      <c r="I255" s="7" t="s">
        <v>1511</v>
      </c>
      <c r="J255" s="9" t="s">
        <v>1512</v>
      </c>
      <c r="K255" s="7" t="s">
        <v>624</v>
      </c>
      <c r="L255" s="12" t="s">
        <v>186</v>
      </c>
    </row>
    <row r="256" customFormat="false" ht="69.75" hidden="false" customHeight="true" outlineLevel="0" collapsed="false">
      <c r="A256" s="7" t="s">
        <v>1513</v>
      </c>
      <c r="B256" s="7" t="s">
        <v>1514</v>
      </c>
      <c r="C256" s="7" t="s">
        <v>1367</v>
      </c>
      <c r="D256" s="7" t="s">
        <v>1515</v>
      </c>
      <c r="E256" s="7" t="s">
        <v>108</v>
      </c>
      <c r="F256" s="7" t="s">
        <v>748</v>
      </c>
      <c r="G256" s="7" t="s">
        <v>749</v>
      </c>
      <c r="H256" s="7" t="s">
        <v>750</v>
      </c>
      <c r="I256" s="7" t="s">
        <v>1516</v>
      </c>
      <c r="J256" s="9" t="s">
        <v>1517</v>
      </c>
      <c r="K256" s="7" t="s">
        <v>624</v>
      </c>
      <c r="L256" s="12" t="s">
        <v>186</v>
      </c>
    </row>
    <row r="257" customFormat="false" ht="69.75" hidden="false" customHeight="true" outlineLevel="0" collapsed="false">
      <c r="A257" s="7" t="s">
        <v>1518</v>
      </c>
      <c r="B257" s="7" t="s">
        <v>1519</v>
      </c>
      <c r="C257" s="7" t="s">
        <v>1367</v>
      </c>
      <c r="D257" s="7" t="s">
        <v>1520</v>
      </c>
      <c r="E257" s="7" t="s">
        <v>108</v>
      </c>
      <c r="F257" s="7" t="s">
        <v>748</v>
      </c>
      <c r="G257" s="7" t="s">
        <v>749</v>
      </c>
      <c r="H257" s="7" t="s">
        <v>750</v>
      </c>
      <c r="I257" s="7" t="s">
        <v>1521</v>
      </c>
      <c r="J257" s="9" t="s">
        <v>1522</v>
      </c>
      <c r="K257" s="7" t="s">
        <v>624</v>
      </c>
      <c r="L257" s="12" t="s">
        <v>186</v>
      </c>
    </row>
    <row r="258" customFormat="false" ht="69.75" hidden="false" customHeight="true" outlineLevel="0" collapsed="false">
      <c r="A258" s="7" t="s">
        <v>1523</v>
      </c>
      <c r="B258" s="7" t="s">
        <v>1524</v>
      </c>
      <c r="C258" s="7" t="s">
        <v>1367</v>
      </c>
      <c r="D258" s="7" t="s">
        <v>1525</v>
      </c>
      <c r="E258" s="7" t="s">
        <v>108</v>
      </c>
      <c r="F258" s="7" t="s">
        <v>748</v>
      </c>
      <c r="G258" s="7" t="s">
        <v>749</v>
      </c>
      <c r="H258" s="7" t="s">
        <v>750</v>
      </c>
      <c r="I258" s="7" t="s">
        <v>1526</v>
      </c>
      <c r="J258" s="9" t="s">
        <v>1527</v>
      </c>
      <c r="K258" s="7" t="s">
        <v>624</v>
      </c>
      <c r="L258" s="11" t="s">
        <v>180</v>
      </c>
    </row>
    <row r="259" customFormat="false" ht="69.75" hidden="false" customHeight="true" outlineLevel="0" collapsed="false">
      <c r="A259" s="7" t="s">
        <v>1528</v>
      </c>
      <c r="B259" s="7" t="s">
        <v>1529</v>
      </c>
      <c r="C259" s="7" t="s">
        <v>1367</v>
      </c>
      <c r="D259" s="7" t="s">
        <v>1530</v>
      </c>
      <c r="E259" s="7" t="s">
        <v>108</v>
      </c>
      <c r="F259" s="7" t="s">
        <v>748</v>
      </c>
      <c r="G259" s="7" t="s">
        <v>749</v>
      </c>
      <c r="H259" s="7" t="s">
        <v>750</v>
      </c>
      <c r="I259" s="7" t="s">
        <v>1531</v>
      </c>
      <c r="J259" s="9" t="s">
        <v>1532</v>
      </c>
      <c r="K259" s="7" t="s">
        <v>624</v>
      </c>
      <c r="L259" s="12" t="s">
        <v>186</v>
      </c>
    </row>
    <row r="260" customFormat="false" ht="69.75" hidden="false" customHeight="true" outlineLevel="0" collapsed="false">
      <c r="A260" s="7" t="s">
        <v>1533</v>
      </c>
      <c r="B260" s="7" t="s">
        <v>1534</v>
      </c>
      <c r="C260" s="7" t="s">
        <v>1367</v>
      </c>
      <c r="D260" s="7" t="s">
        <v>1535</v>
      </c>
      <c r="E260" s="7" t="s">
        <v>108</v>
      </c>
      <c r="F260" s="7" t="s">
        <v>748</v>
      </c>
      <c r="G260" s="7" t="s">
        <v>749</v>
      </c>
      <c r="H260" s="7" t="s">
        <v>750</v>
      </c>
      <c r="I260" s="7" t="s">
        <v>1536</v>
      </c>
      <c r="J260" s="9" t="s">
        <v>1537</v>
      </c>
      <c r="K260" s="7" t="s">
        <v>624</v>
      </c>
      <c r="L260" s="12" t="s">
        <v>186</v>
      </c>
    </row>
    <row r="261" customFormat="false" ht="69.75" hidden="false" customHeight="true" outlineLevel="0" collapsed="false">
      <c r="A261" s="7" t="s">
        <v>1538</v>
      </c>
      <c r="B261" s="7" t="s">
        <v>1539</v>
      </c>
      <c r="C261" s="7" t="s">
        <v>1367</v>
      </c>
      <c r="D261" s="7" t="s">
        <v>1540</v>
      </c>
      <c r="E261" s="7" t="s">
        <v>108</v>
      </c>
      <c r="F261" s="7" t="s">
        <v>748</v>
      </c>
      <c r="G261" s="7" t="s">
        <v>749</v>
      </c>
      <c r="H261" s="7" t="s">
        <v>750</v>
      </c>
      <c r="I261" s="7" t="s">
        <v>1541</v>
      </c>
      <c r="J261" s="9" t="s">
        <v>1542</v>
      </c>
      <c r="K261" s="7" t="s">
        <v>624</v>
      </c>
      <c r="L261" s="12" t="s">
        <v>186</v>
      </c>
    </row>
    <row r="262" customFormat="false" ht="69.75" hidden="false" customHeight="true" outlineLevel="0" collapsed="false">
      <c r="A262" s="7" t="s">
        <v>1543</v>
      </c>
      <c r="B262" s="7" t="s">
        <v>1544</v>
      </c>
      <c r="C262" s="7" t="s">
        <v>1367</v>
      </c>
      <c r="D262" s="7" t="s">
        <v>1545</v>
      </c>
      <c r="E262" s="7" t="s">
        <v>108</v>
      </c>
      <c r="F262" s="7" t="s">
        <v>748</v>
      </c>
      <c r="G262" s="7" t="s">
        <v>749</v>
      </c>
      <c r="H262" s="7" t="s">
        <v>750</v>
      </c>
      <c r="I262" s="7" t="s">
        <v>1546</v>
      </c>
      <c r="J262" s="9" t="s">
        <v>1547</v>
      </c>
      <c r="K262" s="7" t="s">
        <v>624</v>
      </c>
      <c r="L262" s="12" t="s">
        <v>186</v>
      </c>
    </row>
    <row r="263" customFormat="false" ht="69.75" hidden="false" customHeight="true" outlineLevel="0" collapsed="false">
      <c r="A263" s="7" t="s">
        <v>1548</v>
      </c>
      <c r="B263" s="7" t="s">
        <v>1549</v>
      </c>
      <c r="C263" s="7" t="s">
        <v>1367</v>
      </c>
      <c r="D263" s="7" t="s">
        <v>1550</v>
      </c>
      <c r="E263" s="7" t="s">
        <v>108</v>
      </c>
      <c r="F263" s="7" t="s">
        <v>748</v>
      </c>
      <c r="G263" s="7" t="s">
        <v>749</v>
      </c>
      <c r="H263" s="7" t="s">
        <v>750</v>
      </c>
      <c r="I263" s="7" t="s">
        <v>1551</v>
      </c>
      <c r="J263" s="9" t="s">
        <v>1552</v>
      </c>
      <c r="K263" s="7" t="s">
        <v>624</v>
      </c>
      <c r="L263" s="12" t="s">
        <v>186</v>
      </c>
    </row>
    <row r="264" customFormat="false" ht="35.25" hidden="false" customHeight="true" outlineLevel="0" collapsed="false">
      <c r="A264" s="7" t="s">
        <v>1553</v>
      </c>
      <c r="B264" s="7" t="s">
        <v>1554</v>
      </c>
      <c r="C264" s="7" t="s">
        <v>1367</v>
      </c>
      <c r="D264" s="7" t="s">
        <v>1555</v>
      </c>
      <c r="E264" s="7" t="s">
        <v>104</v>
      </c>
      <c r="F264" s="7" t="s">
        <v>1556</v>
      </c>
      <c r="G264" s="7" t="s">
        <v>1557</v>
      </c>
      <c r="H264" s="7" t="s">
        <v>1558</v>
      </c>
      <c r="I264" s="7" t="s">
        <v>1559</v>
      </c>
      <c r="J264" s="9" t="s">
        <v>1560</v>
      </c>
      <c r="K264" s="7" t="s">
        <v>624</v>
      </c>
      <c r="L264" s="11" t="s">
        <v>180</v>
      </c>
    </row>
    <row r="265" customFormat="false" ht="87" hidden="false" customHeight="true" outlineLevel="0" collapsed="false">
      <c r="A265" s="7" t="s">
        <v>1561</v>
      </c>
      <c r="B265" s="7" t="s">
        <v>1562</v>
      </c>
      <c r="C265" s="7" t="s">
        <v>1367</v>
      </c>
      <c r="D265" s="7" t="s">
        <v>1563</v>
      </c>
      <c r="E265" s="7" t="s">
        <v>104</v>
      </c>
      <c r="F265" s="7" t="s">
        <v>1556</v>
      </c>
      <c r="G265" s="7" t="s">
        <v>1557</v>
      </c>
      <c r="H265" s="7" t="s">
        <v>1558</v>
      </c>
      <c r="I265" s="7" t="s">
        <v>1564</v>
      </c>
      <c r="J265" s="9" t="s">
        <v>1565</v>
      </c>
      <c r="K265" s="7" t="s">
        <v>624</v>
      </c>
      <c r="L265" s="12" t="s">
        <v>186</v>
      </c>
    </row>
    <row r="266" customFormat="false" ht="69.75" hidden="false" customHeight="true" outlineLevel="0" collapsed="false">
      <c r="A266" s="7" t="s">
        <v>1566</v>
      </c>
      <c r="B266" s="7" t="s">
        <v>1567</v>
      </c>
      <c r="C266" s="7" t="s">
        <v>1367</v>
      </c>
      <c r="D266" s="7" t="s">
        <v>1568</v>
      </c>
      <c r="E266" s="7" t="s">
        <v>104</v>
      </c>
      <c r="F266" s="7" t="s">
        <v>1556</v>
      </c>
      <c r="G266" s="7" t="s">
        <v>1557</v>
      </c>
      <c r="H266" s="7" t="s">
        <v>1558</v>
      </c>
      <c r="I266" s="7" t="s">
        <v>1569</v>
      </c>
      <c r="J266" s="9" t="s">
        <v>1570</v>
      </c>
      <c r="K266" s="7" t="s">
        <v>624</v>
      </c>
      <c r="L266" s="12" t="s">
        <v>186</v>
      </c>
    </row>
    <row r="267" customFormat="false" ht="87" hidden="false" customHeight="true" outlineLevel="0" collapsed="false">
      <c r="A267" s="7" t="s">
        <v>1571</v>
      </c>
      <c r="B267" s="7" t="s">
        <v>1572</v>
      </c>
      <c r="C267" s="7" t="s">
        <v>1367</v>
      </c>
      <c r="D267" s="7" t="s">
        <v>1573</v>
      </c>
      <c r="E267" s="7" t="s">
        <v>104</v>
      </c>
      <c r="F267" s="7" t="s">
        <v>1556</v>
      </c>
      <c r="G267" s="7" t="s">
        <v>1557</v>
      </c>
      <c r="H267" s="7" t="s">
        <v>1558</v>
      </c>
      <c r="I267" s="7" t="s">
        <v>1574</v>
      </c>
      <c r="J267" s="9" t="s">
        <v>1575</v>
      </c>
      <c r="K267" s="7" t="s">
        <v>624</v>
      </c>
      <c r="L267" s="12" t="s">
        <v>186</v>
      </c>
    </row>
    <row r="268" customFormat="false" ht="69.75" hidden="false" customHeight="true" outlineLevel="0" collapsed="false">
      <c r="A268" s="7" t="s">
        <v>1576</v>
      </c>
      <c r="B268" s="7" t="s">
        <v>1577</v>
      </c>
      <c r="C268" s="7" t="s">
        <v>1367</v>
      </c>
      <c r="D268" s="7" t="s">
        <v>1578</v>
      </c>
      <c r="E268" s="7" t="s">
        <v>104</v>
      </c>
      <c r="F268" s="7" t="s">
        <v>1556</v>
      </c>
      <c r="G268" s="7" t="s">
        <v>1557</v>
      </c>
      <c r="H268" s="7" t="s">
        <v>1558</v>
      </c>
      <c r="I268" s="7" t="s">
        <v>1579</v>
      </c>
      <c r="J268" s="9" t="s">
        <v>1580</v>
      </c>
      <c r="K268" s="7" t="s">
        <v>624</v>
      </c>
      <c r="L268" s="12" t="s">
        <v>186</v>
      </c>
    </row>
    <row r="269" customFormat="false" ht="87" hidden="false" customHeight="true" outlineLevel="0" collapsed="false">
      <c r="A269" s="7" t="s">
        <v>1581</v>
      </c>
      <c r="B269" s="7" t="s">
        <v>1582</v>
      </c>
      <c r="C269" s="7" t="s">
        <v>1367</v>
      </c>
      <c r="D269" s="7" t="s">
        <v>1583</v>
      </c>
      <c r="E269" s="7" t="s">
        <v>104</v>
      </c>
      <c r="F269" s="7" t="s">
        <v>1556</v>
      </c>
      <c r="G269" s="7" t="s">
        <v>1557</v>
      </c>
      <c r="H269" s="7" t="s">
        <v>1558</v>
      </c>
      <c r="I269" s="7" t="s">
        <v>1584</v>
      </c>
      <c r="J269" s="9" t="s">
        <v>1585</v>
      </c>
      <c r="K269" s="7" t="s">
        <v>624</v>
      </c>
      <c r="L269" s="12" t="s">
        <v>186</v>
      </c>
    </row>
    <row r="270" customFormat="false" ht="69.75" hidden="false" customHeight="true" outlineLevel="0" collapsed="false">
      <c r="A270" s="7" t="s">
        <v>1586</v>
      </c>
      <c r="B270" s="7" t="s">
        <v>1587</v>
      </c>
      <c r="C270" s="7" t="s">
        <v>1367</v>
      </c>
      <c r="D270" s="7" t="s">
        <v>1588</v>
      </c>
      <c r="E270" s="7" t="s">
        <v>104</v>
      </c>
      <c r="F270" s="7" t="s">
        <v>1556</v>
      </c>
      <c r="G270" s="7" t="s">
        <v>1557</v>
      </c>
      <c r="H270" s="7" t="s">
        <v>1558</v>
      </c>
      <c r="I270" s="7" t="s">
        <v>1589</v>
      </c>
      <c r="J270" s="9" t="s">
        <v>1590</v>
      </c>
      <c r="K270" s="7" t="s">
        <v>624</v>
      </c>
      <c r="L270" s="12" t="s">
        <v>186</v>
      </c>
    </row>
    <row r="271" customFormat="false" ht="69.75" hidden="false" customHeight="true" outlineLevel="0" collapsed="false">
      <c r="A271" s="7" t="s">
        <v>1591</v>
      </c>
      <c r="B271" s="7" t="s">
        <v>1592</v>
      </c>
      <c r="C271" s="7" t="s">
        <v>1367</v>
      </c>
      <c r="D271" s="7" t="s">
        <v>1593</v>
      </c>
      <c r="E271" s="7" t="s">
        <v>104</v>
      </c>
      <c r="F271" s="7" t="s">
        <v>1556</v>
      </c>
      <c r="G271" s="7" t="s">
        <v>1557</v>
      </c>
      <c r="H271" s="7" t="s">
        <v>1558</v>
      </c>
      <c r="I271" s="7" t="s">
        <v>1594</v>
      </c>
      <c r="J271" s="9" t="s">
        <v>1595</v>
      </c>
      <c r="K271" s="7" t="s">
        <v>624</v>
      </c>
      <c r="L271" s="12" t="s">
        <v>186</v>
      </c>
    </row>
    <row r="272" customFormat="false" ht="87" hidden="false" customHeight="true" outlineLevel="0" collapsed="false">
      <c r="A272" s="7" t="s">
        <v>1596</v>
      </c>
      <c r="B272" s="7" t="s">
        <v>1597</v>
      </c>
      <c r="C272" s="7" t="s">
        <v>1367</v>
      </c>
      <c r="D272" s="7" t="s">
        <v>1598</v>
      </c>
      <c r="E272" s="7" t="s">
        <v>104</v>
      </c>
      <c r="F272" s="7" t="s">
        <v>1556</v>
      </c>
      <c r="G272" s="7" t="s">
        <v>1557</v>
      </c>
      <c r="H272" s="7" t="s">
        <v>1558</v>
      </c>
      <c r="I272" s="7" t="s">
        <v>1599</v>
      </c>
      <c r="J272" s="9" t="s">
        <v>1600</v>
      </c>
      <c r="K272" s="7" t="s">
        <v>624</v>
      </c>
      <c r="L272" s="12" t="s">
        <v>186</v>
      </c>
    </row>
    <row r="273" customFormat="false" ht="35.25" hidden="false" customHeight="true" outlineLevel="0" collapsed="false">
      <c r="A273" s="7" t="s">
        <v>1601</v>
      </c>
      <c r="B273" s="7" t="s">
        <v>1602</v>
      </c>
      <c r="C273" s="7" t="s">
        <v>1367</v>
      </c>
      <c r="D273" s="7" t="s">
        <v>1603</v>
      </c>
      <c r="E273" s="7" t="s">
        <v>108</v>
      </c>
      <c r="F273" s="7" t="s">
        <v>748</v>
      </c>
      <c r="G273" s="7" t="s">
        <v>749</v>
      </c>
      <c r="H273" s="7" t="s">
        <v>750</v>
      </c>
      <c r="I273" s="7" t="s">
        <v>1604</v>
      </c>
      <c r="J273" s="9" t="s">
        <v>1605</v>
      </c>
      <c r="K273" s="7" t="s">
        <v>808</v>
      </c>
      <c r="L273" s="10" t="s">
        <v>170</v>
      </c>
    </row>
    <row r="274" customFormat="false" ht="35.25" hidden="false" customHeight="true" outlineLevel="0" collapsed="false">
      <c r="A274" s="7" t="s">
        <v>1606</v>
      </c>
      <c r="B274" s="7" t="s">
        <v>1607</v>
      </c>
      <c r="C274" s="7" t="s">
        <v>1367</v>
      </c>
      <c r="D274" s="7" t="s">
        <v>1608</v>
      </c>
      <c r="E274" s="7" t="s">
        <v>108</v>
      </c>
      <c r="F274" s="7" t="s">
        <v>748</v>
      </c>
      <c r="G274" s="7" t="s">
        <v>1609</v>
      </c>
      <c r="H274" s="7" t="s">
        <v>1610</v>
      </c>
      <c r="I274" s="7" t="s">
        <v>1611</v>
      </c>
      <c r="J274" s="9" t="s">
        <v>1612</v>
      </c>
      <c r="K274" s="7" t="s">
        <v>603</v>
      </c>
      <c r="L274" s="10" t="s">
        <v>572</v>
      </c>
    </row>
    <row r="275" customFormat="false" ht="69.75" hidden="false" customHeight="true" outlineLevel="0" collapsed="false">
      <c r="A275" s="7" t="s">
        <v>1613</v>
      </c>
      <c r="B275" s="7" t="s">
        <v>1614</v>
      </c>
      <c r="C275" s="7" t="s">
        <v>1367</v>
      </c>
      <c r="D275" s="7" t="s">
        <v>1615</v>
      </c>
      <c r="E275" s="7" t="s">
        <v>108</v>
      </c>
      <c r="F275" s="7" t="s">
        <v>748</v>
      </c>
      <c r="G275" s="7" t="s">
        <v>1609</v>
      </c>
      <c r="H275" s="7" t="s">
        <v>1610</v>
      </c>
      <c r="I275" s="7" t="s">
        <v>1616</v>
      </c>
      <c r="J275" s="9" t="s">
        <v>1617</v>
      </c>
      <c r="K275" s="7" t="s">
        <v>603</v>
      </c>
      <c r="L275" s="10" t="s">
        <v>572</v>
      </c>
    </row>
    <row r="276" customFormat="false" ht="35.25" hidden="false" customHeight="true" outlineLevel="0" collapsed="false">
      <c r="A276" s="7" t="s">
        <v>1618</v>
      </c>
      <c r="B276" s="7" t="s">
        <v>1619</v>
      </c>
      <c r="C276" s="7" t="s">
        <v>1367</v>
      </c>
      <c r="D276" s="7" t="s">
        <v>1620</v>
      </c>
      <c r="E276" s="7" t="s">
        <v>108</v>
      </c>
      <c r="F276" s="7" t="s">
        <v>748</v>
      </c>
      <c r="G276" s="7" t="s">
        <v>1621</v>
      </c>
      <c r="H276" s="7" t="s">
        <v>1622</v>
      </c>
      <c r="I276" s="7" t="s">
        <v>1623</v>
      </c>
      <c r="J276" s="9" t="s">
        <v>1624</v>
      </c>
      <c r="K276" s="7" t="s">
        <v>603</v>
      </c>
      <c r="L276" s="12" t="s">
        <v>186</v>
      </c>
    </row>
    <row r="277" customFormat="false" ht="69.75" hidden="false" customHeight="true" outlineLevel="0" collapsed="false">
      <c r="A277" s="7" t="s">
        <v>1625</v>
      </c>
      <c r="B277" s="7" t="s">
        <v>1626</v>
      </c>
      <c r="C277" s="7" t="s">
        <v>1367</v>
      </c>
      <c r="D277" s="7" t="s">
        <v>1627</v>
      </c>
      <c r="E277" s="7" t="s">
        <v>108</v>
      </c>
      <c r="F277" s="7" t="s">
        <v>748</v>
      </c>
      <c r="G277" s="7" t="s">
        <v>1621</v>
      </c>
      <c r="H277" s="7" t="s">
        <v>1622</v>
      </c>
      <c r="I277" s="7" t="s">
        <v>1628</v>
      </c>
      <c r="J277" s="9" t="s">
        <v>1629</v>
      </c>
      <c r="K277" s="7" t="s">
        <v>603</v>
      </c>
      <c r="L277" s="10" t="s">
        <v>572</v>
      </c>
    </row>
    <row r="278" customFormat="false" ht="69.75" hidden="false" customHeight="true" outlineLevel="0" collapsed="false">
      <c r="A278" s="7" t="s">
        <v>1630</v>
      </c>
      <c r="B278" s="7" t="s">
        <v>1631</v>
      </c>
      <c r="C278" s="7" t="s">
        <v>1367</v>
      </c>
      <c r="D278" s="7" t="s">
        <v>1632</v>
      </c>
      <c r="E278" s="7" t="s">
        <v>108</v>
      </c>
      <c r="F278" s="7" t="s">
        <v>748</v>
      </c>
      <c r="G278" s="7" t="s">
        <v>1621</v>
      </c>
      <c r="H278" s="7" t="s">
        <v>1622</v>
      </c>
      <c r="I278" s="7" t="s">
        <v>1633</v>
      </c>
      <c r="J278" s="9" t="s">
        <v>1634</v>
      </c>
      <c r="K278" s="7" t="s">
        <v>603</v>
      </c>
      <c r="L278" s="12" t="s">
        <v>186</v>
      </c>
    </row>
    <row r="279" customFormat="false" ht="69.75" hidden="false" customHeight="true" outlineLevel="0" collapsed="false">
      <c r="A279" s="7" t="s">
        <v>1635</v>
      </c>
      <c r="B279" s="7" t="s">
        <v>1636</v>
      </c>
      <c r="C279" s="7" t="s">
        <v>1367</v>
      </c>
      <c r="D279" s="7" t="s">
        <v>1637</v>
      </c>
      <c r="E279" s="7" t="s">
        <v>108</v>
      </c>
      <c r="F279" s="7" t="s">
        <v>748</v>
      </c>
      <c r="G279" s="7" t="s">
        <v>1621</v>
      </c>
      <c r="H279" s="7" t="s">
        <v>1622</v>
      </c>
      <c r="I279" s="7" t="s">
        <v>1638</v>
      </c>
      <c r="J279" s="9" t="s">
        <v>1639</v>
      </c>
      <c r="K279" s="7" t="s">
        <v>603</v>
      </c>
      <c r="L279" s="10" t="s">
        <v>572</v>
      </c>
    </row>
    <row r="280" customFormat="false" ht="35.25" hidden="false" customHeight="true" outlineLevel="0" collapsed="false">
      <c r="A280" s="7" t="s">
        <v>1640</v>
      </c>
      <c r="B280" s="7" t="s">
        <v>1641</v>
      </c>
      <c r="C280" s="7" t="s">
        <v>1367</v>
      </c>
      <c r="D280" s="7" t="s">
        <v>1642</v>
      </c>
      <c r="E280" s="7" t="s">
        <v>104</v>
      </c>
      <c r="F280" s="7" t="s">
        <v>1556</v>
      </c>
      <c r="G280" s="7" t="s">
        <v>1643</v>
      </c>
      <c r="H280" s="7" t="s">
        <v>1644</v>
      </c>
      <c r="I280" s="7" t="s">
        <v>1645</v>
      </c>
      <c r="J280" s="9" t="s">
        <v>1646</v>
      </c>
      <c r="K280" s="7" t="s">
        <v>1647</v>
      </c>
      <c r="L280" s="10" t="s">
        <v>572</v>
      </c>
    </row>
    <row r="281" customFormat="false" ht="69.75" hidden="false" customHeight="true" outlineLevel="0" collapsed="false">
      <c r="A281" s="7" t="s">
        <v>1648</v>
      </c>
      <c r="B281" s="7" t="s">
        <v>1649</v>
      </c>
      <c r="C281" s="7" t="s">
        <v>1367</v>
      </c>
      <c r="D281" s="7" t="s">
        <v>1650</v>
      </c>
      <c r="E281" s="7" t="s">
        <v>104</v>
      </c>
      <c r="F281" s="7" t="s">
        <v>1556</v>
      </c>
      <c r="G281" s="7" t="s">
        <v>1643</v>
      </c>
      <c r="H281" s="7" t="s">
        <v>1644</v>
      </c>
      <c r="I281" s="7" t="s">
        <v>1651</v>
      </c>
      <c r="J281" s="9" t="s">
        <v>1652</v>
      </c>
      <c r="K281" s="7" t="s">
        <v>1647</v>
      </c>
      <c r="L281" s="10" t="s">
        <v>572</v>
      </c>
    </row>
    <row r="282" customFormat="false" ht="35.25" hidden="false" customHeight="true" outlineLevel="0" collapsed="false">
      <c r="A282" s="7" t="s">
        <v>1653</v>
      </c>
      <c r="B282" s="7" t="s">
        <v>1654</v>
      </c>
      <c r="C282" s="7" t="s">
        <v>1367</v>
      </c>
      <c r="D282" s="7" t="s">
        <v>1655</v>
      </c>
      <c r="E282" s="7" t="s">
        <v>104</v>
      </c>
      <c r="F282" s="7" t="s">
        <v>1556</v>
      </c>
      <c r="G282" s="7" t="s">
        <v>1643</v>
      </c>
      <c r="H282" s="7" t="s">
        <v>1644</v>
      </c>
      <c r="I282" s="7" t="s">
        <v>1656</v>
      </c>
      <c r="J282" s="9" t="s">
        <v>1657</v>
      </c>
      <c r="K282" s="7" t="s">
        <v>603</v>
      </c>
      <c r="L282" s="10" t="s">
        <v>170</v>
      </c>
    </row>
    <row r="283" customFormat="false" ht="35.25" hidden="false" customHeight="true" outlineLevel="0" collapsed="false">
      <c r="A283" s="7" t="s">
        <v>1658</v>
      </c>
      <c r="B283" s="7" t="s">
        <v>1659</v>
      </c>
      <c r="C283" s="7" t="s">
        <v>1367</v>
      </c>
      <c r="D283" s="7" t="s">
        <v>1660</v>
      </c>
      <c r="E283" s="7" t="s">
        <v>108</v>
      </c>
      <c r="F283" s="7" t="s">
        <v>748</v>
      </c>
      <c r="G283" s="7" t="s">
        <v>1621</v>
      </c>
      <c r="H283" s="7" t="s">
        <v>1622</v>
      </c>
      <c r="I283" s="7" t="s">
        <v>1661</v>
      </c>
      <c r="J283" s="9" t="s">
        <v>1662</v>
      </c>
      <c r="K283" s="7" t="s">
        <v>624</v>
      </c>
      <c r="L283" s="12" t="s">
        <v>186</v>
      </c>
    </row>
    <row r="284" customFormat="false" ht="52.5" hidden="false" customHeight="true" outlineLevel="0" collapsed="false">
      <c r="A284" s="7" t="s">
        <v>1663</v>
      </c>
      <c r="B284" s="7" t="s">
        <v>1664</v>
      </c>
      <c r="C284" s="7" t="s">
        <v>1665</v>
      </c>
      <c r="D284" s="7" t="s">
        <v>163</v>
      </c>
      <c r="E284" s="7" t="s">
        <v>100</v>
      </c>
      <c r="F284" s="7" t="s">
        <v>164</v>
      </c>
      <c r="G284" s="7" t="s">
        <v>165</v>
      </c>
      <c r="H284" s="7" t="s">
        <v>166</v>
      </c>
      <c r="I284" s="7" t="s">
        <v>1666</v>
      </c>
      <c r="J284" s="9" t="s">
        <v>1667</v>
      </c>
      <c r="K284" s="7" t="s">
        <v>169</v>
      </c>
      <c r="L284" s="10" t="s">
        <v>170</v>
      </c>
    </row>
    <row r="285" customFormat="false" ht="35.25" hidden="false" customHeight="true" outlineLevel="0" collapsed="false">
      <c r="A285" s="7" t="s">
        <v>1668</v>
      </c>
      <c r="B285" s="7" t="s">
        <v>1669</v>
      </c>
      <c r="C285" s="7" t="s">
        <v>1665</v>
      </c>
      <c r="D285" s="7" t="s">
        <v>1670</v>
      </c>
      <c r="E285" s="7" t="s">
        <v>108</v>
      </c>
      <c r="F285" s="7" t="s">
        <v>318</v>
      </c>
      <c r="G285" s="7" t="s">
        <v>1671</v>
      </c>
      <c r="H285" s="7" t="s">
        <v>1672</v>
      </c>
      <c r="I285" s="7" t="s">
        <v>1673</v>
      </c>
      <c r="J285" s="9" t="s">
        <v>1674</v>
      </c>
      <c r="K285" s="7" t="s">
        <v>1675</v>
      </c>
      <c r="L285" s="10" t="s">
        <v>170</v>
      </c>
    </row>
    <row r="286" customFormat="false" ht="52.5" hidden="false" customHeight="true" outlineLevel="0" collapsed="false">
      <c r="A286" s="7" t="s">
        <v>1676</v>
      </c>
      <c r="B286" s="7" t="s">
        <v>1677</v>
      </c>
      <c r="C286" s="7" t="s">
        <v>1665</v>
      </c>
      <c r="D286" s="7" t="s">
        <v>1678</v>
      </c>
      <c r="E286" s="7" t="s">
        <v>108</v>
      </c>
      <c r="F286" s="7" t="s">
        <v>318</v>
      </c>
      <c r="G286" s="7" t="s">
        <v>1671</v>
      </c>
      <c r="H286" s="7" t="s">
        <v>1672</v>
      </c>
      <c r="I286" s="7" t="s">
        <v>1679</v>
      </c>
      <c r="J286" s="9" t="s">
        <v>1680</v>
      </c>
      <c r="K286" s="7" t="s">
        <v>1675</v>
      </c>
      <c r="L286" s="10" t="s">
        <v>170</v>
      </c>
    </row>
    <row r="287" customFormat="false" ht="52.5" hidden="false" customHeight="true" outlineLevel="0" collapsed="false">
      <c r="A287" s="7" t="s">
        <v>1681</v>
      </c>
      <c r="B287" s="7" t="s">
        <v>1682</v>
      </c>
      <c r="C287" s="7" t="s">
        <v>1665</v>
      </c>
      <c r="D287" s="7" t="s">
        <v>1683</v>
      </c>
      <c r="E287" s="7" t="s">
        <v>108</v>
      </c>
      <c r="F287" s="7" t="s">
        <v>318</v>
      </c>
      <c r="G287" s="7" t="s">
        <v>1671</v>
      </c>
      <c r="H287" s="7" t="s">
        <v>1672</v>
      </c>
      <c r="I287" s="7" t="s">
        <v>1684</v>
      </c>
      <c r="J287" s="9" t="s">
        <v>1685</v>
      </c>
      <c r="K287" s="7" t="s">
        <v>1675</v>
      </c>
      <c r="L287" s="10" t="s">
        <v>170</v>
      </c>
    </row>
    <row r="288" customFormat="false" ht="52.5" hidden="false" customHeight="true" outlineLevel="0" collapsed="false">
      <c r="A288" s="7" t="s">
        <v>1686</v>
      </c>
      <c r="B288" s="7" t="s">
        <v>1687</v>
      </c>
      <c r="C288" s="7" t="s">
        <v>1665</v>
      </c>
      <c r="D288" s="7" t="s">
        <v>1688</v>
      </c>
      <c r="E288" s="7" t="s">
        <v>108</v>
      </c>
      <c r="F288" s="7" t="s">
        <v>318</v>
      </c>
      <c r="G288" s="7" t="s">
        <v>1671</v>
      </c>
      <c r="H288" s="7" t="s">
        <v>1672</v>
      </c>
      <c r="I288" s="7" t="s">
        <v>1689</v>
      </c>
      <c r="J288" s="9" t="s">
        <v>1690</v>
      </c>
      <c r="K288" s="7" t="s">
        <v>1675</v>
      </c>
      <c r="L288" s="10" t="s">
        <v>170</v>
      </c>
    </row>
    <row r="289" customFormat="false" ht="52.5" hidden="false" customHeight="true" outlineLevel="0" collapsed="false">
      <c r="A289" s="7" t="s">
        <v>1691</v>
      </c>
      <c r="B289" s="7" t="s">
        <v>1692</v>
      </c>
      <c r="C289" s="7" t="s">
        <v>1665</v>
      </c>
      <c r="D289" s="7" t="s">
        <v>1693</v>
      </c>
      <c r="E289" s="7" t="s">
        <v>108</v>
      </c>
      <c r="F289" s="7" t="s">
        <v>318</v>
      </c>
      <c r="G289" s="7" t="s">
        <v>1671</v>
      </c>
      <c r="H289" s="7" t="s">
        <v>1672</v>
      </c>
      <c r="I289" s="7" t="s">
        <v>1694</v>
      </c>
      <c r="J289" s="9" t="s">
        <v>1695</v>
      </c>
      <c r="K289" s="7" t="s">
        <v>1675</v>
      </c>
      <c r="L289" s="10" t="s">
        <v>170</v>
      </c>
    </row>
    <row r="290" customFormat="false" ht="52.5" hidden="false" customHeight="true" outlineLevel="0" collapsed="false">
      <c r="A290" s="7" t="s">
        <v>1696</v>
      </c>
      <c r="B290" s="7" t="s">
        <v>1697</v>
      </c>
      <c r="C290" s="7" t="s">
        <v>1665</v>
      </c>
      <c r="D290" s="7" t="s">
        <v>1698</v>
      </c>
      <c r="E290" s="7" t="s">
        <v>108</v>
      </c>
      <c r="F290" s="7" t="s">
        <v>318</v>
      </c>
      <c r="G290" s="7" t="s">
        <v>1671</v>
      </c>
      <c r="H290" s="7" t="s">
        <v>1672</v>
      </c>
      <c r="I290" s="7" t="s">
        <v>1699</v>
      </c>
      <c r="J290" s="9" t="s">
        <v>1700</v>
      </c>
      <c r="K290" s="7" t="s">
        <v>1675</v>
      </c>
      <c r="L290" s="10" t="s">
        <v>170</v>
      </c>
    </row>
    <row r="291" customFormat="false" ht="52.5" hidden="false" customHeight="true" outlineLevel="0" collapsed="false">
      <c r="A291" s="7" t="s">
        <v>1701</v>
      </c>
      <c r="B291" s="7" t="s">
        <v>1702</v>
      </c>
      <c r="C291" s="7" t="s">
        <v>1665</v>
      </c>
      <c r="D291" s="7" t="s">
        <v>1703</v>
      </c>
      <c r="E291" s="7" t="s">
        <v>108</v>
      </c>
      <c r="F291" s="7" t="s">
        <v>318</v>
      </c>
      <c r="G291" s="7" t="s">
        <v>1671</v>
      </c>
      <c r="H291" s="7" t="s">
        <v>1672</v>
      </c>
      <c r="I291" s="7" t="s">
        <v>1704</v>
      </c>
      <c r="J291" s="9" t="s">
        <v>1705</v>
      </c>
      <c r="K291" s="7" t="s">
        <v>1675</v>
      </c>
      <c r="L291" s="10" t="s">
        <v>170</v>
      </c>
    </row>
    <row r="292" customFormat="false" ht="52.5" hidden="false" customHeight="true" outlineLevel="0" collapsed="false">
      <c r="A292" s="7" t="s">
        <v>1706</v>
      </c>
      <c r="B292" s="7" t="s">
        <v>1707</v>
      </c>
      <c r="C292" s="7" t="s">
        <v>1665</v>
      </c>
      <c r="D292" s="7" t="s">
        <v>1708</v>
      </c>
      <c r="E292" s="7" t="s">
        <v>108</v>
      </c>
      <c r="F292" s="7" t="s">
        <v>318</v>
      </c>
      <c r="G292" s="7" t="s">
        <v>1671</v>
      </c>
      <c r="H292" s="7" t="s">
        <v>1672</v>
      </c>
      <c r="I292" s="7" t="s">
        <v>1709</v>
      </c>
      <c r="J292" s="9" t="s">
        <v>1710</v>
      </c>
      <c r="K292" s="7" t="s">
        <v>1675</v>
      </c>
      <c r="L292" s="10" t="s">
        <v>170</v>
      </c>
    </row>
    <row r="293" customFormat="false" ht="52.5" hidden="false" customHeight="true" outlineLevel="0" collapsed="false">
      <c r="A293" s="7" t="s">
        <v>1711</v>
      </c>
      <c r="B293" s="7" t="s">
        <v>1712</v>
      </c>
      <c r="C293" s="7" t="s">
        <v>1665</v>
      </c>
      <c r="D293" s="7" t="s">
        <v>1713</v>
      </c>
      <c r="E293" s="7" t="s">
        <v>108</v>
      </c>
      <c r="F293" s="7" t="s">
        <v>844</v>
      </c>
      <c r="G293" s="7" t="s">
        <v>882</v>
      </c>
      <c r="H293" s="7" t="s">
        <v>883</v>
      </c>
      <c r="I293" s="7" t="s">
        <v>1714</v>
      </c>
      <c r="J293" s="9" t="s">
        <v>1715</v>
      </c>
      <c r="K293" s="7" t="s">
        <v>1716</v>
      </c>
      <c r="L293" s="10" t="s">
        <v>170</v>
      </c>
    </row>
    <row r="294" customFormat="false" ht="52.5" hidden="false" customHeight="true" outlineLevel="0" collapsed="false">
      <c r="A294" s="7" t="s">
        <v>1717</v>
      </c>
      <c r="B294" s="7" t="s">
        <v>1718</v>
      </c>
      <c r="C294" s="7" t="s">
        <v>1665</v>
      </c>
      <c r="D294" s="7" t="s">
        <v>1719</v>
      </c>
      <c r="E294" s="7" t="s">
        <v>108</v>
      </c>
      <c r="F294" s="7" t="s">
        <v>844</v>
      </c>
      <c r="G294" s="7" t="s">
        <v>882</v>
      </c>
      <c r="H294" s="7" t="s">
        <v>883</v>
      </c>
      <c r="I294" s="7" t="s">
        <v>1720</v>
      </c>
      <c r="J294" s="9" t="s">
        <v>1721</v>
      </c>
      <c r="K294" s="7" t="s">
        <v>1716</v>
      </c>
      <c r="L294" s="10" t="s">
        <v>170</v>
      </c>
    </row>
    <row r="295" customFormat="false" ht="52.5" hidden="false" customHeight="true" outlineLevel="0" collapsed="false">
      <c r="A295" s="7" t="s">
        <v>1722</v>
      </c>
      <c r="B295" s="7" t="s">
        <v>1723</v>
      </c>
      <c r="C295" s="7" t="s">
        <v>1665</v>
      </c>
      <c r="D295" s="7" t="s">
        <v>1724</v>
      </c>
      <c r="E295" s="7" t="s">
        <v>108</v>
      </c>
      <c r="F295" s="7" t="s">
        <v>844</v>
      </c>
      <c r="G295" s="7" t="s">
        <v>882</v>
      </c>
      <c r="H295" s="7" t="s">
        <v>883</v>
      </c>
      <c r="I295" s="7" t="s">
        <v>1725</v>
      </c>
      <c r="J295" s="9" t="s">
        <v>1726</v>
      </c>
      <c r="K295" s="7" t="s">
        <v>1716</v>
      </c>
      <c r="L295" s="10" t="s">
        <v>170</v>
      </c>
    </row>
    <row r="296" customFormat="false" ht="35.25" hidden="false" customHeight="true" outlineLevel="0" collapsed="false">
      <c r="A296" s="7" t="s">
        <v>1727</v>
      </c>
      <c r="B296" s="7" t="s">
        <v>1728</v>
      </c>
      <c r="C296" s="7" t="s">
        <v>1665</v>
      </c>
      <c r="D296" s="7" t="s">
        <v>1729</v>
      </c>
      <c r="E296" s="7" t="s">
        <v>104</v>
      </c>
      <c r="F296" s="7" t="s">
        <v>1235</v>
      </c>
      <c r="G296" s="7" t="s">
        <v>1730</v>
      </c>
      <c r="H296" s="7" t="s">
        <v>1731</v>
      </c>
      <c r="I296" s="7" t="s">
        <v>1732</v>
      </c>
      <c r="J296" s="9" t="s">
        <v>1733</v>
      </c>
      <c r="K296" s="7" t="s">
        <v>1675</v>
      </c>
      <c r="L296" s="10" t="s">
        <v>170</v>
      </c>
    </row>
    <row r="297" customFormat="false" ht="52.5" hidden="false" customHeight="true" outlineLevel="0" collapsed="false">
      <c r="A297" s="7" t="s">
        <v>1734</v>
      </c>
      <c r="B297" s="7" t="s">
        <v>1735</v>
      </c>
      <c r="C297" s="7" t="s">
        <v>1665</v>
      </c>
      <c r="D297" s="7" t="s">
        <v>1736</v>
      </c>
      <c r="E297" s="7" t="s">
        <v>104</v>
      </c>
      <c r="F297" s="7" t="s">
        <v>1235</v>
      </c>
      <c r="G297" s="7" t="s">
        <v>1730</v>
      </c>
      <c r="H297" s="7" t="s">
        <v>1731</v>
      </c>
      <c r="I297" s="7" t="s">
        <v>1737</v>
      </c>
      <c r="J297" s="9" t="s">
        <v>1738</v>
      </c>
      <c r="K297" s="7" t="s">
        <v>1675</v>
      </c>
      <c r="L297" s="10" t="s">
        <v>170</v>
      </c>
    </row>
    <row r="298" customFormat="false" ht="52.5" hidden="false" customHeight="true" outlineLevel="0" collapsed="false">
      <c r="A298" s="7" t="s">
        <v>1739</v>
      </c>
      <c r="B298" s="7" t="s">
        <v>1740</v>
      </c>
      <c r="C298" s="7" t="s">
        <v>1665</v>
      </c>
      <c r="D298" s="7" t="s">
        <v>1741</v>
      </c>
      <c r="E298" s="7" t="s">
        <v>104</v>
      </c>
      <c r="F298" s="7" t="s">
        <v>1235</v>
      </c>
      <c r="G298" s="7" t="s">
        <v>1730</v>
      </c>
      <c r="H298" s="7" t="s">
        <v>1731</v>
      </c>
      <c r="I298" s="7" t="s">
        <v>1742</v>
      </c>
      <c r="J298" s="9" t="s">
        <v>1743</v>
      </c>
      <c r="K298" s="7" t="s">
        <v>1675</v>
      </c>
      <c r="L298" s="10" t="s">
        <v>170</v>
      </c>
    </row>
    <row r="299" customFormat="false" ht="35.25" hidden="false" customHeight="true" outlineLevel="0" collapsed="false">
      <c r="A299" s="7" t="s">
        <v>1744</v>
      </c>
      <c r="B299" s="7" t="s">
        <v>1745</v>
      </c>
      <c r="C299" s="7" t="s">
        <v>1665</v>
      </c>
      <c r="D299" s="7" t="s">
        <v>1746</v>
      </c>
      <c r="E299" s="7" t="s">
        <v>104</v>
      </c>
      <c r="F299" s="7" t="s">
        <v>1235</v>
      </c>
      <c r="G299" s="7" t="s">
        <v>1730</v>
      </c>
      <c r="H299" s="7" t="s">
        <v>1731</v>
      </c>
      <c r="I299" s="7" t="s">
        <v>1747</v>
      </c>
      <c r="J299" s="9" t="s">
        <v>1748</v>
      </c>
      <c r="K299" s="7" t="s">
        <v>1675</v>
      </c>
      <c r="L299" s="10" t="s">
        <v>170</v>
      </c>
    </row>
    <row r="300" customFormat="false" ht="52.5" hidden="false" customHeight="true" outlineLevel="0" collapsed="false">
      <c r="A300" s="7" t="s">
        <v>1749</v>
      </c>
      <c r="B300" s="7" t="s">
        <v>1750</v>
      </c>
      <c r="C300" s="7" t="s">
        <v>1665</v>
      </c>
      <c r="D300" s="7" t="s">
        <v>1751</v>
      </c>
      <c r="E300" s="7" t="s">
        <v>104</v>
      </c>
      <c r="F300" s="7" t="s">
        <v>1235</v>
      </c>
      <c r="G300" s="7" t="s">
        <v>1730</v>
      </c>
      <c r="H300" s="7" t="s">
        <v>1731</v>
      </c>
      <c r="I300" s="7" t="s">
        <v>1752</v>
      </c>
      <c r="J300" s="9" t="s">
        <v>1753</v>
      </c>
      <c r="K300" s="7" t="s">
        <v>1675</v>
      </c>
      <c r="L300" s="10" t="s">
        <v>170</v>
      </c>
    </row>
    <row r="301" customFormat="false" ht="35.25" hidden="false" customHeight="true" outlineLevel="0" collapsed="false">
      <c r="A301" s="7" t="s">
        <v>1754</v>
      </c>
      <c r="B301" s="7" t="s">
        <v>1755</v>
      </c>
      <c r="C301" s="7" t="s">
        <v>1665</v>
      </c>
      <c r="D301" s="7" t="s">
        <v>1756</v>
      </c>
      <c r="E301" s="7" t="s">
        <v>104</v>
      </c>
      <c r="F301" s="7" t="s">
        <v>1235</v>
      </c>
      <c r="G301" s="7" t="s">
        <v>1730</v>
      </c>
      <c r="H301" s="7" t="s">
        <v>1731</v>
      </c>
      <c r="I301" s="7" t="s">
        <v>1757</v>
      </c>
      <c r="J301" s="9" t="s">
        <v>1758</v>
      </c>
      <c r="K301" s="7" t="s">
        <v>1675</v>
      </c>
      <c r="L301" s="10" t="s">
        <v>170</v>
      </c>
    </row>
    <row r="302" customFormat="false" ht="35.25" hidden="false" customHeight="true" outlineLevel="0" collapsed="false">
      <c r="A302" s="7" t="s">
        <v>1759</v>
      </c>
      <c r="B302" s="7" t="s">
        <v>1760</v>
      </c>
      <c r="C302" s="7" t="s">
        <v>1665</v>
      </c>
      <c r="D302" s="7" t="s">
        <v>1761</v>
      </c>
      <c r="E302" s="7" t="s">
        <v>108</v>
      </c>
      <c r="F302" s="7" t="s">
        <v>318</v>
      </c>
      <c r="G302" s="7" t="s">
        <v>1671</v>
      </c>
      <c r="H302" s="7" t="s">
        <v>1672</v>
      </c>
      <c r="I302" s="7" t="s">
        <v>1762</v>
      </c>
      <c r="J302" s="9" t="s">
        <v>1763</v>
      </c>
      <c r="K302" s="7" t="s">
        <v>1675</v>
      </c>
      <c r="L302" s="12" t="s">
        <v>186</v>
      </c>
    </row>
    <row r="303" customFormat="false" ht="69.75" hidden="false" customHeight="true" outlineLevel="0" collapsed="false">
      <c r="A303" s="7" t="s">
        <v>1764</v>
      </c>
      <c r="B303" s="7" t="s">
        <v>1765</v>
      </c>
      <c r="C303" s="7" t="s">
        <v>1665</v>
      </c>
      <c r="D303" s="7" t="s">
        <v>1766</v>
      </c>
      <c r="E303" s="7" t="s">
        <v>108</v>
      </c>
      <c r="F303" s="7" t="s">
        <v>318</v>
      </c>
      <c r="G303" s="7" t="s">
        <v>1671</v>
      </c>
      <c r="H303" s="7" t="s">
        <v>1672</v>
      </c>
      <c r="I303" s="7" t="s">
        <v>1767</v>
      </c>
      <c r="J303" s="9" t="s">
        <v>1768</v>
      </c>
      <c r="K303" s="7" t="s">
        <v>1675</v>
      </c>
      <c r="L303" s="10" t="s">
        <v>572</v>
      </c>
    </row>
    <row r="304" customFormat="false" ht="69.75" hidden="false" customHeight="true" outlineLevel="0" collapsed="false">
      <c r="A304" s="7" t="s">
        <v>1769</v>
      </c>
      <c r="B304" s="7" t="s">
        <v>1770</v>
      </c>
      <c r="C304" s="7" t="s">
        <v>1665</v>
      </c>
      <c r="D304" s="7" t="s">
        <v>1771</v>
      </c>
      <c r="E304" s="7" t="s">
        <v>108</v>
      </c>
      <c r="F304" s="7" t="s">
        <v>318</v>
      </c>
      <c r="G304" s="7" t="s">
        <v>1671</v>
      </c>
      <c r="H304" s="7" t="s">
        <v>1672</v>
      </c>
      <c r="I304" s="7" t="s">
        <v>1772</v>
      </c>
      <c r="J304" s="9" t="s">
        <v>1773</v>
      </c>
      <c r="K304" s="7" t="s">
        <v>1675</v>
      </c>
      <c r="L304" s="10" t="s">
        <v>572</v>
      </c>
    </row>
    <row r="305" customFormat="false" ht="69.75" hidden="false" customHeight="true" outlineLevel="0" collapsed="false">
      <c r="A305" s="7" t="s">
        <v>1774</v>
      </c>
      <c r="B305" s="7" t="s">
        <v>1775</v>
      </c>
      <c r="C305" s="7" t="s">
        <v>1665</v>
      </c>
      <c r="D305" s="7" t="s">
        <v>1776</v>
      </c>
      <c r="E305" s="7" t="s">
        <v>108</v>
      </c>
      <c r="F305" s="7" t="s">
        <v>318</v>
      </c>
      <c r="G305" s="7" t="s">
        <v>1671</v>
      </c>
      <c r="H305" s="7" t="s">
        <v>1672</v>
      </c>
      <c r="I305" s="7" t="s">
        <v>1777</v>
      </c>
      <c r="J305" s="9" t="s">
        <v>1778</v>
      </c>
      <c r="K305" s="7" t="s">
        <v>1675</v>
      </c>
      <c r="L305" s="10" t="s">
        <v>572</v>
      </c>
    </row>
    <row r="306" customFormat="false" ht="35.25" hidden="false" customHeight="true" outlineLevel="0" collapsed="false">
      <c r="A306" s="7" t="s">
        <v>1779</v>
      </c>
      <c r="B306" s="7" t="s">
        <v>1780</v>
      </c>
      <c r="C306" s="7" t="s">
        <v>1665</v>
      </c>
      <c r="D306" s="7" t="s">
        <v>1781</v>
      </c>
      <c r="E306" s="7" t="s">
        <v>108</v>
      </c>
      <c r="F306" s="7" t="s">
        <v>318</v>
      </c>
      <c r="G306" s="7" t="s">
        <v>1671</v>
      </c>
      <c r="H306" s="7" t="s">
        <v>1672</v>
      </c>
      <c r="I306" s="7" t="s">
        <v>1782</v>
      </c>
      <c r="J306" s="9" t="s">
        <v>1783</v>
      </c>
      <c r="K306" s="7" t="s">
        <v>808</v>
      </c>
      <c r="L306" s="12" t="s">
        <v>186</v>
      </c>
    </row>
    <row r="307" customFormat="false" ht="69.75" hidden="false" customHeight="true" outlineLevel="0" collapsed="false">
      <c r="A307" s="7" t="s">
        <v>1784</v>
      </c>
      <c r="B307" s="7" t="s">
        <v>1785</v>
      </c>
      <c r="C307" s="7" t="s">
        <v>1665</v>
      </c>
      <c r="D307" s="7" t="s">
        <v>1786</v>
      </c>
      <c r="E307" s="7" t="s">
        <v>108</v>
      </c>
      <c r="F307" s="7" t="s">
        <v>318</v>
      </c>
      <c r="G307" s="7" t="s">
        <v>1671</v>
      </c>
      <c r="H307" s="7" t="s">
        <v>1672</v>
      </c>
      <c r="I307" s="7" t="s">
        <v>1787</v>
      </c>
      <c r="J307" s="9" t="s">
        <v>1788</v>
      </c>
      <c r="K307" s="7" t="s">
        <v>808</v>
      </c>
      <c r="L307" s="10" t="s">
        <v>572</v>
      </c>
    </row>
    <row r="308" customFormat="false" ht="69.75" hidden="false" customHeight="true" outlineLevel="0" collapsed="false">
      <c r="A308" s="7" t="s">
        <v>1789</v>
      </c>
      <c r="B308" s="7" t="s">
        <v>1790</v>
      </c>
      <c r="C308" s="7" t="s">
        <v>1665</v>
      </c>
      <c r="D308" s="7" t="s">
        <v>1791</v>
      </c>
      <c r="E308" s="7" t="s">
        <v>108</v>
      </c>
      <c r="F308" s="7" t="s">
        <v>318</v>
      </c>
      <c r="G308" s="7" t="s">
        <v>1671</v>
      </c>
      <c r="H308" s="7" t="s">
        <v>1672</v>
      </c>
      <c r="I308" s="7" t="s">
        <v>1792</v>
      </c>
      <c r="J308" s="9" t="s">
        <v>1793</v>
      </c>
      <c r="K308" s="7" t="s">
        <v>808</v>
      </c>
      <c r="L308" s="10" t="s">
        <v>572</v>
      </c>
    </row>
    <row r="309" customFormat="false" ht="69.75" hidden="false" customHeight="true" outlineLevel="0" collapsed="false">
      <c r="A309" s="7" t="s">
        <v>1794</v>
      </c>
      <c r="B309" s="7" t="s">
        <v>1795</v>
      </c>
      <c r="C309" s="7" t="s">
        <v>1665</v>
      </c>
      <c r="D309" s="7" t="s">
        <v>1796</v>
      </c>
      <c r="E309" s="7" t="s">
        <v>108</v>
      </c>
      <c r="F309" s="7" t="s">
        <v>318</v>
      </c>
      <c r="G309" s="7" t="s">
        <v>1671</v>
      </c>
      <c r="H309" s="7" t="s">
        <v>1672</v>
      </c>
      <c r="I309" s="7" t="s">
        <v>1797</v>
      </c>
      <c r="J309" s="9" t="s">
        <v>1798</v>
      </c>
      <c r="K309" s="7" t="s">
        <v>808</v>
      </c>
      <c r="L309" s="10" t="s">
        <v>572</v>
      </c>
    </row>
    <row r="310" customFormat="false" ht="69.75" hidden="false" customHeight="true" outlineLevel="0" collapsed="false">
      <c r="A310" s="7" t="s">
        <v>1799</v>
      </c>
      <c r="B310" s="7" t="s">
        <v>1800</v>
      </c>
      <c r="C310" s="7" t="s">
        <v>1665</v>
      </c>
      <c r="D310" s="7" t="s">
        <v>1801</v>
      </c>
      <c r="E310" s="7" t="s">
        <v>108</v>
      </c>
      <c r="F310" s="7" t="s">
        <v>318</v>
      </c>
      <c r="G310" s="7" t="s">
        <v>1671</v>
      </c>
      <c r="H310" s="7" t="s">
        <v>1672</v>
      </c>
      <c r="I310" s="7" t="s">
        <v>1802</v>
      </c>
      <c r="J310" s="9" t="s">
        <v>1803</v>
      </c>
      <c r="K310" s="7" t="s">
        <v>808</v>
      </c>
      <c r="L310" s="10" t="s">
        <v>572</v>
      </c>
    </row>
    <row r="311" customFormat="false" ht="69.75" hidden="false" customHeight="true" outlineLevel="0" collapsed="false">
      <c r="A311" s="7" t="s">
        <v>1804</v>
      </c>
      <c r="B311" s="7" t="s">
        <v>1805</v>
      </c>
      <c r="C311" s="7" t="s">
        <v>1665</v>
      </c>
      <c r="D311" s="7" t="s">
        <v>1806</v>
      </c>
      <c r="E311" s="7" t="s">
        <v>108</v>
      </c>
      <c r="F311" s="7" t="s">
        <v>318</v>
      </c>
      <c r="G311" s="7" t="s">
        <v>1671</v>
      </c>
      <c r="H311" s="7" t="s">
        <v>1672</v>
      </c>
      <c r="I311" s="7" t="s">
        <v>1807</v>
      </c>
      <c r="J311" s="9" t="s">
        <v>1808</v>
      </c>
      <c r="K311" s="7" t="s">
        <v>808</v>
      </c>
      <c r="L311" s="10" t="s">
        <v>572</v>
      </c>
    </row>
    <row r="312" customFormat="false" ht="35.25" hidden="false" customHeight="true" outlineLevel="0" collapsed="false">
      <c r="A312" s="7" t="s">
        <v>1809</v>
      </c>
      <c r="B312" s="7" t="s">
        <v>1810</v>
      </c>
      <c r="C312" s="7" t="s">
        <v>1665</v>
      </c>
      <c r="D312" s="7" t="s">
        <v>1811</v>
      </c>
      <c r="E312" s="7" t="s">
        <v>108</v>
      </c>
      <c r="F312" s="7" t="s">
        <v>318</v>
      </c>
      <c r="G312" s="7" t="s">
        <v>1671</v>
      </c>
      <c r="H312" s="7" t="s">
        <v>1672</v>
      </c>
      <c r="I312" s="7" t="s">
        <v>1812</v>
      </c>
      <c r="J312" s="9" t="s">
        <v>1813</v>
      </c>
      <c r="K312" s="7" t="s">
        <v>724</v>
      </c>
      <c r="L312" s="12" t="s">
        <v>186</v>
      </c>
    </row>
    <row r="313" customFormat="false" ht="69.75" hidden="false" customHeight="true" outlineLevel="0" collapsed="false">
      <c r="A313" s="7" t="s">
        <v>1814</v>
      </c>
      <c r="B313" s="7" t="s">
        <v>1815</v>
      </c>
      <c r="C313" s="7" t="s">
        <v>1665</v>
      </c>
      <c r="D313" s="7" t="s">
        <v>1816</v>
      </c>
      <c r="E313" s="7" t="s">
        <v>108</v>
      </c>
      <c r="F313" s="7" t="s">
        <v>318</v>
      </c>
      <c r="G313" s="7" t="s">
        <v>1671</v>
      </c>
      <c r="H313" s="7" t="s">
        <v>1672</v>
      </c>
      <c r="I313" s="7" t="s">
        <v>1817</v>
      </c>
      <c r="J313" s="9" t="s">
        <v>1818</v>
      </c>
      <c r="K313" s="7" t="s">
        <v>724</v>
      </c>
      <c r="L313" s="10" t="s">
        <v>572</v>
      </c>
    </row>
    <row r="314" customFormat="false" ht="69.75" hidden="false" customHeight="true" outlineLevel="0" collapsed="false">
      <c r="A314" s="7" t="s">
        <v>1819</v>
      </c>
      <c r="B314" s="7" t="s">
        <v>1820</v>
      </c>
      <c r="C314" s="7" t="s">
        <v>1665</v>
      </c>
      <c r="D314" s="7" t="s">
        <v>1821</v>
      </c>
      <c r="E314" s="7" t="s">
        <v>108</v>
      </c>
      <c r="F314" s="7" t="s">
        <v>318</v>
      </c>
      <c r="G314" s="7" t="s">
        <v>1671</v>
      </c>
      <c r="H314" s="7" t="s">
        <v>1672</v>
      </c>
      <c r="I314" s="7" t="s">
        <v>1822</v>
      </c>
      <c r="J314" s="9" t="s">
        <v>1823</v>
      </c>
      <c r="K314" s="7" t="s">
        <v>724</v>
      </c>
      <c r="L314" s="10" t="s">
        <v>572</v>
      </c>
    </row>
    <row r="315" customFormat="false" ht="69.75" hidden="false" customHeight="true" outlineLevel="0" collapsed="false">
      <c r="A315" s="7" t="s">
        <v>1824</v>
      </c>
      <c r="B315" s="7" t="s">
        <v>1825</v>
      </c>
      <c r="C315" s="7" t="s">
        <v>1665</v>
      </c>
      <c r="D315" s="7" t="s">
        <v>1826</v>
      </c>
      <c r="E315" s="7" t="s">
        <v>108</v>
      </c>
      <c r="F315" s="7" t="s">
        <v>318</v>
      </c>
      <c r="G315" s="7" t="s">
        <v>1671</v>
      </c>
      <c r="H315" s="7" t="s">
        <v>1672</v>
      </c>
      <c r="I315" s="7" t="s">
        <v>1827</v>
      </c>
      <c r="J315" s="9" t="s">
        <v>1828</v>
      </c>
      <c r="K315" s="7" t="s">
        <v>724</v>
      </c>
      <c r="L315" s="10" t="s">
        <v>572</v>
      </c>
    </row>
    <row r="316" customFormat="false" ht="69.75" hidden="false" customHeight="true" outlineLevel="0" collapsed="false">
      <c r="A316" s="7" t="s">
        <v>1829</v>
      </c>
      <c r="B316" s="7" t="s">
        <v>1830</v>
      </c>
      <c r="C316" s="7" t="s">
        <v>1665</v>
      </c>
      <c r="D316" s="7" t="s">
        <v>1831</v>
      </c>
      <c r="E316" s="7" t="s">
        <v>108</v>
      </c>
      <c r="F316" s="7" t="s">
        <v>318</v>
      </c>
      <c r="G316" s="7" t="s">
        <v>1671</v>
      </c>
      <c r="H316" s="7" t="s">
        <v>1672</v>
      </c>
      <c r="I316" s="7" t="s">
        <v>1832</v>
      </c>
      <c r="J316" s="9" t="s">
        <v>1833</v>
      </c>
      <c r="K316" s="7" t="s">
        <v>724</v>
      </c>
      <c r="L316" s="10" t="s">
        <v>572</v>
      </c>
    </row>
    <row r="317" customFormat="false" ht="69.75" hidden="false" customHeight="true" outlineLevel="0" collapsed="false">
      <c r="A317" s="7" t="s">
        <v>1834</v>
      </c>
      <c r="B317" s="7" t="s">
        <v>1835</v>
      </c>
      <c r="C317" s="7" t="s">
        <v>1665</v>
      </c>
      <c r="D317" s="7" t="s">
        <v>1836</v>
      </c>
      <c r="E317" s="7" t="s">
        <v>108</v>
      </c>
      <c r="F317" s="7" t="s">
        <v>318</v>
      </c>
      <c r="G317" s="7" t="s">
        <v>1671</v>
      </c>
      <c r="H317" s="7" t="s">
        <v>1672</v>
      </c>
      <c r="I317" s="7" t="s">
        <v>1837</v>
      </c>
      <c r="J317" s="9" t="s">
        <v>1838</v>
      </c>
      <c r="K317" s="7" t="s">
        <v>724</v>
      </c>
      <c r="L317" s="10" t="s">
        <v>572</v>
      </c>
    </row>
    <row r="318" customFormat="false" ht="35.25" hidden="false" customHeight="true" outlineLevel="0" collapsed="false">
      <c r="A318" s="7" t="s">
        <v>1839</v>
      </c>
      <c r="B318" s="7" t="s">
        <v>1840</v>
      </c>
      <c r="C318" s="7" t="s">
        <v>1665</v>
      </c>
      <c r="D318" s="7" t="s">
        <v>1841</v>
      </c>
      <c r="E318" s="7" t="s">
        <v>108</v>
      </c>
      <c r="F318" s="7" t="s">
        <v>628</v>
      </c>
      <c r="G318" s="7" t="s">
        <v>1134</v>
      </c>
      <c r="H318" s="7" t="s">
        <v>1135</v>
      </c>
      <c r="I318" s="7" t="s">
        <v>1842</v>
      </c>
      <c r="J318" s="9" t="s">
        <v>1843</v>
      </c>
      <c r="K318" s="7" t="s">
        <v>1844</v>
      </c>
      <c r="L318" s="11" t="s">
        <v>180</v>
      </c>
    </row>
    <row r="319" customFormat="false" ht="69.75" hidden="false" customHeight="true" outlineLevel="0" collapsed="false">
      <c r="A319" s="7" t="s">
        <v>1845</v>
      </c>
      <c r="B319" s="7" t="s">
        <v>1846</v>
      </c>
      <c r="C319" s="7" t="s">
        <v>1665</v>
      </c>
      <c r="D319" s="7" t="s">
        <v>1847</v>
      </c>
      <c r="E319" s="7" t="s">
        <v>108</v>
      </c>
      <c r="F319" s="7" t="s">
        <v>628</v>
      </c>
      <c r="G319" s="7" t="s">
        <v>1134</v>
      </c>
      <c r="H319" s="7" t="s">
        <v>1135</v>
      </c>
      <c r="I319" s="7" t="s">
        <v>1848</v>
      </c>
      <c r="J319" s="9" t="s">
        <v>1849</v>
      </c>
      <c r="K319" s="7" t="s">
        <v>1844</v>
      </c>
      <c r="L319" s="11" t="s">
        <v>180</v>
      </c>
    </row>
    <row r="320" customFormat="false" ht="69.75" hidden="false" customHeight="true" outlineLevel="0" collapsed="false">
      <c r="A320" s="7" t="s">
        <v>1850</v>
      </c>
      <c r="B320" s="7" t="s">
        <v>1851</v>
      </c>
      <c r="C320" s="7" t="s">
        <v>1665</v>
      </c>
      <c r="D320" s="7" t="s">
        <v>1852</v>
      </c>
      <c r="E320" s="7" t="s">
        <v>108</v>
      </c>
      <c r="F320" s="7" t="s">
        <v>628</v>
      </c>
      <c r="G320" s="7" t="s">
        <v>1134</v>
      </c>
      <c r="H320" s="7" t="s">
        <v>1135</v>
      </c>
      <c r="I320" s="7" t="s">
        <v>1853</v>
      </c>
      <c r="J320" s="9" t="s">
        <v>1854</v>
      </c>
      <c r="K320" s="7" t="s">
        <v>1844</v>
      </c>
      <c r="L320" s="12" t="s">
        <v>186</v>
      </c>
    </row>
    <row r="321" customFormat="false" ht="87" hidden="false" customHeight="true" outlineLevel="0" collapsed="false">
      <c r="A321" s="7" t="s">
        <v>1855</v>
      </c>
      <c r="B321" s="7" t="s">
        <v>1856</v>
      </c>
      <c r="C321" s="7" t="s">
        <v>1665</v>
      </c>
      <c r="D321" s="7" t="s">
        <v>1857</v>
      </c>
      <c r="E321" s="7" t="s">
        <v>108</v>
      </c>
      <c r="F321" s="7" t="s">
        <v>628</v>
      </c>
      <c r="G321" s="7" t="s">
        <v>1134</v>
      </c>
      <c r="H321" s="7" t="s">
        <v>1135</v>
      </c>
      <c r="I321" s="7" t="s">
        <v>1858</v>
      </c>
      <c r="J321" s="9" t="s">
        <v>1859</v>
      </c>
      <c r="K321" s="7" t="s">
        <v>1844</v>
      </c>
      <c r="L321" s="12" t="s">
        <v>186</v>
      </c>
    </row>
    <row r="322" customFormat="false" ht="69.75" hidden="false" customHeight="true" outlineLevel="0" collapsed="false">
      <c r="A322" s="7" t="s">
        <v>1860</v>
      </c>
      <c r="B322" s="7" t="s">
        <v>1861</v>
      </c>
      <c r="C322" s="7" t="s">
        <v>1665</v>
      </c>
      <c r="D322" s="7" t="s">
        <v>1862</v>
      </c>
      <c r="E322" s="7" t="s">
        <v>108</v>
      </c>
      <c r="F322" s="7" t="s">
        <v>628</v>
      </c>
      <c r="G322" s="7" t="s">
        <v>1134</v>
      </c>
      <c r="H322" s="7" t="s">
        <v>1135</v>
      </c>
      <c r="I322" s="7" t="s">
        <v>1863</v>
      </c>
      <c r="J322" s="9" t="s">
        <v>1864</v>
      </c>
      <c r="K322" s="7" t="s">
        <v>1844</v>
      </c>
      <c r="L322" s="12" t="s">
        <v>186</v>
      </c>
    </row>
    <row r="323" customFormat="false" ht="69.75" hidden="false" customHeight="true" outlineLevel="0" collapsed="false">
      <c r="A323" s="7" t="s">
        <v>1865</v>
      </c>
      <c r="B323" s="7" t="s">
        <v>1866</v>
      </c>
      <c r="C323" s="7" t="s">
        <v>1665</v>
      </c>
      <c r="D323" s="7" t="s">
        <v>1867</v>
      </c>
      <c r="E323" s="7" t="s">
        <v>108</v>
      </c>
      <c r="F323" s="7" t="s">
        <v>628</v>
      </c>
      <c r="G323" s="7" t="s">
        <v>1134</v>
      </c>
      <c r="H323" s="7" t="s">
        <v>1135</v>
      </c>
      <c r="I323" s="7" t="s">
        <v>1868</v>
      </c>
      <c r="J323" s="9" t="s">
        <v>1869</v>
      </c>
      <c r="K323" s="7" t="s">
        <v>1844</v>
      </c>
      <c r="L323" s="12" t="s">
        <v>186</v>
      </c>
    </row>
    <row r="324" customFormat="false" ht="87" hidden="false" customHeight="true" outlineLevel="0" collapsed="false">
      <c r="A324" s="7" t="s">
        <v>1870</v>
      </c>
      <c r="B324" s="7" t="s">
        <v>1871</v>
      </c>
      <c r="C324" s="7" t="s">
        <v>1665</v>
      </c>
      <c r="D324" s="7" t="s">
        <v>1872</v>
      </c>
      <c r="E324" s="7" t="s">
        <v>108</v>
      </c>
      <c r="F324" s="7" t="s">
        <v>628</v>
      </c>
      <c r="G324" s="7" t="s">
        <v>1134</v>
      </c>
      <c r="H324" s="7" t="s">
        <v>1135</v>
      </c>
      <c r="I324" s="7" t="s">
        <v>1873</v>
      </c>
      <c r="J324" s="9" t="s">
        <v>1874</v>
      </c>
      <c r="K324" s="7" t="s">
        <v>1844</v>
      </c>
      <c r="L324" s="12" t="s">
        <v>186</v>
      </c>
    </row>
    <row r="325" customFormat="false" ht="69.75" hidden="false" customHeight="true" outlineLevel="0" collapsed="false">
      <c r="A325" s="7" t="s">
        <v>1875</v>
      </c>
      <c r="B325" s="7" t="s">
        <v>1876</v>
      </c>
      <c r="C325" s="7" t="s">
        <v>1665</v>
      </c>
      <c r="D325" s="7" t="s">
        <v>1877</v>
      </c>
      <c r="E325" s="7" t="s">
        <v>108</v>
      </c>
      <c r="F325" s="7" t="s">
        <v>628</v>
      </c>
      <c r="G325" s="7" t="s">
        <v>1134</v>
      </c>
      <c r="H325" s="7" t="s">
        <v>1135</v>
      </c>
      <c r="I325" s="7" t="s">
        <v>1878</v>
      </c>
      <c r="J325" s="9" t="s">
        <v>1879</v>
      </c>
      <c r="K325" s="7" t="s">
        <v>1844</v>
      </c>
      <c r="L325" s="11" t="s">
        <v>180</v>
      </c>
    </row>
    <row r="326" customFormat="false" ht="35.25" hidden="false" customHeight="true" outlineLevel="0" collapsed="false">
      <c r="A326" s="7" t="s">
        <v>1880</v>
      </c>
      <c r="B326" s="7" t="s">
        <v>1881</v>
      </c>
      <c r="C326" s="7" t="s">
        <v>1665</v>
      </c>
      <c r="D326" s="7" t="s">
        <v>1882</v>
      </c>
      <c r="E326" s="7" t="s">
        <v>120</v>
      </c>
      <c r="F326" s="7" t="s">
        <v>1883</v>
      </c>
      <c r="G326" s="7" t="s">
        <v>1884</v>
      </c>
      <c r="H326" s="7" t="s">
        <v>1885</v>
      </c>
      <c r="I326" s="7" t="s">
        <v>1886</v>
      </c>
      <c r="J326" s="9" t="s">
        <v>1887</v>
      </c>
      <c r="K326" s="7" t="s">
        <v>1844</v>
      </c>
      <c r="L326" s="12" t="s">
        <v>186</v>
      </c>
    </row>
    <row r="327" customFormat="false" ht="87" hidden="false" customHeight="true" outlineLevel="0" collapsed="false">
      <c r="A327" s="7" t="s">
        <v>1888</v>
      </c>
      <c r="B327" s="7" t="s">
        <v>1889</v>
      </c>
      <c r="C327" s="7" t="s">
        <v>1665</v>
      </c>
      <c r="D327" s="7" t="s">
        <v>1890</v>
      </c>
      <c r="E327" s="7" t="s">
        <v>120</v>
      </c>
      <c r="F327" s="7" t="s">
        <v>1883</v>
      </c>
      <c r="G327" s="7" t="s">
        <v>1884</v>
      </c>
      <c r="H327" s="7" t="s">
        <v>1885</v>
      </c>
      <c r="I327" s="7" t="s">
        <v>1891</v>
      </c>
      <c r="J327" s="9" t="s">
        <v>1892</v>
      </c>
      <c r="K327" s="7" t="s">
        <v>1844</v>
      </c>
      <c r="L327" s="10" t="s">
        <v>572</v>
      </c>
    </row>
    <row r="328" customFormat="false" ht="69.75" hidden="false" customHeight="true" outlineLevel="0" collapsed="false">
      <c r="A328" s="7" t="s">
        <v>1893</v>
      </c>
      <c r="B328" s="7" t="s">
        <v>1894</v>
      </c>
      <c r="C328" s="7" t="s">
        <v>1665</v>
      </c>
      <c r="D328" s="7" t="s">
        <v>1895</v>
      </c>
      <c r="E328" s="7" t="s">
        <v>120</v>
      </c>
      <c r="F328" s="7" t="s">
        <v>1883</v>
      </c>
      <c r="G328" s="7" t="s">
        <v>1884</v>
      </c>
      <c r="H328" s="7" t="s">
        <v>1885</v>
      </c>
      <c r="I328" s="7" t="s">
        <v>1896</v>
      </c>
      <c r="J328" s="9" t="s">
        <v>1897</v>
      </c>
      <c r="K328" s="7" t="s">
        <v>1844</v>
      </c>
      <c r="L328" s="10" t="s">
        <v>572</v>
      </c>
    </row>
    <row r="329" customFormat="false" ht="87" hidden="false" customHeight="true" outlineLevel="0" collapsed="false">
      <c r="A329" s="7" t="s">
        <v>1898</v>
      </c>
      <c r="B329" s="7" t="s">
        <v>1899</v>
      </c>
      <c r="C329" s="7" t="s">
        <v>1665</v>
      </c>
      <c r="D329" s="7" t="s">
        <v>1900</v>
      </c>
      <c r="E329" s="7" t="s">
        <v>120</v>
      </c>
      <c r="F329" s="7" t="s">
        <v>1883</v>
      </c>
      <c r="G329" s="7" t="s">
        <v>1884</v>
      </c>
      <c r="H329" s="7" t="s">
        <v>1885</v>
      </c>
      <c r="I329" s="7" t="s">
        <v>1901</v>
      </c>
      <c r="J329" s="9" t="s">
        <v>1902</v>
      </c>
      <c r="K329" s="7" t="s">
        <v>1844</v>
      </c>
      <c r="L329" s="10" t="s">
        <v>572</v>
      </c>
    </row>
    <row r="330" customFormat="false" ht="35.25" hidden="false" customHeight="true" outlineLevel="0" collapsed="false">
      <c r="A330" s="7" t="s">
        <v>1903</v>
      </c>
      <c r="B330" s="7" t="s">
        <v>1904</v>
      </c>
      <c r="C330" s="7" t="s">
        <v>1665</v>
      </c>
      <c r="D330" s="7" t="s">
        <v>1905</v>
      </c>
      <c r="E330" s="7" t="s">
        <v>108</v>
      </c>
      <c r="F330" s="7" t="s">
        <v>318</v>
      </c>
      <c r="G330" s="7" t="s">
        <v>1671</v>
      </c>
      <c r="H330" s="7" t="s">
        <v>1672</v>
      </c>
      <c r="I330" s="7" t="s">
        <v>1906</v>
      </c>
      <c r="J330" s="9" t="s">
        <v>1907</v>
      </c>
      <c r="K330" s="7" t="s">
        <v>724</v>
      </c>
      <c r="L330" s="10" t="s">
        <v>572</v>
      </c>
    </row>
    <row r="331" customFormat="false" ht="35.25" hidden="false" customHeight="true" outlineLevel="0" collapsed="false">
      <c r="A331" s="7" t="s">
        <v>1908</v>
      </c>
      <c r="B331" s="7" t="s">
        <v>1909</v>
      </c>
      <c r="C331" s="7" t="s">
        <v>1665</v>
      </c>
      <c r="D331" s="7" t="s">
        <v>1910</v>
      </c>
      <c r="E331" s="7" t="s">
        <v>108</v>
      </c>
      <c r="F331" s="7" t="s">
        <v>318</v>
      </c>
      <c r="G331" s="7" t="s">
        <v>1671</v>
      </c>
      <c r="H331" s="7" t="s">
        <v>1672</v>
      </c>
      <c r="I331" s="7" t="s">
        <v>1911</v>
      </c>
      <c r="J331" s="9" t="s">
        <v>1912</v>
      </c>
      <c r="K331" s="7" t="s">
        <v>603</v>
      </c>
      <c r="L331" s="10" t="s">
        <v>572</v>
      </c>
    </row>
    <row r="332" customFormat="false" ht="35.25" hidden="false" customHeight="true" outlineLevel="0" collapsed="false">
      <c r="A332" s="7" t="s">
        <v>1913</v>
      </c>
      <c r="B332" s="7" t="s">
        <v>1914</v>
      </c>
      <c r="C332" s="7" t="s">
        <v>1665</v>
      </c>
      <c r="D332" s="7" t="s">
        <v>1915</v>
      </c>
      <c r="E332" s="7" t="s">
        <v>108</v>
      </c>
      <c r="F332" s="7" t="s">
        <v>318</v>
      </c>
      <c r="G332" s="7" t="s">
        <v>1671</v>
      </c>
      <c r="H332" s="7" t="s">
        <v>1672</v>
      </c>
      <c r="I332" s="7" t="s">
        <v>1916</v>
      </c>
      <c r="J332" s="9" t="s">
        <v>1917</v>
      </c>
      <c r="K332" s="7" t="s">
        <v>603</v>
      </c>
      <c r="L332" s="10" t="s">
        <v>572</v>
      </c>
    </row>
    <row r="333" customFormat="false" ht="52.5" hidden="false" customHeight="true" outlineLevel="0" collapsed="false">
      <c r="A333" s="7" t="s">
        <v>1918</v>
      </c>
      <c r="B333" s="7" t="s">
        <v>1919</v>
      </c>
      <c r="C333" s="7" t="s">
        <v>1920</v>
      </c>
      <c r="D333" s="7" t="s">
        <v>163</v>
      </c>
      <c r="E333" s="7" t="s">
        <v>100</v>
      </c>
      <c r="F333" s="7" t="s">
        <v>164</v>
      </c>
      <c r="G333" s="7" t="s">
        <v>165</v>
      </c>
      <c r="H333" s="7" t="s">
        <v>166</v>
      </c>
      <c r="I333" s="7" t="s">
        <v>1921</v>
      </c>
      <c r="J333" s="9" t="s">
        <v>1922</v>
      </c>
      <c r="K333" s="7" t="s">
        <v>169</v>
      </c>
      <c r="L333" s="10" t="s">
        <v>170</v>
      </c>
    </row>
    <row r="334" customFormat="false" ht="35.25" hidden="false" customHeight="true" outlineLevel="0" collapsed="false">
      <c r="A334" s="7" t="s">
        <v>1923</v>
      </c>
      <c r="B334" s="7" t="s">
        <v>1924</v>
      </c>
      <c r="C334" s="7" t="s">
        <v>1920</v>
      </c>
      <c r="D334" s="7" t="s">
        <v>1925</v>
      </c>
      <c r="E334" s="7" t="s">
        <v>108</v>
      </c>
      <c r="F334" s="7" t="s">
        <v>174</v>
      </c>
      <c r="G334" s="7" t="s">
        <v>538</v>
      </c>
      <c r="H334" s="7" t="s">
        <v>539</v>
      </c>
      <c r="I334" s="7" t="s">
        <v>1926</v>
      </c>
      <c r="J334" s="9" t="s">
        <v>1927</v>
      </c>
      <c r="K334" s="7" t="s">
        <v>479</v>
      </c>
      <c r="L334" s="11" t="s">
        <v>180</v>
      </c>
    </row>
    <row r="335" customFormat="false" ht="87" hidden="false" customHeight="true" outlineLevel="0" collapsed="false">
      <c r="A335" s="7" t="s">
        <v>1928</v>
      </c>
      <c r="B335" s="7" t="s">
        <v>1929</v>
      </c>
      <c r="C335" s="7" t="s">
        <v>1920</v>
      </c>
      <c r="D335" s="7" t="s">
        <v>1930</v>
      </c>
      <c r="E335" s="7" t="s">
        <v>108</v>
      </c>
      <c r="F335" s="7" t="s">
        <v>174</v>
      </c>
      <c r="G335" s="7" t="s">
        <v>538</v>
      </c>
      <c r="H335" s="7" t="s">
        <v>539</v>
      </c>
      <c r="I335" s="7" t="s">
        <v>1931</v>
      </c>
      <c r="J335" s="9" t="s">
        <v>1932</v>
      </c>
      <c r="K335" s="7" t="s">
        <v>479</v>
      </c>
      <c r="L335" s="11" t="s">
        <v>180</v>
      </c>
    </row>
    <row r="336" customFormat="false" ht="87" hidden="false" customHeight="true" outlineLevel="0" collapsed="false">
      <c r="A336" s="7" t="s">
        <v>1933</v>
      </c>
      <c r="B336" s="7" t="s">
        <v>1934</v>
      </c>
      <c r="C336" s="7" t="s">
        <v>1920</v>
      </c>
      <c r="D336" s="7" t="s">
        <v>1935</v>
      </c>
      <c r="E336" s="7" t="s">
        <v>108</v>
      </c>
      <c r="F336" s="7" t="s">
        <v>174</v>
      </c>
      <c r="G336" s="7" t="s">
        <v>538</v>
      </c>
      <c r="H336" s="7" t="s">
        <v>539</v>
      </c>
      <c r="I336" s="7" t="s">
        <v>1936</v>
      </c>
      <c r="J336" s="9" t="s">
        <v>1937</v>
      </c>
      <c r="K336" s="7" t="s">
        <v>479</v>
      </c>
      <c r="L336" s="11" t="s">
        <v>180</v>
      </c>
    </row>
    <row r="337" customFormat="false" ht="87" hidden="false" customHeight="true" outlineLevel="0" collapsed="false">
      <c r="A337" s="7" t="s">
        <v>1938</v>
      </c>
      <c r="B337" s="7" t="s">
        <v>1939</v>
      </c>
      <c r="C337" s="7" t="s">
        <v>1920</v>
      </c>
      <c r="D337" s="7" t="s">
        <v>1940</v>
      </c>
      <c r="E337" s="7" t="s">
        <v>108</v>
      </c>
      <c r="F337" s="7" t="s">
        <v>174</v>
      </c>
      <c r="G337" s="7" t="s">
        <v>538</v>
      </c>
      <c r="H337" s="7" t="s">
        <v>539</v>
      </c>
      <c r="I337" s="7" t="s">
        <v>1941</v>
      </c>
      <c r="J337" s="9" t="s">
        <v>1942</v>
      </c>
      <c r="K337" s="7" t="s">
        <v>479</v>
      </c>
      <c r="L337" s="12" t="s">
        <v>186</v>
      </c>
    </row>
    <row r="338" customFormat="false" ht="87" hidden="false" customHeight="true" outlineLevel="0" collapsed="false">
      <c r="A338" s="7" t="s">
        <v>1943</v>
      </c>
      <c r="B338" s="7" t="s">
        <v>1944</v>
      </c>
      <c r="C338" s="7" t="s">
        <v>1920</v>
      </c>
      <c r="D338" s="7" t="s">
        <v>1945</v>
      </c>
      <c r="E338" s="7" t="s">
        <v>108</v>
      </c>
      <c r="F338" s="7" t="s">
        <v>174</v>
      </c>
      <c r="G338" s="7" t="s">
        <v>538</v>
      </c>
      <c r="H338" s="7" t="s">
        <v>539</v>
      </c>
      <c r="I338" s="7" t="s">
        <v>1946</v>
      </c>
      <c r="J338" s="9" t="s">
        <v>1947</v>
      </c>
      <c r="K338" s="7" t="s">
        <v>479</v>
      </c>
      <c r="L338" s="12" t="s">
        <v>186</v>
      </c>
    </row>
    <row r="339" customFormat="false" ht="87" hidden="false" customHeight="true" outlineLevel="0" collapsed="false">
      <c r="A339" s="7" t="s">
        <v>1948</v>
      </c>
      <c r="B339" s="7" t="s">
        <v>1949</v>
      </c>
      <c r="C339" s="7" t="s">
        <v>1920</v>
      </c>
      <c r="D339" s="7" t="s">
        <v>1950</v>
      </c>
      <c r="E339" s="7" t="s">
        <v>108</v>
      </c>
      <c r="F339" s="7" t="s">
        <v>174</v>
      </c>
      <c r="G339" s="7" t="s">
        <v>538</v>
      </c>
      <c r="H339" s="7" t="s">
        <v>539</v>
      </c>
      <c r="I339" s="7" t="s">
        <v>1951</v>
      </c>
      <c r="J339" s="9" t="s">
        <v>1952</v>
      </c>
      <c r="K339" s="7" t="s">
        <v>479</v>
      </c>
      <c r="L339" s="12" t="s">
        <v>186</v>
      </c>
    </row>
    <row r="340" customFormat="false" ht="87" hidden="false" customHeight="true" outlineLevel="0" collapsed="false">
      <c r="A340" s="7" t="s">
        <v>1953</v>
      </c>
      <c r="B340" s="7" t="s">
        <v>1954</v>
      </c>
      <c r="C340" s="7" t="s">
        <v>1920</v>
      </c>
      <c r="D340" s="7" t="s">
        <v>1955</v>
      </c>
      <c r="E340" s="7" t="s">
        <v>108</v>
      </c>
      <c r="F340" s="7" t="s">
        <v>174</v>
      </c>
      <c r="G340" s="7" t="s">
        <v>538</v>
      </c>
      <c r="H340" s="7" t="s">
        <v>539</v>
      </c>
      <c r="I340" s="7" t="s">
        <v>1956</v>
      </c>
      <c r="J340" s="9" t="s">
        <v>1957</v>
      </c>
      <c r="K340" s="7" t="s">
        <v>479</v>
      </c>
      <c r="L340" s="12" t="s">
        <v>186</v>
      </c>
    </row>
    <row r="341" customFormat="false" ht="87" hidden="false" customHeight="true" outlineLevel="0" collapsed="false">
      <c r="A341" s="7" t="s">
        <v>1958</v>
      </c>
      <c r="B341" s="7" t="s">
        <v>1959</v>
      </c>
      <c r="C341" s="7" t="s">
        <v>1920</v>
      </c>
      <c r="D341" s="7" t="s">
        <v>1960</v>
      </c>
      <c r="E341" s="7" t="s">
        <v>108</v>
      </c>
      <c r="F341" s="7" t="s">
        <v>174</v>
      </c>
      <c r="G341" s="7" t="s">
        <v>538</v>
      </c>
      <c r="H341" s="7" t="s">
        <v>539</v>
      </c>
      <c r="I341" s="7" t="s">
        <v>1961</v>
      </c>
      <c r="J341" s="9" t="s">
        <v>1962</v>
      </c>
      <c r="K341" s="7" t="s">
        <v>479</v>
      </c>
      <c r="L341" s="12" t="s">
        <v>186</v>
      </c>
    </row>
    <row r="342" customFormat="false" ht="87" hidden="false" customHeight="true" outlineLevel="0" collapsed="false">
      <c r="A342" s="7" t="s">
        <v>1963</v>
      </c>
      <c r="B342" s="7" t="s">
        <v>1964</v>
      </c>
      <c r="C342" s="7" t="s">
        <v>1920</v>
      </c>
      <c r="D342" s="7" t="s">
        <v>1965</v>
      </c>
      <c r="E342" s="7" t="s">
        <v>108</v>
      </c>
      <c r="F342" s="7" t="s">
        <v>174</v>
      </c>
      <c r="G342" s="7" t="s">
        <v>538</v>
      </c>
      <c r="H342" s="7" t="s">
        <v>539</v>
      </c>
      <c r="I342" s="7" t="s">
        <v>1966</v>
      </c>
      <c r="J342" s="9" t="s">
        <v>1967</v>
      </c>
      <c r="K342" s="7" t="s">
        <v>479</v>
      </c>
      <c r="L342" s="12" t="s">
        <v>186</v>
      </c>
    </row>
    <row r="343" customFormat="false" ht="35.25" hidden="false" customHeight="true" outlineLevel="0" collapsed="false">
      <c r="A343" s="7" t="s">
        <v>1968</v>
      </c>
      <c r="B343" s="7" t="s">
        <v>1969</v>
      </c>
      <c r="C343" s="7" t="s">
        <v>1920</v>
      </c>
      <c r="D343" s="7" t="s">
        <v>1970</v>
      </c>
      <c r="E343" s="7" t="s">
        <v>108</v>
      </c>
      <c r="F343" s="7" t="s">
        <v>174</v>
      </c>
      <c r="G343" s="7" t="s">
        <v>538</v>
      </c>
      <c r="H343" s="7" t="s">
        <v>539</v>
      </c>
      <c r="I343" s="7" t="s">
        <v>1971</v>
      </c>
      <c r="J343" s="9" t="s">
        <v>1972</v>
      </c>
      <c r="K343" s="7" t="s">
        <v>624</v>
      </c>
      <c r="L343" s="11" t="s">
        <v>180</v>
      </c>
    </row>
    <row r="344" customFormat="false" ht="87" hidden="false" customHeight="true" outlineLevel="0" collapsed="false">
      <c r="A344" s="7" t="s">
        <v>1973</v>
      </c>
      <c r="B344" s="7" t="s">
        <v>1974</v>
      </c>
      <c r="C344" s="7" t="s">
        <v>1920</v>
      </c>
      <c r="D344" s="7" t="s">
        <v>1975</v>
      </c>
      <c r="E344" s="7" t="s">
        <v>108</v>
      </c>
      <c r="F344" s="7" t="s">
        <v>174</v>
      </c>
      <c r="G344" s="7" t="s">
        <v>538</v>
      </c>
      <c r="H344" s="7" t="s">
        <v>539</v>
      </c>
      <c r="I344" s="7" t="s">
        <v>1976</v>
      </c>
      <c r="J344" s="9" t="s">
        <v>1977</v>
      </c>
      <c r="K344" s="7" t="s">
        <v>624</v>
      </c>
      <c r="L344" s="11" t="s">
        <v>180</v>
      </c>
    </row>
    <row r="345" customFormat="false" ht="69.75" hidden="false" customHeight="true" outlineLevel="0" collapsed="false">
      <c r="A345" s="7" t="s">
        <v>1978</v>
      </c>
      <c r="B345" s="7" t="s">
        <v>1979</v>
      </c>
      <c r="C345" s="7" t="s">
        <v>1920</v>
      </c>
      <c r="D345" s="7" t="s">
        <v>1980</v>
      </c>
      <c r="E345" s="7" t="s">
        <v>108</v>
      </c>
      <c r="F345" s="7" t="s">
        <v>174</v>
      </c>
      <c r="G345" s="7" t="s">
        <v>538</v>
      </c>
      <c r="H345" s="7" t="s">
        <v>539</v>
      </c>
      <c r="I345" s="7" t="s">
        <v>1981</v>
      </c>
      <c r="J345" s="9" t="s">
        <v>1982</v>
      </c>
      <c r="K345" s="7" t="s">
        <v>624</v>
      </c>
      <c r="L345" s="12" t="s">
        <v>186</v>
      </c>
    </row>
    <row r="346" customFormat="false" ht="69.75" hidden="false" customHeight="true" outlineLevel="0" collapsed="false">
      <c r="A346" s="7" t="s">
        <v>1983</v>
      </c>
      <c r="B346" s="7" t="s">
        <v>1984</v>
      </c>
      <c r="C346" s="7" t="s">
        <v>1920</v>
      </c>
      <c r="D346" s="7" t="s">
        <v>1985</v>
      </c>
      <c r="E346" s="7" t="s">
        <v>108</v>
      </c>
      <c r="F346" s="7" t="s">
        <v>174</v>
      </c>
      <c r="G346" s="7" t="s">
        <v>538</v>
      </c>
      <c r="H346" s="7" t="s">
        <v>539</v>
      </c>
      <c r="I346" s="7" t="s">
        <v>1986</v>
      </c>
      <c r="J346" s="9" t="s">
        <v>1987</v>
      </c>
      <c r="K346" s="7" t="s">
        <v>624</v>
      </c>
      <c r="L346" s="12" t="s">
        <v>186</v>
      </c>
    </row>
    <row r="347" customFormat="false" ht="35.25" hidden="false" customHeight="true" outlineLevel="0" collapsed="false">
      <c r="A347" s="7" t="s">
        <v>1988</v>
      </c>
      <c r="B347" s="7" t="s">
        <v>1989</v>
      </c>
      <c r="C347" s="7" t="s">
        <v>1920</v>
      </c>
      <c r="D347" s="7" t="s">
        <v>1990</v>
      </c>
      <c r="E347" s="7" t="s">
        <v>108</v>
      </c>
      <c r="F347" s="7" t="s">
        <v>174</v>
      </c>
      <c r="G347" s="7" t="s">
        <v>175</v>
      </c>
      <c r="H347" s="7" t="s">
        <v>176</v>
      </c>
      <c r="I347" s="7" t="s">
        <v>1991</v>
      </c>
      <c r="J347" s="9" t="s">
        <v>1992</v>
      </c>
      <c r="K347" s="7" t="s">
        <v>1993</v>
      </c>
      <c r="L347" s="12" t="s">
        <v>186</v>
      </c>
    </row>
    <row r="348" customFormat="false" ht="69.75" hidden="false" customHeight="true" outlineLevel="0" collapsed="false">
      <c r="A348" s="7" t="s">
        <v>1994</v>
      </c>
      <c r="B348" s="7" t="s">
        <v>1995</v>
      </c>
      <c r="C348" s="7" t="s">
        <v>1920</v>
      </c>
      <c r="D348" s="7" t="s">
        <v>1996</v>
      </c>
      <c r="E348" s="7" t="s">
        <v>108</v>
      </c>
      <c r="F348" s="7" t="s">
        <v>174</v>
      </c>
      <c r="G348" s="7" t="s">
        <v>175</v>
      </c>
      <c r="H348" s="7" t="s">
        <v>176</v>
      </c>
      <c r="I348" s="7" t="s">
        <v>1997</v>
      </c>
      <c r="J348" s="9" t="s">
        <v>1998</v>
      </c>
      <c r="K348" s="7" t="s">
        <v>1993</v>
      </c>
      <c r="L348" s="10" t="s">
        <v>572</v>
      </c>
    </row>
    <row r="349" customFormat="false" ht="69.75" hidden="false" customHeight="true" outlineLevel="0" collapsed="false">
      <c r="A349" s="7" t="s">
        <v>1999</v>
      </c>
      <c r="B349" s="7" t="s">
        <v>2000</v>
      </c>
      <c r="C349" s="7" t="s">
        <v>1920</v>
      </c>
      <c r="D349" s="7" t="s">
        <v>2001</v>
      </c>
      <c r="E349" s="7" t="s">
        <v>108</v>
      </c>
      <c r="F349" s="7" t="s">
        <v>174</v>
      </c>
      <c r="G349" s="7" t="s">
        <v>175</v>
      </c>
      <c r="H349" s="7" t="s">
        <v>176</v>
      </c>
      <c r="I349" s="7" t="s">
        <v>2002</v>
      </c>
      <c r="J349" s="9" t="s">
        <v>2003</v>
      </c>
      <c r="K349" s="7" t="s">
        <v>1993</v>
      </c>
      <c r="L349" s="10" t="s">
        <v>572</v>
      </c>
    </row>
    <row r="350" customFormat="false" ht="69.75" hidden="false" customHeight="true" outlineLevel="0" collapsed="false">
      <c r="A350" s="7" t="s">
        <v>2004</v>
      </c>
      <c r="B350" s="7" t="s">
        <v>2005</v>
      </c>
      <c r="C350" s="7" t="s">
        <v>1920</v>
      </c>
      <c r="D350" s="7" t="s">
        <v>2006</v>
      </c>
      <c r="E350" s="7" t="s">
        <v>108</v>
      </c>
      <c r="F350" s="7" t="s">
        <v>174</v>
      </c>
      <c r="G350" s="7" t="s">
        <v>175</v>
      </c>
      <c r="H350" s="7" t="s">
        <v>176</v>
      </c>
      <c r="I350" s="7" t="s">
        <v>2007</v>
      </c>
      <c r="J350" s="9" t="s">
        <v>2008</v>
      </c>
      <c r="K350" s="7" t="s">
        <v>1993</v>
      </c>
      <c r="L350" s="10" t="s">
        <v>572</v>
      </c>
    </row>
    <row r="351" customFormat="false" ht="69.75" hidden="false" customHeight="true" outlineLevel="0" collapsed="false">
      <c r="A351" s="7" t="s">
        <v>2009</v>
      </c>
      <c r="B351" s="7" t="s">
        <v>2010</v>
      </c>
      <c r="C351" s="7" t="s">
        <v>1920</v>
      </c>
      <c r="D351" s="7" t="s">
        <v>2011</v>
      </c>
      <c r="E351" s="7" t="s">
        <v>108</v>
      </c>
      <c r="F351" s="7" t="s">
        <v>174</v>
      </c>
      <c r="G351" s="7" t="s">
        <v>175</v>
      </c>
      <c r="H351" s="7" t="s">
        <v>176</v>
      </c>
      <c r="I351" s="7" t="s">
        <v>2012</v>
      </c>
      <c r="J351" s="9" t="s">
        <v>2013</v>
      </c>
      <c r="K351" s="7" t="s">
        <v>1993</v>
      </c>
      <c r="L351" s="10" t="s">
        <v>572</v>
      </c>
    </row>
    <row r="352" customFormat="false" ht="69.75" hidden="false" customHeight="true" outlineLevel="0" collapsed="false">
      <c r="A352" s="7" t="s">
        <v>2014</v>
      </c>
      <c r="B352" s="7" t="s">
        <v>2015</v>
      </c>
      <c r="C352" s="7" t="s">
        <v>1920</v>
      </c>
      <c r="D352" s="7" t="s">
        <v>2016</v>
      </c>
      <c r="E352" s="7" t="s">
        <v>108</v>
      </c>
      <c r="F352" s="7" t="s">
        <v>174</v>
      </c>
      <c r="G352" s="7" t="s">
        <v>175</v>
      </c>
      <c r="H352" s="7" t="s">
        <v>176</v>
      </c>
      <c r="I352" s="7" t="s">
        <v>2017</v>
      </c>
      <c r="J352" s="9" t="s">
        <v>2018</v>
      </c>
      <c r="K352" s="7" t="s">
        <v>1993</v>
      </c>
      <c r="L352" s="10" t="s">
        <v>572</v>
      </c>
    </row>
    <row r="353" customFormat="false" ht="69.75" hidden="false" customHeight="true" outlineLevel="0" collapsed="false">
      <c r="A353" s="7" t="s">
        <v>2019</v>
      </c>
      <c r="B353" s="7" t="s">
        <v>2020</v>
      </c>
      <c r="C353" s="7" t="s">
        <v>1920</v>
      </c>
      <c r="D353" s="7" t="s">
        <v>2021</v>
      </c>
      <c r="E353" s="7" t="s">
        <v>108</v>
      </c>
      <c r="F353" s="7" t="s">
        <v>174</v>
      </c>
      <c r="G353" s="7" t="s">
        <v>175</v>
      </c>
      <c r="H353" s="7" t="s">
        <v>176</v>
      </c>
      <c r="I353" s="7" t="s">
        <v>2022</v>
      </c>
      <c r="J353" s="9" t="s">
        <v>2023</v>
      </c>
      <c r="K353" s="7" t="s">
        <v>1993</v>
      </c>
      <c r="L353" s="10" t="s">
        <v>572</v>
      </c>
    </row>
    <row r="354" customFormat="false" ht="69.75" hidden="false" customHeight="true" outlineLevel="0" collapsed="false">
      <c r="A354" s="7" t="s">
        <v>2024</v>
      </c>
      <c r="B354" s="7" t="s">
        <v>2025</v>
      </c>
      <c r="C354" s="7" t="s">
        <v>1920</v>
      </c>
      <c r="D354" s="7" t="s">
        <v>2026</v>
      </c>
      <c r="E354" s="7" t="s">
        <v>108</v>
      </c>
      <c r="F354" s="7" t="s">
        <v>174</v>
      </c>
      <c r="G354" s="7" t="s">
        <v>175</v>
      </c>
      <c r="H354" s="7" t="s">
        <v>176</v>
      </c>
      <c r="I354" s="7" t="s">
        <v>2027</v>
      </c>
      <c r="J354" s="9" t="s">
        <v>2028</v>
      </c>
      <c r="K354" s="7" t="s">
        <v>1993</v>
      </c>
      <c r="L354" s="10" t="s">
        <v>572</v>
      </c>
    </row>
    <row r="355" customFormat="false" ht="35.25" hidden="false" customHeight="true" outlineLevel="0" collapsed="false">
      <c r="A355" s="7" t="s">
        <v>2029</v>
      </c>
      <c r="B355" s="7" t="s">
        <v>2030</v>
      </c>
      <c r="C355" s="7" t="s">
        <v>1920</v>
      </c>
      <c r="D355" s="7" t="s">
        <v>2031</v>
      </c>
      <c r="E355" s="7" t="s">
        <v>108</v>
      </c>
      <c r="F355" s="7" t="s">
        <v>174</v>
      </c>
      <c r="G355" s="7" t="s">
        <v>175</v>
      </c>
      <c r="H355" s="7" t="s">
        <v>176</v>
      </c>
      <c r="I355" s="7" t="s">
        <v>2032</v>
      </c>
      <c r="J355" s="9" t="s">
        <v>2033</v>
      </c>
      <c r="K355" s="7" t="s">
        <v>249</v>
      </c>
      <c r="L355" s="11" t="s">
        <v>180</v>
      </c>
    </row>
    <row r="356" customFormat="false" ht="87" hidden="false" customHeight="true" outlineLevel="0" collapsed="false">
      <c r="A356" s="7" t="s">
        <v>2034</v>
      </c>
      <c r="B356" s="7" t="s">
        <v>2035</v>
      </c>
      <c r="C356" s="7" t="s">
        <v>1920</v>
      </c>
      <c r="D356" s="7" t="s">
        <v>2036</v>
      </c>
      <c r="E356" s="7" t="s">
        <v>108</v>
      </c>
      <c r="F356" s="7" t="s">
        <v>174</v>
      </c>
      <c r="G356" s="7" t="s">
        <v>175</v>
      </c>
      <c r="H356" s="7" t="s">
        <v>176</v>
      </c>
      <c r="I356" s="7" t="s">
        <v>2037</v>
      </c>
      <c r="J356" s="9" t="s">
        <v>2038</v>
      </c>
      <c r="K356" s="7" t="s">
        <v>249</v>
      </c>
      <c r="L356" s="12" t="s">
        <v>186</v>
      </c>
    </row>
    <row r="357" customFormat="false" ht="87" hidden="false" customHeight="true" outlineLevel="0" collapsed="false">
      <c r="A357" s="7" t="s">
        <v>2039</v>
      </c>
      <c r="B357" s="7" t="s">
        <v>2040</v>
      </c>
      <c r="C357" s="7" t="s">
        <v>1920</v>
      </c>
      <c r="D357" s="7" t="s">
        <v>2041</v>
      </c>
      <c r="E357" s="7" t="s">
        <v>108</v>
      </c>
      <c r="F357" s="7" t="s">
        <v>174</v>
      </c>
      <c r="G357" s="7" t="s">
        <v>175</v>
      </c>
      <c r="H357" s="7" t="s">
        <v>176</v>
      </c>
      <c r="I357" s="7" t="s">
        <v>2042</v>
      </c>
      <c r="J357" s="9" t="s">
        <v>2043</v>
      </c>
      <c r="K357" s="7" t="s">
        <v>249</v>
      </c>
      <c r="L357" s="12" t="s">
        <v>186</v>
      </c>
    </row>
    <row r="358" customFormat="false" ht="87" hidden="false" customHeight="true" outlineLevel="0" collapsed="false">
      <c r="A358" s="7" t="s">
        <v>2044</v>
      </c>
      <c r="B358" s="7" t="s">
        <v>2045</v>
      </c>
      <c r="C358" s="7" t="s">
        <v>1920</v>
      </c>
      <c r="D358" s="7" t="s">
        <v>2046</v>
      </c>
      <c r="E358" s="7" t="s">
        <v>108</v>
      </c>
      <c r="F358" s="7" t="s">
        <v>174</v>
      </c>
      <c r="G358" s="7" t="s">
        <v>175</v>
      </c>
      <c r="H358" s="7" t="s">
        <v>176</v>
      </c>
      <c r="I358" s="7" t="s">
        <v>2047</v>
      </c>
      <c r="J358" s="9" t="s">
        <v>2048</v>
      </c>
      <c r="K358" s="7" t="s">
        <v>249</v>
      </c>
      <c r="L358" s="12" t="s">
        <v>186</v>
      </c>
    </row>
    <row r="359" customFormat="false" ht="87" hidden="false" customHeight="true" outlineLevel="0" collapsed="false">
      <c r="A359" s="7" t="s">
        <v>2049</v>
      </c>
      <c r="B359" s="7" t="s">
        <v>2050</v>
      </c>
      <c r="C359" s="7" t="s">
        <v>1920</v>
      </c>
      <c r="D359" s="7" t="s">
        <v>2051</v>
      </c>
      <c r="E359" s="7" t="s">
        <v>108</v>
      </c>
      <c r="F359" s="7" t="s">
        <v>174</v>
      </c>
      <c r="G359" s="7" t="s">
        <v>175</v>
      </c>
      <c r="H359" s="7" t="s">
        <v>176</v>
      </c>
      <c r="I359" s="7" t="s">
        <v>2052</v>
      </c>
      <c r="J359" s="9" t="s">
        <v>2053</v>
      </c>
      <c r="K359" s="7" t="s">
        <v>249</v>
      </c>
      <c r="L359" s="12" t="s">
        <v>186</v>
      </c>
    </row>
    <row r="360" customFormat="false" ht="87" hidden="false" customHeight="true" outlineLevel="0" collapsed="false">
      <c r="A360" s="7" t="s">
        <v>2054</v>
      </c>
      <c r="B360" s="7" t="s">
        <v>2055</v>
      </c>
      <c r="C360" s="7" t="s">
        <v>1920</v>
      </c>
      <c r="D360" s="7" t="s">
        <v>2056</v>
      </c>
      <c r="E360" s="7" t="s">
        <v>108</v>
      </c>
      <c r="F360" s="7" t="s">
        <v>174</v>
      </c>
      <c r="G360" s="7" t="s">
        <v>175</v>
      </c>
      <c r="H360" s="7" t="s">
        <v>176</v>
      </c>
      <c r="I360" s="7" t="s">
        <v>2057</v>
      </c>
      <c r="J360" s="9" t="s">
        <v>2058</v>
      </c>
      <c r="K360" s="7" t="s">
        <v>249</v>
      </c>
      <c r="L360" s="12" t="s">
        <v>186</v>
      </c>
    </row>
    <row r="361" customFormat="false" ht="87" hidden="false" customHeight="true" outlineLevel="0" collapsed="false">
      <c r="A361" s="7" t="s">
        <v>2059</v>
      </c>
      <c r="B361" s="7" t="s">
        <v>2060</v>
      </c>
      <c r="C361" s="7" t="s">
        <v>1920</v>
      </c>
      <c r="D361" s="7" t="s">
        <v>2061</v>
      </c>
      <c r="E361" s="7" t="s">
        <v>108</v>
      </c>
      <c r="F361" s="7" t="s">
        <v>174</v>
      </c>
      <c r="G361" s="7" t="s">
        <v>175</v>
      </c>
      <c r="H361" s="7" t="s">
        <v>176</v>
      </c>
      <c r="I361" s="7" t="s">
        <v>2062</v>
      </c>
      <c r="J361" s="9" t="s">
        <v>2063</v>
      </c>
      <c r="K361" s="7" t="s">
        <v>249</v>
      </c>
      <c r="L361" s="12" t="s">
        <v>186</v>
      </c>
    </row>
    <row r="362" customFormat="false" ht="87" hidden="false" customHeight="true" outlineLevel="0" collapsed="false">
      <c r="A362" s="7" t="s">
        <v>2064</v>
      </c>
      <c r="B362" s="7" t="s">
        <v>2065</v>
      </c>
      <c r="C362" s="7" t="s">
        <v>1920</v>
      </c>
      <c r="D362" s="7" t="s">
        <v>2066</v>
      </c>
      <c r="E362" s="7" t="s">
        <v>108</v>
      </c>
      <c r="F362" s="7" t="s">
        <v>174</v>
      </c>
      <c r="G362" s="7" t="s">
        <v>175</v>
      </c>
      <c r="H362" s="7" t="s">
        <v>176</v>
      </c>
      <c r="I362" s="7" t="s">
        <v>2067</v>
      </c>
      <c r="J362" s="9" t="s">
        <v>2068</v>
      </c>
      <c r="K362" s="7" t="s">
        <v>249</v>
      </c>
      <c r="L362" s="12" t="s">
        <v>186</v>
      </c>
    </row>
    <row r="363" customFormat="false" ht="87" hidden="false" customHeight="true" outlineLevel="0" collapsed="false">
      <c r="A363" s="7" t="s">
        <v>2069</v>
      </c>
      <c r="B363" s="7" t="s">
        <v>2070</v>
      </c>
      <c r="C363" s="7" t="s">
        <v>1920</v>
      </c>
      <c r="D363" s="7" t="s">
        <v>2071</v>
      </c>
      <c r="E363" s="7" t="s">
        <v>108</v>
      </c>
      <c r="F363" s="7" t="s">
        <v>174</v>
      </c>
      <c r="G363" s="7" t="s">
        <v>175</v>
      </c>
      <c r="H363" s="7" t="s">
        <v>176</v>
      </c>
      <c r="I363" s="7" t="s">
        <v>2072</v>
      </c>
      <c r="J363" s="9" t="s">
        <v>2073</v>
      </c>
      <c r="K363" s="7" t="s">
        <v>249</v>
      </c>
      <c r="L363" s="12" t="s">
        <v>186</v>
      </c>
    </row>
    <row r="364" customFormat="false" ht="87" hidden="false" customHeight="true" outlineLevel="0" collapsed="false">
      <c r="A364" s="7" t="s">
        <v>2074</v>
      </c>
      <c r="B364" s="7" t="s">
        <v>2075</v>
      </c>
      <c r="C364" s="7" t="s">
        <v>1920</v>
      </c>
      <c r="D364" s="7" t="s">
        <v>2076</v>
      </c>
      <c r="E364" s="7" t="s">
        <v>108</v>
      </c>
      <c r="F364" s="7" t="s">
        <v>174</v>
      </c>
      <c r="G364" s="7" t="s">
        <v>175</v>
      </c>
      <c r="H364" s="7" t="s">
        <v>176</v>
      </c>
      <c r="I364" s="7" t="s">
        <v>2077</v>
      </c>
      <c r="J364" s="9" t="s">
        <v>2078</v>
      </c>
      <c r="K364" s="7" t="s">
        <v>249</v>
      </c>
      <c r="L364" s="12" t="s">
        <v>186</v>
      </c>
    </row>
    <row r="365" customFormat="false" ht="87" hidden="false" customHeight="true" outlineLevel="0" collapsed="false">
      <c r="A365" s="7" t="s">
        <v>2079</v>
      </c>
      <c r="B365" s="7" t="s">
        <v>2080</v>
      </c>
      <c r="C365" s="7" t="s">
        <v>1920</v>
      </c>
      <c r="D365" s="7" t="s">
        <v>2081</v>
      </c>
      <c r="E365" s="7" t="s">
        <v>108</v>
      </c>
      <c r="F365" s="7" t="s">
        <v>174</v>
      </c>
      <c r="G365" s="7" t="s">
        <v>175</v>
      </c>
      <c r="H365" s="7" t="s">
        <v>176</v>
      </c>
      <c r="I365" s="7" t="s">
        <v>2082</v>
      </c>
      <c r="J365" s="9" t="s">
        <v>2083</v>
      </c>
      <c r="K365" s="7" t="s">
        <v>249</v>
      </c>
      <c r="L365" s="12" t="s">
        <v>186</v>
      </c>
    </row>
    <row r="366" customFormat="false" ht="87" hidden="false" customHeight="true" outlineLevel="0" collapsed="false">
      <c r="A366" s="7" t="s">
        <v>2084</v>
      </c>
      <c r="B366" s="7" t="s">
        <v>2085</v>
      </c>
      <c r="C366" s="7" t="s">
        <v>1920</v>
      </c>
      <c r="D366" s="7" t="s">
        <v>2086</v>
      </c>
      <c r="E366" s="7" t="s">
        <v>108</v>
      </c>
      <c r="F366" s="7" t="s">
        <v>174</v>
      </c>
      <c r="G366" s="7" t="s">
        <v>175</v>
      </c>
      <c r="H366" s="7" t="s">
        <v>176</v>
      </c>
      <c r="I366" s="7" t="s">
        <v>2087</v>
      </c>
      <c r="J366" s="9" t="s">
        <v>2088</v>
      </c>
      <c r="K366" s="7" t="s">
        <v>249</v>
      </c>
      <c r="L366" s="12" t="s">
        <v>186</v>
      </c>
    </row>
    <row r="367" customFormat="false" ht="87" hidden="false" customHeight="true" outlineLevel="0" collapsed="false">
      <c r="A367" s="7" t="s">
        <v>2089</v>
      </c>
      <c r="B367" s="7" t="s">
        <v>2090</v>
      </c>
      <c r="C367" s="7" t="s">
        <v>1920</v>
      </c>
      <c r="D367" s="7" t="s">
        <v>2091</v>
      </c>
      <c r="E367" s="7" t="s">
        <v>108</v>
      </c>
      <c r="F367" s="7" t="s">
        <v>174</v>
      </c>
      <c r="G367" s="7" t="s">
        <v>175</v>
      </c>
      <c r="H367" s="7" t="s">
        <v>176</v>
      </c>
      <c r="I367" s="7" t="s">
        <v>2092</v>
      </c>
      <c r="J367" s="9" t="s">
        <v>2093</v>
      </c>
      <c r="K367" s="7" t="s">
        <v>249</v>
      </c>
      <c r="L367" s="12" t="s">
        <v>186</v>
      </c>
    </row>
    <row r="368" customFormat="false" ht="87" hidden="false" customHeight="true" outlineLevel="0" collapsed="false">
      <c r="A368" s="7" t="s">
        <v>2094</v>
      </c>
      <c r="B368" s="7" t="s">
        <v>2095</v>
      </c>
      <c r="C368" s="7" t="s">
        <v>1920</v>
      </c>
      <c r="D368" s="7" t="s">
        <v>2096</v>
      </c>
      <c r="E368" s="7" t="s">
        <v>108</v>
      </c>
      <c r="F368" s="7" t="s">
        <v>174</v>
      </c>
      <c r="G368" s="7" t="s">
        <v>175</v>
      </c>
      <c r="H368" s="7" t="s">
        <v>176</v>
      </c>
      <c r="I368" s="7" t="s">
        <v>2097</v>
      </c>
      <c r="J368" s="9" t="s">
        <v>2098</v>
      </c>
      <c r="K368" s="7" t="s">
        <v>249</v>
      </c>
      <c r="L368" s="12" t="s">
        <v>186</v>
      </c>
    </row>
    <row r="369" customFormat="false" ht="87" hidden="false" customHeight="true" outlineLevel="0" collapsed="false">
      <c r="A369" s="7" t="s">
        <v>2099</v>
      </c>
      <c r="B369" s="7" t="s">
        <v>2100</v>
      </c>
      <c r="C369" s="7" t="s">
        <v>1920</v>
      </c>
      <c r="D369" s="7" t="s">
        <v>2101</v>
      </c>
      <c r="E369" s="7" t="s">
        <v>108</v>
      </c>
      <c r="F369" s="7" t="s">
        <v>174</v>
      </c>
      <c r="G369" s="7" t="s">
        <v>175</v>
      </c>
      <c r="H369" s="7" t="s">
        <v>176</v>
      </c>
      <c r="I369" s="7" t="s">
        <v>2102</v>
      </c>
      <c r="J369" s="9" t="s">
        <v>2103</v>
      </c>
      <c r="K369" s="7" t="s">
        <v>249</v>
      </c>
      <c r="L369" s="12" t="s">
        <v>186</v>
      </c>
    </row>
    <row r="370" customFormat="false" ht="87" hidden="false" customHeight="true" outlineLevel="0" collapsed="false">
      <c r="A370" s="7" t="s">
        <v>2104</v>
      </c>
      <c r="B370" s="7" t="s">
        <v>2105</v>
      </c>
      <c r="C370" s="7" t="s">
        <v>1920</v>
      </c>
      <c r="D370" s="7" t="s">
        <v>2106</v>
      </c>
      <c r="E370" s="7" t="s">
        <v>108</v>
      </c>
      <c r="F370" s="7" t="s">
        <v>174</v>
      </c>
      <c r="G370" s="7" t="s">
        <v>175</v>
      </c>
      <c r="H370" s="7" t="s">
        <v>176</v>
      </c>
      <c r="I370" s="7" t="s">
        <v>2107</v>
      </c>
      <c r="J370" s="9" t="s">
        <v>2108</v>
      </c>
      <c r="K370" s="7" t="s">
        <v>249</v>
      </c>
      <c r="L370" s="12" t="s">
        <v>186</v>
      </c>
    </row>
    <row r="371" customFormat="false" ht="35.25" hidden="false" customHeight="true" outlineLevel="0" collapsed="false">
      <c r="A371" s="7" t="s">
        <v>2109</v>
      </c>
      <c r="B371" s="7" t="s">
        <v>2110</v>
      </c>
      <c r="C371" s="7" t="s">
        <v>1920</v>
      </c>
      <c r="D371" s="7" t="s">
        <v>2111</v>
      </c>
      <c r="E371" s="7" t="s">
        <v>108</v>
      </c>
      <c r="F371" s="7" t="s">
        <v>174</v>
      </c>
      <c r="G371" s="7" t="s">
        <v>538</v>
      </c>
      <c r="H371" s="7" t="s">
        <v>539</v>
      </c>
      <c r="I371" s="7" t="s">
        <v>2112</v>
      </c>
      <c r="J371" s="9" t="s">
        <v>2113</v>
      </c>
      <c r="K371" s="7" t="s">
        <v>624</v>
      </c>
      <c r="L371" s="12" t="s">
        <v>186</v>
      </c>
    </row>
    <row r="372" customFormat="false" ht="35.25" hidden="false" customHeight="true" outlineLevel="0" collapsed="false">
      <c r="A372" s="7" t="s">
        <v>2114</v>
      </c>
      <c r="B372" s="7" t="s">
        <v>2115</v>
      </c>
      <c r="C372" s="7" t="s">
        <v>1920</v>
      </c>
      <c r="D372" s="7" t="s">
        <v>2116</v>
      </c>
      <c r="E372" s="7" t="s">
        <v>108</v>
      </c>
      <c r="F372" s="7" t="s">
        <v>174</v>
      </c>
      <c r="G372" s="7" t="s">
        <v>538</v>
      </c>
      <c r="H372" s="7" t="s">
        <v>539</v>
      </c>
      <c r="I372" s="7" t="s">
        <v>2117</v>
      </c>
      <c r="J372" s="9" t="s">
        <v>2118</v>
      </c>
      <c r="K372" s="7" t="s">
        <v>603</v>
      </c>
      <c r="L372" s="12" t="s">
        <v>186</v>
      </c>
    </row>
    <row r="373" customFormat="false" ht="35.25" hidden="false" customHeight="true" outlineLevel="0" collapsed="false">
      <c r="A373" s="7" t="s">
        <v>2119</v>
      </c>
      <c r="B373" s="7" t="s">
        <v>2120</v>
      </c>
      <c r="C373" s="7" t="s">
        <v>1920</v>
      </c>
      <c r="D373" s="7" t="s">
        <v>2121</v>
      </c>
      <c r="E373" s="7" t="s">
        <v>108</v>
      </c>
      <c r="F373" s="7" t="s">
        <v>174</v>
      </c>
      <c r="G373" s="7" t="s">
        <v>538</v>
      </c>
      <c r="H373" s="7" t="s">
        <v>539</v>
      </c>
      <c r="I373" s="7" t="s">
        <v>2122</v>
      </c>
      <c r="J373" s="9" t="s">
        <v>2123</v>
      </c>
      <c r="K373" s="7" t="s">
        <v>479</v>
      </c>
      <c r="L373" s="11" t="s">
        <v>180</v>
      </c>
    </row>
    <row r="374" customFormat="false" ht="87" hidden="false" customHeight="true" outlineLevel="0" collapsed="false">
      <c r="A374" s="7" t="s">
        <v>2124</v>
      </c>
      <c r="B374" s="7" t="s">
        <v>2125</v>
      </c>
      <c r="C374" s="7" t="s">
        <v>1920</v>
      </c>
      <c r="D374" s="7" t="s">
        <v>2126</v>
      </c>
      <c r="E374" s="7" t="s">
        <v>108</v>
      </c>
      <c r="F374" s="7" t="s">
        <v>174</v>
      </c>
      <c r="G374" s="7" t="s">
        <v>538</v>
      </c>
      <c r="H374" s="7" t="s">
        <v>539</v>
      </c>
      <c r="I374" s="7" t="s">
        <v>2127</v>
      </c>
      <c r="J374" s="9" t="s">
        <v>2128</v>
      </c>
      <c r="K374" s="7" t="s">
        <v>479</v>
      </c>
      <c r="L374" s="12" t="s">
        <v>186</v>
      </c>
    </row>
    <row r="375" customFormat="false" ht="87" hidden="false" customHeight="true" outlineLevel="0" collapsed="false">
      <c r="A375" s="7" t="s">
        <v>2129</v>
      </c>
      <c r="B375" s="7" t="s">
        <v>2130</v>
      </c>
      <c r="C375" s="7" t="s">
        <v>1920</v>
      </c>
      <c r="D375" s="7" t="s">
        <v>2131</v>
      </c>
      <c r="E375" s="7" t="s">
        <v>108</v>
      </c>
      <c r="F375" s="7" t="s">
        <v>174</v>
      </c>
      <c r="G375" s="7" t="s">
        <v>538</v>
      </c>
      <c r="H375" s="7" t="s">
        <v>539</v>
      </c>
      <c r="I375" s="7" t="s">
        <v>2132</v>
      </c>
      <c r="J375" s="9" t="s">
        <v>2133</v>
      </c>
      <c r="K375" s="7" t="s">
        <v>479</v>
      </c>
      <c r="L375" s="12" t="s">
        <v>186</v>
      </c>
    </row>
    <row r="376" customFormat="false" ht="87" hidden="false" customHeight="true" outlineLevel="0" collapsed="false">
      <c r="A376" s="7" t="s">
        <v>2134</v>
      </c>
      <c r="B376" s="7" t="s">
        <v>2135</v>
      </c>
      <c r="C376" s="7" t="s">
        <v>1920</v>
      </c>
      <c r="D376" s="7" t="s">
        <v>2136</v>
      </c>
      <c r="E376" s="7" t="s">
        <v>108</v>
      </c>
      <c r="F376" s="7" t="s">
        <v>174</v>
      </c>
      <c r="G376" s="7" t="s">
        <v>538</v>
      </c>
      <c r="H376" s="7" t="s">
        <v>539</v>
      </c>
      <c r="I376" s="7" t="s">
        <v>2137</v>
      </c>
      <c r="J376" s="9" t="s">
        <v>2138</v>
      </c>
      <c r="K376" s="7" t="s">
        <v>479</v>
      </c>
      <c r="L376" s="12" t="s">
        <v>186</v>
      </c>
    </row>
    <row r="377" customFormat="false" ht="87" hidden="false" customHeight="true" outlineLevel="0" collapsed="false">
      <c r="A377" s="7" t="s">
        <v>2139</v>
      </c>
      <c r="B377" s="7" t="s">
        <v>2140</v>
      </c>
      <c r="C377" s="7" t="s">
        <v>1920</v>
      </c>
      <c r="D377" s="7" t="s">
        <v>2141</v>
      </c>
      <c r="E377" s="7" t="s">
        <v>108</v>
      </c>
      <c r="F377" s="7" t="s">
        <v>174</v>
      </c>
      <c r="G377" s="7" t="s">
        <v>538</v>
      </c>
      <c r="H377" s="7" t="s">
        <v>539</v>
      </c>
      <c r="I377" s="7" t="s">
        <v>2142</v>
      </c>
      <c r="J377" s="9" t="s">
        <v>2143</v>
      </c>
      <c r="K377" s="7" t="s">
        <v>479</v>
      </c>
      <c r="L377" s="12" t="s">
        <v>186</v>
      </c>
    </row>
    <row r="378" customFormat="false" ht="87" hidden="false" customHeight="true" outlineLevel="0" collapsed="false">
      <c r="A378" s="7" t="s">
        <v>2144</v>
      </c>
      <c r="B378" s="7" t="s">
        <v>2145</v>
      </c>
      <c r="C378" s="7" t="s">
        <v>1920</v>
      </c>
      <c r="D378" s="7" t="s">
        <v>2146</v>
      </c>
      <c r="E378" s="7" t="s">
        <v>108</v>
      </c>
      <c r="F378" s="7" t="s">
        <v>174</v>
      </c>
      <c r="G378" s="7" t="s">
        <v>538</v>
      </c>
      <c r="H378" s="7" t="s">
        <v>539</v>
      </c>
      <c r="I378" s="7" t="s">
        <v>2147</v>
      </c>
      <c r="J378" s="9" t="s">
        <v>2148</v>
      </c>
      <c r="K378" s="7" t="s">
        <v>479</v>
      </c>
      <c r="L378" s="12" t="s">
        <v>186</v>
      </c>
    </row>
    <row r="379" customFormat="false" ht="87" hidden="false" customHeight="true" outlineLevel="0" collapsed="false">
      <c r="A379" s="7" t="s">
        <v>2149</v>
      </c>
      <c r="B379" s="7" t="s">
        <v>2150</v>
      </c>
      <c r="C379" s="7" t="s">
        <v>1920</v>
      </c>
      <c r="D379" s="7" t="s">
        <v>2151</v>
      </c>
      <c r="E379" s="7" t="s">
        <v>108</v>
      </c>
      <c r="F379" s="7" t="s">
        <v>174</v>
      </c>
      <c r="G379" s="7" t="s">
        <v>538</v>
      </c>
      <c r="H379" s="7" t="s">
        <v>539</v>
      </c>
      <c r="I379" s="7" t="s">
        <v>2152</v>
      </c>
      <c r="J379" s="9" t="s">
        <v>2153</v>
      </c>
      <c r="K379" s="7" t="s">
        <v>479</v>
      </c>
      <c r="L379" s="12" t="s">
        <v>186</v>
      </c>
    </row>
    <row r="380" customFormat="false" ht="35.25" hidden="false" customHeight="true" outlineLevel="0" collapsed="false">
      <c r="A380" s="7" t="s">
        <v>2154</v>
      </c>
      <c r="B380" s="7" t="s">
        <v>2155</v>
      </c>
      <c r="C380" s="7" t="s">
        <v>1920</v>
      </c>
      <c r="D380" s="7" t="s">
        <v>2156</v>
      </c>
      <c r="E380" s="7" t="s">
        <v>108</v>
      </c>
      <c r="F380" s="7" t="s">
        <v>174</v>
      </c>
      <c r="G380" s="7" t="s">
        <v>538</v>
      </c>
      <c r="H380" s="7" t="s">
        <v>539</v>
      </c>
      <c r="I380" s="7" t="s">
        <v>2157</v>
      </c>
      <c r="J380" s="9" t="s">
        <v>2158</v>
      </c>
      <c r="K380" s="7" t="s">
        <v>820</v>
      </c>
      <c r="L380" s="12" t="s">
        <v>186</v>
      </c>
    </row>
    <row r="381" customFormat="false" ht="35.25" hidden="false" customHeight="true" outlineLevel="0" collapsed="false">
      <c r="A381" s="7" t="s">
        <v>2159</v>
      </c>
      <c r="B381" s="7" t="s">
        <v>2160</v>
      </c>
      <c r="C381" s="7" t="s">
        <v>1920</v>
      </c>
      <c r="D381" s="7" t="s">
        <v>2161</v>
      </c>
      <c r="E381" s="7" t="s">
        <v>108</v>
      </c>
      <c r="F381" s="7" t="s">
        <v>174</v>
      </c>
      <c r="G381" s="7" t="s">
        <v>538</v>
      </c>
      <c r="H381" s="7" t="s">
        <v>539</v>
      </c>
      <c r="I381" s="7" t="s">
        <v>2162</v>
      </c>
      <c r="J381" s="9" t="s">
        <v>2163</v>
      </c>
      <c r="K381" s="7" t="s">
        <v>1993</v>
      </c>
      <c r="L381" s="10" t="s">
        <v>572</v>
      </c>
    </row>
    <row r="382" customFormat="false" ht="35.25" hidden="false" customHeight="true" outlineLevel="0" collapsed="false">
      <c r="A382" s="7" t="s">
        <v>2164</v>
      </c>
      <c r="B382" s="7" t="s">
        <v>2165</v>
      </c>
      <c r="C382" s="7" t="s">
        <v>1920</v>
      </c>
      <c r="D382" s="7" t="s">
        <v>2166</v>
      </c>
      <c r="E382" s="7" t="s">
        <v>108</v>
      </c>
      <c r="F382" s="7" t="s">
        <v>174</v>
      </c>
      <c r="G382" s="7" t="s">
        <v>538</v>
      </c>
      <c r="H382" s="7" t="s">
        <v>539</v>
      </c>
      <c r="I382" s="7" t="s">
        <v>2167</v>
      </c>
      <c r="J382" s="9" t="s">
        <v>2168</v>
      </c>
      <c r="K382" s="7" t="s">
        <v>820</v>
      </c>
      <c r="L382" s="12" t="s">
        <v>186</v>
      </c>
    </row>
    <row r="383" customFormat="false" ht="35.25" hidden="false" customHeight="true" outlineLevel="0" collapsed="false">
      <c r="A383" s="7" t="s">
        <v>2169</v>
      </c>
      <c r="B383" s="7" t="s">
        <v>2170</v>
      </c>
      <c r="C383" s="7" t="s">
        <v>1920</v>
      </c>
      <c r="D383" s="7" t="s">
        <v>2171</v>
      </c>
      <c r="E383" s="7" t="s">
        <v>108</v>
      </c>
      <c r="F383" s="7" t="s">
        <v>174</v>
      </c>
      <c r="G383" s="7" t="s">
        <v>2172</v>
      </c>
      <c r="H383" s="7" t="s">
        <v>2173</v>
      </c>
      <c r="I383" s="7" t="s">
        <v>2174</v>
      </c>
      <c r="J383" s="9" t="s">
        <v>2175</v>
      </c>
      <c r="K383" s="7" t="s">
        <v>2176</v>
      </c>
      <c r="L383" s="10" t="s">
        <v>170</v>
      </c>
    </row>
    <row r="384" customFormat="false" ht="35.25" hidden="false" customHeight="true" outlineLevel="0" collapsed="false">
      <c r="A384" s="7" t="s">
        <v>2177</v>
      </c>
      <c r="B384" s="7" t="s">
        <v>2178</v>
      </c>
      <c r="C384" s="7" t="s">
        <v>1920</v>
      </c>
      <c r="D384" s="7" t="s">
        <v>2179</v>
      </c>
      <c r="E384" s="7" t="s">
        <v>108</v>
      </c>
      <c r="F384" s="7" t="s">
        <v>174</v>
      </c>
      <c r="G384" s="7" t="s">
        <v>2172</v>
      </c>
      <c r="H384" s="7" t="s">
        <v>2173</v>
      </c>
      <c r="I384" s="7" t="s">
        <v>2180</v>
      </c>
      <c r="J384" s="9" t="s">
        <v>2181</v>
      </c>
      <c r="K384" s="7" t="s">
        <v>2176</v>
      </c>
      <c r="L384" s="10" t="s">
        <v>170</v>
      </c>
    </row>
    <row r="385" customFormat="false" ht="35.25" hidden="false" customHeight="true" outlineLevel="0" collapsed="false">
      <c r="A385" s="7" t="s">
        <v>2182</v>
      </c>
      <c r="B385" s="7" t="s">
        <v>2183</v>
      </c>
      <c r="C385" s="7" t="s">
        <v>1920</v>
      </c>
      <c r="D385" s="7" t="s">
        <v>2184</v>
      </c>
      <c r="E385" s="7" t="s">
        <v>108</v>
      </c>
      <c r="F385" s="7" t="s">
        <v>174</v>
      </c>
      <c r="G385" s="7" t="s">
        <v>2172</v>
      </c>
      <c r="H385" s="7" t="s">
        <v>2173</v>
      </c>
      <c r="I385" s="7" t="s">
        <v>2185</v>
      </c>
      <c r="J385" s="9" t="s">
        <v>2186</v>
      </c>
      <c r="K385" s="7" t="s">
        <v>2176</v>
      </c>
      <c r="L385" s="10" t="s">
        <v>170</v>
      </c>
    </row>
    <row r="386" customFormat="false" ht="52.5" hidden="false" customHeight="true" outlineLevel="0" collapsed="false">
      <c r="A386" s="7" t="s">
        <v>2187</v>
      </c>
      <c r="B386" s="7" t="s">
        <v>2188</v>
      </c>
      <c r="C386" s="7" t="s">
        <v>1920</v>
      </c>
      <c r="D386" s="7" t="s">
        <v>2189</v>
      </c>
      <c r="E386" s="7" t="s">
        <v>108</v>
      </c>
      <c r="F386" s="7" t="s">
        <v>174</v>
      </c>
      <c r="G386" s="7" t="s">
        <v>2172</v>
      </c>
      <c r="H386" s="7" t="s">
        <v>2173</v>
      </c>
      <c r="I386" s="7" t="s">
        <v>2190</v>
      </c>
      <c r="J386" s="9" t="s">
        <v>2191</v>
      </c>
      <c r="K386" s="7" t="s">
        <v>2176</v>
      </c>
      <c r="L386" s="10" t="s">
        <v>170</v>
      </c>
    </row>
    <row r="387" customFormat="false" ht="35.25" hidden="false" customHeight="true" outlineLevel="0" collapsed="false">
      <c r="A387" s="7" t="s">
        <v>2192</v>
      </c>
      <c r="B387" s="7" t="s">
        <v>2193</v>
      </c>
      <c r="C387" s="7" t="s">
        <v>1920</v>
      </c>
      <c r="D387" s="7" t="s">
        <v>2194</v>
      </c>
      <c r="E387" s="7" t="s">
        <v>108</v>
      </c>
      <c r="F387" s="7" t="s">
        <v>174</v>
      </c>
      <c r="G387" s="7" t="s">
        <v>2172</v>
      </c>
      <c r="H387" s="7" t="s">
        <v>2173</v>
      </c>
      <c r="I387" s="7" t="s">
        <v>2195</v>
      </c>
      <c r="J387" s="9" t="s">
        <v>2196</v>
      </c>
      <c r="K387" s="7" t="s">
        <v>2176</v>
      </c>
      <c r="L387" s="10" t="s">
        <v>170</v>
      </c>
    </row>
    <row r="388" customFormat="false" ht="35.25" hidden="false" customHeight="true" outlineLevel="0" collapsed="false">
      <c r="A388" s="7" t="s">
        <v>2197</v>
      </c>
      <c r="B388" s="7" t="s">
        <v>2198</v>
      </c>
      <c r="C388" s="7" t="s">
        <v>1920</v>
      </c>
      <c r="D388" s="7" t="s">
        <v>2199</v>
      </c>
      <c r="E388" s="7" t="s">
        <v>108</v>
      </c>
      <c r="F388" s="7" t="s">
        <v>174</v>
      </c>
      <c r="G388" s="7" t="s">
        <v>2172</v>
      </c>
      <c r="H388" s="7" t="s">
        <v>2173</v>
      </c>
      <c r="I388" s="7" t="s">
        <v>2200</v>
      </c>
      <c r="J388" s="9" t="s">
        <v>2201</v>
      </c>
      <c r="K388" s="7" t="s">
        <v>2176</v>
      </c>
      <c r="L388" s="10" t="s">
        <v>170</v>
      </c>
    </row>
    <row r="389" customFormat="false" ht="35.25" hidden="false" customHeight="true" outlineLevel="0" collapsed="false">
      <c r="A389" s="7" t="s">
        <v>2202</v>
      </c>
      <c r="B389" s="7" t="s">
        <v>2203</v>
      </c>
      <c r="C389" s="7" t="s">
        <v>1920</v>
      </c>
      <c r="D389" s="7" t="s">
        <v>2204</v>
      </c>
      <c r="E389" s="7" t="s">
        <v>108</v>
      </c>
      <c r="F389" s="7" t="s">
        <v>174</v>
      </c>
      <c r="G389" s="7" t="s">
        <v>2172</v>
      </c>
      <c r="H389" s="7" t="s">
        <v>2173</v>
      </c>
      <c r="I389" s="7" t="s">
        <v>2205</v>
      </c>
      <c r="J389" s="9" t="s">
        <v>2206</v>
      </c>
      <c r="K389" s="7" t="s">
        <v>2176</v>
      </c>
      <c r="L389" s="10" t="s">
        <v>170</v>
      </c>
    </row>
    <row r="390" customFormat="false" ht="35.25" hidden="false" customHeight="true" outlineLevel="0" collapsed="false">
      <c r="A390" s="7" t="s">
        <v>2207</v>
      </c>
      <c r="B390" s="7" t="s">
        <v>2208</v>
      </c>
      <c r="C390" s="7" t="s">
        <v>1920</v>
      </c>
      <c r="D390" s="7" t="s">
        <v>2209</v>
      </c>
      <c r="E390" s="7" t="s">
        <v>108</v>
      </c>
      <c r="F390" s="7" t="s">
        <v>174</v>
      </c>
      <c r="G390" s="7" t="s">
        <v>2210</v>
      </c>
      <c r="H390" s="7" t="s">
        <v>2211</v>
      </c>
      <c r="I390" s="7" t="s">
        <v>2212</v>
      </c>
      <c r="J390" s="9" t="s">
        <v>2213</v>
      </c>
      <c r="K390" s="7" t="s">
        <v>1993</v>
      </c>
      <c r="L390" s="12" t="s">
        <v>186</v>
      </c>
    </row>
    <row r="391" customFormat="false" ht="69.75" hidden="false" customHeight="true" outlineLevel="0" collapsed="false">
      <c r="A391" s="7" t="s">
        <v>2214</v>
      </c>
      <c r="B391" s="7" t="s">
        <v>2215</v>
      </c>
      <c r="C391" s="7" t="s">
        <v>1920</v>
      </c>
      <c r="D391" s="7" t="s">
        <v>2216</v>
      </c>
      <c r="E391" s="7" t="s">
        <v>108</v>
      </c>
      <c r="F391" s="7" t="s">
        <v>174</v>
      </c>
      <c r="G391" s="7" t="s">
        <v>2210</v>
      </c>
      <c r="H391" s="7" t="s">
        <v>2211</v>
      </c>
      <c r="I391" s="7" t="s">
        <v>2217</v>
      </c>
      <c r="J391" s="9" t="s">
        <v>2218</v>
      </c>
      <c r="K391" s="7" t="s">
        <v>1993</v>
      </c>
      <c r="L391" s="12" t="s">
        <v>186</v>
      </c>
    </row>
    <row r="392" customFormat="false" ht="87" hidden="false" customHeight="true" outlineLevel="0" collapsed="false">
      <c r="A392" s="7" t="s">
        <v>2219</v>
      </c>
      <c r="B392" s="7" t="s">
        <v>2220</v>
      </c>
      <c r="C392" s="7" t="s">
        <v>1920</v>
      </c>
      <c r="D392" s="7" t="s">
        <v>2221</v>
      </c>
      <c r="E392" s="7" t="s">
        <v>108</v>
      </c>
      <c r="F392" s="7" t="s">
        <v>174</v>
      </c>
      <c r="G392" s="7" t="s">
        <v>2210</v>
      </c>
      <c r="H392" s="7" t="s">
        <v>2211</v>
      </c>
      <c r="I392" s="7" t="s">
        <v>2222</v>
      </c>
      <c r="J392" s="9" t="s">
        <v>2223</v>
      </c>
      <c r="K392" s="7" t="s">
        <v>1993</v>
      </c>
      <c r="L392" s="10" t="s">
        <v>572</v>
      </c>
    </row>
    <row r="393" customFormat="false" ht="69.75" hidden="false" customHeight="true" outlineLevel="0" collapsed="false">
      <c r="A393" s="7" t="s">
        <v>2224</v>
      </c>
      <c r="B393" s="7" t="s">
        <v>2225</v>
      </c>
      <c r="C393" s="7" t="s">
        <v>1920</v>
      </c>
      <c r="D393" s="7" t="s">
        <v>2226</v>
      </c>
      <c r="E393" s="7" t="s">
        <v>108</v>
      </c>
      <c r="F393" s="7" t="s">
        <v>174</v>
      </c>
      <c r="G393" s="7" t="s">
        <v>2210</v>
      </c>
      <c r="H393" s="7" t="s">
        <v>2211</v>
      </c>
      <c r="I393" s="7" t="s">
        <v>2227</v>
      </c>
      <c r="J393" s="9" t="s">
        <v>2228</v>
      </c>
      <c r="K393" s="7" t="s">
        <v>1993</v>
      </c>
      <c r="L393" s="10" t="s">
        <v>572</v>
      </c>
    </row>
    <row r="394" customFormat="false" ht="52.5" hidden="false" customHeight="true" outlineLevel="0" collapsed="false">
      <c r="A394" s="7" t="s">
        <v>2229</v>
      </c>
      <c r="B394" s="7" t="s">
        <v>2230</v>
      </c>
      <c r="C394" s="7" t="s">
        <v>2231</v>
      </c>
      <c r="D394" s="7" t="s">
        <v>163</v>
      </c>
      <c r="E394" s="7" t="s">
        <v>100</v>
      </c>
      <c r="F394" s="7" t="s">
        <v>164</v>
      </c>
      <c r="G394" s="7" t="s">
        <v>165</v>
      </c>
      <c r="H394" s="7" t="s">
        <v>166</v>
      </c>
      <c r="I394" s="7" t="s">
        <v>2232</v>
      </c>
      <c r="J394" s="9" t="s">
        <v>2233</v>
      </c>
      <c r="K394" s="7" t="s">
        <v>169</v>
      </c>
      <c r="L394" s="10" t="s">
        <v>170</v>
      </c>
    </row>
    <row r="395" customFormat="false" ht="52.5" hidden="false" customHeight="true" outlineLevel="0" collapsed="false">
      <c r="A395" s="7" t="s">
        <v>2234</v>
      </c>
      <c r="B395" s="7" t="s">
        <v>2235</v>
      </c>
      <c r="C395" s="7" t="s">
        <v>2231</v>
      </c>
      <c r="D395" s="7" t="s">
        <v>2236</v>
      </c>
      <c r="E395" s="7" t="s">
        <v>108</v>
      </c>
      <c r="F395" s="7" t="s">
        <v>844</v>
      </c>
      <c r="G395" s="7" t="s">
        <v>882</v>
      </c>
      <c r="H395" s="7" t="s">
        <v>883</v>
      </c>
      <c r="I395" s="7" t="s">
        <v>2237</v>
      </c>
      <c r="J395" s="9" t="s">
        <v>2238</v>
      </c>
      <c r="K395" s="7" t="s">
        <v>169</v>
      </c>
      <c r="L395" s="10" t="s">
        <v>170</v>
      </c>
    </row>
    <row r="396" customFormat="false" ht="52.5" hidden="false" customHeight="true" outlineLevel="0" collapsed="false">
      <c r="A396" s="7" t="s">
        <v>2239</v>
      </c>
      <c r="B396" s="7" t="s">
        <v>2240</v>
      </c>
      <c r="C396" s="7" t="s">
        <v>2231</v>
      </c>
      <c r="D396" s="7" t="s">
        <v>2241</v>
      </c>
      <c r="E396" s="7" t="s">
        <v>108</v>
      </c>
      <c r="F396" s="7" t="s">
        <v>844</v>
      </c>
      <c r="G396" s="7" t="s">
        <v>882</v>
      </c>
      <c r="H396" s="7" t="s">
        <v>883</v>
      </c>
      <c r="I396" s="7" t="s">
        <v>2242</v>
      </c>
      <c r="J396" s="9" t="s">
        <v>2243</v>
      </c>
      <c r="K396" s="7" t="s">
        <v>169</v>
      </c>
      <c r="L396" s="10" t="s">
        <v>170</v>
      </c>
    </row>
    <row r="397" customFormat="false" ht="52.5" hidden="false" customHeight="true" outlineLevel="0" collapsed="false">
      <c r="A397" s="7" t="s">
        <v>2244</v>
      </c>
      <c r="B397" s="7" t="s">
        <v>2245</v>
      </c>
      <c r="C397" s="7" t="s">
        <v>2231</v>
      </c>
      <c r="D397" s="7" t="s">
        <v>2246</v>
      </c>
      <c r="E397" s="7" t="s">
        <v>108</v>
      </c>
      <c r="F397" s="7" t="s">
        <v>844</v>
      </c>
      <c r="G397" s="7" t="s">
        <v>882</v>
      </c>
      <c r="H397" s="7" t="s">
        <v>883</v>
      </c>
      <c r="I397" s="7" t="s">
        <v>2247</v>
      </c>
      <c r="J397" s="9" t="s">
        <v>2248</v>
      </c>
      <c r="K397" s="7" t="s">
        <v>169</v>
      </c>
      <c r="L397" s="10" t="s">
        <v>170</v>
      </c>
    </row>
    <row r="398" customFormat="false" ht="52.5" hidden="false" customHeight="true" outlineLevel="0" collapsed="false">
      <c r="A398" s="7" t="s">
        <v>2249</v>
      </c>
      <c r="B398" s="7" t="s">
        <v>2250</v>
      </c>
      <c r="C398" s="7" t="s">
        <v>2231</v>
      </c>
      <c r="D398" s="7" t="s">
        <v>2251</v>
      </c>
      <c r="E398" s="7" t="s">
        <v>108</v>
      </c>
      <c r="F398" s="7" t="s">
        <v>844</v>
      </c>
      <c r="G398" s="7" t="s">
        <v>882</v>
      </c>
      <c r="H398" s="7" t="s">
        <v>883</v>
      </c>
      <c r="I398" s="7" t="s">
        <v>2252</v>
      </c>
      <c r="J398" s="9" t="s">
        <v>2253</v>
      </c>
      <c r="K398" s="7" t="s">
        <v>169</v>
      </c>
      <c r="L398" s="10" t="s">
        <v>170</v>
      </c>
    </row>
    <row r="399" customFormat="false" ht="35.25" hidden="false" customHeight="true" outlineLevel="0" collapsed="false">
      <c r="A399" s="7" t="s">
        <v>2254</v>
      </c>
      <c r="B399" s="7" t="s">
        <v>2255</v>
      </c>
      <c r="C399" s="7" t="s">
        <v>2231</v>
      </c>
      <c r="D399" s="7" t="s">
        <v>2256</v>
      </c>
      <c r="E399" s="7" t="s">
        <v>104</v>
      </c>
      <c r="F399" s="7" t="s">
        <v>1235</v>
      </c>
      <c r="G399" s="7" t="s">
        <v>1730</v>
      </c>
      <c r="H399" s="7" t="s">
        <v>1731</v>
      </c>
      <c r="I399" s="7" t="s">
        <v>2257</v>
      </c>
      <c r="J399" s="9" t="s">
        <v>2258</v>
      </c>
      <c r="K399" s="7" t="s">
        <v>169</v>
      </c>
      <c r="L399" s="10" t="s">
        <v>170</v>
      </c>
    </row>
    <row r="400" customFormat="false" ht="35.25" hidden="false" customHeight="true" outlineLevel="0" collapsed="false">
      <c r="A400" s="7" t="s">
        <v>2259</v>
      </c>
      <c r="B400" s="7" t="s">
        <v>2260</v>
      </c>
      <c r="C400" s="7" t="s">
        <v>2231</v>
      </c>
      <c r="D400" s="7" t="s">
        <v>2261</v>
      </c>
      <c r="E400" s="7" t="s">
        <v>104</v>
      </c>
      <c r="F400" s="7" t="s">
        <v>1235</v>
      </c>
      <c r="G400" s="7" t="s">
        <v>1730</v>
      </c>
      <c r="H400" s="7" t="s">
        <v>1731</v>
      </c>
      <c r="I400" s="7" t="s">
        <v>2262</v>
      </c>
      <c r="J400" s="9" t="s">
        <v>2263</v>
      </c>
      <c r="K400" s="7" t="s">
        <v>169</v>
      </c>
      <c r="L400" s="10" t="s">
        <v>170</v>
      </c>
    </row>
    <row r="401" customFormat="false" ht="52.5" hidden="false" customHeight="true" outlineLevel="0" collapsed="false">
      <c r="A401" s="7" t="s">
        <v>2264</v>
      </c>
      <c r="B401" s="7" t="s">
        <v>2265</v>
      </c>
      <c r="C401" s="7" t="s">
        <v>2231</v>
      </c>
      <c r="D401" s="7" t="s">
        <v>2266</v>
      </c>
      <c r="E401" s="7" t="s">
        <v>104</v>
      </c>
      <c r="F401" s="7" t="s">
        <v>1235</v>
      </c>
      <c r="G401" s="7" t="s">
        <v>1730</v>
      </c>
      <c r="H401" s="7" t="s">
        <v>1731</v>
      </c>
      <c r="I401" s="7" t="s">
        <v>2267</v>
      </c>
      <c r="J401" s="9" t="s">
        <v>2268</v>
      </c>
      <c r="K401" s="7" t="s">
        <v>169</v>
      </c>
      <c r="L401" s="10" t="s">
        <v>170</v>
      </c>
    </row>
    <row r="402" customFormat="false" ht="35.25" hidden="false" customHeight="true" outlineLevel="0" collapsed="false">
      <c r="A402" s="7" t="s">
        <v>2269</v>
      </c>
      <c r="B402" s="7" t="s">
        <v>2270</v>
      </c>
      <c r="C402" s="7" t="s">
        <v>2231</v>
      </c>
      <c r="D402" s="7" t="s">
        <v>2271</v>
      </c>
      <c r="E402" s="7" t="s">
        <v>104</v>
      </c>
      <c r="F402" s="7" t="s">
        <v>1235</v>
      </c>
      <c r="G402" s="7" t="s">
        <v>1730</v>
      </c>
      <c r="H402" s="7" t="s">
        <v>1731</v>
      </c>
      <c r="I402" s="7" t="s">
        <v>2272</v>
      </c>
      <c r="J402" s="9" t="s">
        <v>2273</v>
      </c>
      <c r="K402" s="7" t="s">
        <v>169</v>
      </c>
      <c r="L402" s="10" t="s">
        <v>170</v>
      </c>
    </row>
    <row r="403" customFormat="false" ht="35.25" hidden="false" customHeight="true" outlineLevel="0" collapsed="false">
      <c r="A403" s="7" t="s">
        <v>2274</v>
      </c>
      <c r="B403" s="7" t="s">
        <v>2275</v>
      </c>
      <c r="C403" s="7" t="s">
        <v>2231</v>
      </c>
      <c r="D403" s="7" t="s">
        <v>2276</v>
      </c>
      <c r="E403" s="7" t="s">
        <v>116</v>
      </c>
      <c r="F403" s="7" t="s">
        <v>2277</v>
      </c>
      <c r="G403" s="7" t="s">
        <v>2278</v>
      </c>
      <c r="H403" s="7" t="s">
        <v>2279</v>
      </c>
      <c r="I403" s="7" t="s">
        <v>2280</v>
      </c>
      <c r="J403" s="9" t="s">
        <v>2281</v>
      </c>
      <c r="K403" s="7" t="s">
        <v>1006</v>
      </c>
      <c r="L403" s="12" t="s">
        <v>186</v>
      </c>
    </row>
    <row r="404" customFormat="false" ht="69.75" hidden="false" customHeight="true" outlineLevel="0" collapsed="false">
      <c r="A404" s="7" t="s">
        <v>2282</v>
      </c>
      <c r="B404" s="7" t="s">
        <v>2283</v>
      </c>
      <c r="C404" s="7" t="s">
        <v>2231</v>
      </c>
      <c r="D404" s="7" t="s">
        <v>2284</v>
      </c>
      <c r="E404" s="7" t="s">
        <v>116</v>
      </c>
      <c r="F404" s="7" t="s">
        <v>2277</v>
      </c>
      <c r="G404" s="7" t="s">
        <v>2278</v>
      </c>
      <c r="H404" s="7" t="s">
        <v>2279</v>
      </c>
      <c r="I404" s="7" t="s">
        <v>2285</v>
      </c>
      <c r="J404" s="9" t="s">
        <v>2286</v>
      </c>
      <c r="K404" s="7" t="s">
        <v>1006</v>
      </c>
      <c r="L404" s="10" t="s">
        <v>572</v>
      </c>
    </row>
    <row r="405" customFormat="false" ht="69.75" hidden="false" customHeight="true" outlineLevel="0" collapsed="false">
      <c r="A405" s="7" t="s">
        <v>2287</v>
      </c>
      <c r="B405" s="7" t="s">
        <v>2288</v>
      </c>
      <c r="C405" s="7" t="s">
        <v>2231</v>
      </c>
      <c r="D405" s="7" t="s">
        <v>2289</v>
      </c>
      <c r="E405" s="7" t="s">
        <v>116</v>
      </c>
      <c r="F405" s="7" t="s">
        <v>2277</v>
      </c>
      <c r="G405" s="7" t="s">
        <v>2278</v>
      </c>
      <c r="H405" s="7" t="s">
        <v>2279</v>
      </c>
      <c r="I405" s="7" t="s">
        <v>2290</v>
      </c>
      <c r="J405" s="9" t="s">
        <v>2291</v>
      </c>
      <c r="K405" s="7" t="s">
        <v>1006</v>
      </c>
      <c r="L405" s="10" t="s">
        <v>572</v>
      </c>
    </row>
    <row r="406" customFormat="false" ht="69.75" hidden="false" customHeight="true" outlineLevel="0" collapsed="false">
      <c r="A406" s="7" t="s">
        <v>2292</v>
      </c>
      <c r="B406" s="7" t="s">
        <v>2293</v>
      </c>
      <c r="C406" s="7" t="s">
        <v>2231</v>
      </c>
      <c r="D406" s="7" t="s">
        <v>2294</v>
      </c>
      <c r="E406" s="7" t="s">
        <v>116</v>
      </c>
      <c r="F406" s="7" t="s">
        <v>2277</v>
      </c>
      <c r="G406" s="7" t="s">
        <v>2278</v>
      </c>
      <c r="H406" s="7" t="s">
        <v>2279</v>
      </c>
      <c r="I406" s="7" t="s">
        <v>2295</v>
      </c>
      <c r="J406" s="9" t="s">
        <v>2296</v>
      </c>
      <c r="K406" s="7" t="s">
        <v>1006</v>
      </c>
      <c r="L406" s="10" t="s">
        <v>572</v>
      </c>
    </row>
    <row r="407" customFormat="false" ht="69.75" hidden="false" customHeight="true" outlineLevel="0" collapsed="false">
      <c r="A407" s="7" t="s">
        <v>2297</v>
      </c>
      <c r="B407" s="7" t="s">
        <v>2298</v>
      </c>
      <c r="C407" s="7" t="s">
        <v>2231</v>
      </c>
      <c r="D407" s="7" t="s">
        <v>2299</v>
      </c>
      <c r="E407" s="7" t="s">
        <v>116</v>
      </c>
      <c r="F407" s="7" t="s">
        <v>2277</v>
      </c>
      <c r="G407" s="7" t="s">
        <v>2278</v>
      </c>
      <c r="H407" s="7" t="s">
        <v>2279</v>
      </c>
      <c r="I407" s="7" t="s">
        <v>2300</v>
      </c>
      <c r="J407" s="9" t="s">
        <v>2301</v>
      </c>
      <c r="K407" s="7" t="s">
        <v>1006</v>
      </c>
      <c r="L407" s="10" t="s">
        <v>572</v>
      </c>
    </row>
    <row r="408" customFormat="false" ht="69.75" hidden="false" customHeight="true" outlineLevel="0" collapsed="false">
      <c r="A408" s="7" t="s">
        <v>2302</v>
      </c>
      <c r="B408" s="7" t="s">
        <v>2303</v>
      </c>
      <c r="C408" s="7" t="s">
        <v>2231</v>
      </c>
      <c r="D408" s="7" t="s">
        <v>2304</v>
      </c>
      <c r="E408" s="7" t="s">
        <v>116</v>
      </c>
      <c r="F408" s="7" t="s">
        <v>2277</v>
      </c>
      <c r="G408" s="7" t="s">
        <v>2278</v>
      </c>
      <c r="H408" s="7" t="s">
        <v>2279</v>
      </c>
      <c r="I408" s="7" t="s">
        <v>2305</v>
      </c>
      <c r="J408" s="9" t="s">
        <v>2306</v>
      </c>
      <c r="K408" s="7" t="s">
        <v>1006</v>
      </c>
      <c r="L408" s="10" t="s">
        <v>572</v>
      </c>
    </row>
    <row r="409" customFormat="false" ht="69.75" hidden="false" customHeight="true" outlineLevel="0" collapsed="false">
      <c r="A409" s="7" t="s">
        <v>2307</v>
      </c>
      <c r="B409" s="7" t="s">
        <v>2308</v>
      </c>
      <c r="C409" s="7" t="s">
        <v>2231</v>
      </c>
      <c r="D409" s="7" t="s">
        <v>2309</v>
      </c>
      <c r="E409" s="7" t="s">
        <v>116</v>
      </c>
      <c r="F409" s="7" t="s">
        <v>2277</v>
      </c>
      <c r="G409" s="7" t="s">
        <v>2278</v>
      </c>
      <c r="H409" s="7" t="s">
        <v>2279</v>
      </c>
      <c r="I409" s="7" t="s">
        <v>2310</v>
      </c>
      <c r="J409" s="9" t="s">
        <v>2311</v>
      </c>
      <c r="K409" s="7" t="s">
        <v>1006</v>
      </c>
      <c r="L409" s="10" t="s">
        <v>572</v>
      </c>
    </row>
    <row r="410" customFormat="false" ht="87" hidden="false" customHeight="true" outlineLevel="0" collapsed="false">
      <c r="A410" s="7" t="s">
        <v>2312</v>
      </c>
      <c r="B410" s="7" t="s">
        <v>2313</v>
      </c>
      <c r="C410" s="7" t="s">
        <v>2231</v>
      </c>
      <c r="D410" s="7" t="s">
        <v>2314</v>
      </c>
      <c r="E410" s="7" t="s">
        <v>116</v>
      </c>
      <c r="F410" s="7" t="s">
        <v>2277</v>
      </c>
      <c r="G410" s="7" t="s">
        <v>2278</v>
      </c>
      <c r="H410" s="7" t="s">
        <v>2279</v>
      </c>
      <c r="I410" s="7" t="s">
        <v>2315</v>
      </c>
      <c r="J410" s="9" t="s">
        <v>2316</v>
      </c>
      <c r="K410" s="7" t="s">
        <v>1006</v>
      </c>
      <c r="L410" s="10" t="s">
        <v>572</v>
      </c>
    </row>
    <row r="411" customFormat="false" ht="69.75" hidden="false" customHeight="true" outlineLevel="0" collapsed="false">
      <c r="A411" s="7" t="s">
        <v>2317</v>
      </c>
      <c r="B411" s="7" t="s">
        <v>2318</v>
      </c>
      <c r="C411" s="7" t="s">
        <v>2231</v>
      </c>
      <c r="D411" s="7" t="s">
        <v>2319</v>
      </c>
      <c r="E411" s="7" t="s">
        <v>116</v>
      </c>
      <c r="F411" s="7" t="s">
        <v>2277</v>
      </c>
      <c r="G411" s="7" t="s">
        <v>2278</v>
      </c>
      <c r="H411" s="7" t="s">
        <v>2279</v>
      </c>
      <c r="I411" s="7" t="s">
        <v>2320</v>
      </c>
      <c r="J411" s="9" t="s">
        <v>2321</v>
      </c>
      <c r="K411" s="7" t="s">
        <v>1006</v>
      </c>
      <c r="L411" s="10" t="s">
        <v>572</v>
      </c>
    </row>
    <row r="412" customFormat="false" ht="69.75" hidden="false" customHeight="true" outlineLevel="0" collapsed="false">
      <c r="A412" s="7" t="s">
        <v>2322</v>
      </c>
      <c r="B412" s="7" t="s">
        <v>2323</v>
      </c>
      <c r="C412" s="7" t="s">
        <v>2231</v>
      </c>
      <c r="D412" s="7" t="s">
        <v>2324</v>
      </c>
      <c r="E412" s="7" t="s">
        <v>116</v>
      </c>
      <c r="F412" s="7" t="s">
        <v>2277</v>
      </c>
      <c r="G412" s="7" t="s">
        <v>2278</v>
      </c>
      <c r="H412" s="7" t="s">
        <v>2279</v>
      </c>
      <c r="I412" s="7" t="s">
        <v>2325</v>
      </c>
      <c r="J412" s="9" t="s">
        <v>2326</v>
      </c>
      <c r="K412" s="7" t="s">
        <v>1006</v>
      </c>
      <c r="L412" s="10" t="s">
        <v>572</v>
      </c>
    </row>
    <row r="413" customFormat="false" ht="69.75" hidden="false" customHeight="true" outlineLevel="0" collapsed="false">
      <c r="A413" s="7" t="s">
        <v>2327</v>
      </c>
      <c r="B413" s="7" t="s">
        <v>2328</v>
      </c>
      <c r="C413" s="7" t="s">
        <v>2231</v>
      </c>
      <c r="D413" s="7" t="s">
        <v>2329</v>
      </c>
      <c r="E413" s="7" t="s">
        <v>116</v>
      </c>
      <c r="F413" s="7" t="s">
        <v>2277</v>
      </c>
      <c r="G413" s="7" t="s">
        <v>2278</v>
      </c>
      <c r="H413" s="7" t="s">
        <v>2279</v>
      </c>
      <c r="I413" s="7" t="s">
        <v>2330</v>
      </c>
      <c r="J413" s="9" t="s">
        <v>2331</v>
      </c>
      <c r="K413" s="7" t="s">
        <v>1006</v>
      </c>
      <c r="L413" s="10" t="s">
        <v>572</v>
      </c>
    </row>
    <row r="414" customFormat="false" ht="69.75" hidden="false" customHeight="true" outlineLevel="0" collapsed="false">
      <c r="A414" s="7" t="s">
        <v>2332</v>
      </c>
      <c r="B414" s="7" t="s">
        <v>2333</v>
      </c>
      <c r="C414" s="7" t="s">
        <v>2231</v>
      </c>
      <c r="D414" s="7" t="s">
        <v>2334</v>
      </c>
      <c r="E414" s="7" t="s">
        <v>116</v>
      </c>
      <c r="F414" s="7" t="s">
        <v>2277</v>
      </c>
      <c r="G414" s="7" t="s">
        <v>2278</v>
      </c>
      <c r="H414" s="7" t="s">
        <v>2279</v>
      </c>
      <c r="I414" s="7" t="s">
        <v>2335</v>
      </c>
      <c r="J414" s="9" t="s">
        <v>2336</v>
      </c>
      <c r="K414" s="7" t="s">
        <v>1006</v>
      </c>
      <c r="L414" s="10" t="s">
        <v>572</v>
      </c>
    </row>
    <row r="415" customFormat="false" ht="69.75" hidden="false" customHeight="true" outlineLevel="0" collapsed="false">
      <c r="A415" s="7" t="s">
        <v>2337</v>
      </c>
      <c r="B415" s="7" t="s">
        <v>2338</v>
      </c>
      <c r="C415" s="7" t="s">
        <v>2231</v>
      </c>
      <c r="D415" s="7" t="s">
        <v>2339</v>
      </c>
      <c r="E415" s="7" t="s">
        <v>116</v>
      </c>
      <c r="F415" s="7" t="s">
        <v>2277</v>
      </c>
      <c r="G415" s="7" t="s">
        <v>2278</v>
      </c>
      <c r="H415" s="7" t="s">
        <v>2279</v>
      </c>
      <c r="I415" s="7" t="s">
        <v>2340</v>
      </c>
      <c r="J415" s="9" t="s">
        <v>2341</v>
      </c>
      <c r="K415" s="7" t="s">
        <v>1006</v>
      </c>
      <c r="L415" s="10" t="s">
        <v>572</v>
      </c>
    </row>
    <row r="416" customFormat="false" ht="69.75" hidden="false" customHeight="true" outlineLevel="0" collapsed="false">
      <c r="A416" s="7" t="s">
        <v>2342</v>
      </c>
      <c r="B416" s="7" t="s">
        <v>2343</v>
      </c>
      <c r="C416" s="7" t="s">
        <v>2231</v>
      </c>
      <c r="D416" s="7" t="s">
        <v>2344</v>
      </c>
      <c r="E416" s="7" t="s">
        <v>116</v>
      </c>
      <c r="F416" s="7" t="s">
        <v>2277</v>
      </c>
      <c r="G416" s="7" t="s">
        <v>2278</v>
      </c>
      <c r="H416" s="7" t="s">
        <v>2279</v>
      </c>
      <c r="I416" s="7" t="s">
        <v>2345</v>
      </c>
      <c r="J416" s="9" t="s">
        <v>2346</v>
      </c>
      <c r="K416" s="7" t="s">
        <v>1006</v>
      </c>
      <c r="L416" s="10" t="s">
        <v>572</v>
      </c>
    </row>
    <row r="417" customFormat="false" ht="69.75" hidden="false" customHeight="true" outlineLevel="0" collapsed="false">
      <c r="A417" s="7" t="s">
        <v>2347</v>
      </c>
      <c r="B417" s="7" t="s">
        <v>2348</v>
      </c>
      <c r="C417" s="7" t="s">
        <v>2231</v>
      </c>
      <c r="D417" s="7" t="s">
        <v>2349</v>
      </c>
      <c r="E417" s="7" t="s">
        <v>116</v>
      </c>
      <c r="F417" s="7" t="s">
        <v>2277</v>
      </c>
      <c r="G417" s="7" t="s">
        <v>2278</v>
      </c>
      <c r="H417" s="7" t="s">
        <v>2279</v>
      </c>
      <c r="I417" s="7" t="s">
        <v>2350</v>
      </c>
      <c r="J417" s="9" t="s">
        <v>2351</v>
      </c>
      <c r="K417" s="7" t="s">
        <v>1006</v>
      </c>
      <c r="L417" s="10" t="s">
        <v>572</v>
      </c>
    </row>
    <row r="418" customFormat="false" ht="69.75" hidden="false" customHeight="true" outlineLevel="0" collapsed="false">
      <c r="A418" s="7" t="s">
        <v>2352</v>
      </c>
      <c r="B418" s="7" t="s">
        <v>2353</v>
      </c>
      <c r="C418" s="7" t="s">
        <v>2231</v>
      </c>
      <c r="D418" s="7" t="s">
        <v>2354</v>
      </c>
      <c r="E418" s="7" t="s">
        <v>116</v>
      </c>
      <c r="F418" s="7" t="s">
        <v>2277</v>
      </c>
      <c r="G418" s="7" t="s">
        <v>2278</v>
      </c>
      <c r="H418" s="7" t="s">
        <v>2279</v>
      </c>
      <c r="I418" s="7" t="s">
        <v>2355</v>
      </c>
      <c r="J418" s="9" t="s">
        <v>2356</v>
      </c>
      <c r="K418" s="7" t="s">
        <v>1006</v>
      </c>
      <c r="L418" s="10" t="s">
        <v>572</v>
      </c>
    </row>
    <row r="419" customFormat="false" ht="35.25" hidden="false" customHeight="true" outlineLevel="0" collapsed="false">
      <c r="A419" s="7" t="s">
        <v>2357</v>
      </c>
      <c r="B419" s="7" t="s">
        <v>2358</v>
      </c>
      <c r="C419" s="7" t="s">
        <v>2231</v>
      </c>
      <c r="D419" s="7" t="s">
        <v>2359</v>
      </c>
      <c r="E419" s="7" t="s">
        <v>112</v>
      </c>
      <c r="F419" s="7" t="s">
        <v>1001</v>
      </c>
      <c r="G419" s="7" t="s">
        <v>2360</v>
      </c>
      <c r="H419" s="7" t="s">
        <v>2361</v>
      </c>
      <c r="I419" s="7" t="s">
        <v>2362</v>
      </c>
      <c r="J419" s="9" t="s">
        <v>2363</v>
      </c>
      <c r="K419" s="7" t="s">
        <v>1054</v>
      </c>
      <c r="L419" s="10" t="s">
        <v>572</v>
      </c>
    </row>
    <row r="420" customFormat="false" ht="69.75" hidden="false" customHeight="true" outlineLevel="0" collapsed="false">
      <c r="A420" s="7" t="s">
        <v>2364</v>
      </c>
      <c r="B420" s="7" t="s">
        <v>2365</v>
      </c>
      <c r="C420" s="7" t="s">
        <v>2231</v>
      </c>
      <c r="D420" s="7" t="s">
        <v>2366</v>
      </c>
      <c r="E420" s="7" t="s">
        <v>112</v>
      </c>
      <c r="F420" s="7" t="s">
        <v>1001</v>
      </c>
      <c r="G420" s="7" t="s">
        <v>2360</v>
      </c>
      <c r="H420" s="7" t="s">
        <v>2361</v>
      </c>
      <c r="I420" s="7" t="s">
        <v>2367</v>
      </c>
      <c r="J420" s="9" t="s">
        <v>2368</v>
      </c>
      <c r="K420" s="7" t="s">
        <v>1054</v>
      </c>
      <c r="L420" s="10" t="s">
        <v>572</v>
      </c>
    </row>
    <row r="421" customFormat="false" ht="35.25" hidden="false" customHeight="true" outlineLevel="0" collapsed="false">
      <c r="A421" s="7" t="s">
        <v>2369</v>
      </c>
      <c r="B421" s="7" t="s">
        <v>2370</v>
      </c>
      <c r="C421" s="7" t="s">
        <v>2231</v>
      </c>
      <c r="D421" s="7" t="s">
        <v>2371</v>
      </c>
      <c r="E421" s="7" t="s">
        <v>116</v>
      </c>
      <c r="F421" s="7" t="s">
        <v>2372</v>
      </c>
      <c r="G421" s="7" t="s">
        <v>2373</v>
      </c>
      <c r="H421" s="7" t="s">
        <v>2374</v>
      </c>
      <c r="I421" s="7" t="s">
        <v>2375</v>
      </c>
      <c r="J421" s="9" t="s">
        <v>2376</v>
      </c>
      <c r="K421" s="7" t="s">
        <v>1279</v>
      </c>
      <c r="L421" s="10" t="s">
        <v>170</v>
      </c>
    </row>
    <row r="422" customFormat="false" ht="52.5" hidden="false" customHeight="true" outlineLevel="0" collapsed="false">
      <c r="A422" s="7" t="s">
        <v>2377</v>
      </c>
      <c r="B422" s="7" t="s">
        <v>2378</v>
      </c>
      <c r="C422" s="7" t="s">
        <v>2231</v>
      </c>
      <c r="D422" s="7" t="s">
        <v>2379</v>
      </c>
      <c r="E422" s="7" t="s">
        <v>116</v>
      </c>
      <c r="F422" s="7" t="s">
        <v>2372</v>
      </c>
      <c r="G422" s="7" t="s">
        <v>2373</v>
      </c>
      <c r="H422" s="7" t="s">
        <v>2374</v>
      </c>
      <c r="I422" s="7" t="s">
        <v>2380</v>
      </c>
      <c r="J422" s="9" t="s">
        <v>2381</v>
      </c>
      <c r="K422" s="7" t="s">
        <v>1279</v>
      </c>
      <c r="L422" s="10" t="s">
        <v>170</v>
      </c>
    </row>
    <row r="423" customFormat="false" ht="52.5" hidden="false" customHeight="true" outlineLevel="0" collapsed="false">
      <c r="A423" s="7" t="s">
        <v>2382</v>
      </c>
      <c r="B423" s="7" t="s">
        <v>2383</v>
      </c>
      <c r="C423" s="7" t="s">
        <v>2231</v>
      </c>
      <c r="D423" s="7" t="s">
        <v>2384</v>
      </c>
      <c r="E423" s="7" t="s">
        <v>116</v>
      </c>
      <c r="F423" s="7" t="s">
        <v>2372</v>
      </c>
      <c r="G423" s="7" t="s">
        <v>2373</v>
      </c>
      <c r="H423" s="7" t="s">
        <v>2374</v>
      </c>
      <c r="I423" s="7" t="s">
        <v>2385</v>
      </c>
      <c r="J423" s="9" t="s">
        <v>2386</v>
      </c>
      <c r="K423" s="7" t="s">
        <v>1279</v>
      </c>
      <c r="L423" s="10" t="s">
        <v>170</v>
      </c>
    </row>
    <row r="424" customFormat="false" ht="52.5" hidden="false" customHeight="true" outlineLevel="0" collapsed="false">
      <c r="A424" s="7" t="s">
        <v>2387</v>
      </c>
      <c r="B424" s="7" t="s">
        <v>2388</v>
      </c>
      <c r="C424" s="7" t="s">
        <v>2231</v>
      </c>
      <c r="D424" s="7" t="s">
        <v>2389</v>
      </c>
      <c r="E424" s="7" t="s">
        <v>116</v>
      </c>
      <c r="F424" s="7" t="s">
        <v>2372</v>
      </c>
      <c r="G424" s="7" t="s">
        <v>2373</v>
      </c>
      <c r="H424" s="7" t="s">
        <v>2374</v>
      </c>
      <c r="I424" s="7" t="s">
        <v>2390</v>
      </c>
      <c r="J424" s="9" t="s">
        <v>2391</v>
      </c>
      <c r="K424" s="7" t="s">
        <v>1279</v>
      </c>
      <c r="L424" s="10" t="s">
        <v>170</v>
      </c>
    </row>
    <row r="425" customFormat="false" ht="35.25" hidden="false" customHeight="true" outlineLevel="0" collapsed="false">
      <c r="A425" s="7" t="s">
        <v>2392</v>
      </c>
      <c r="B425" s="7" t="s">
        <v>2393</v>
      </c>
      <c r="C425" s="7" t="s">
        <v>2231</v>
      </c>
      <c r="D425" s="7" t="s">
        <v>2394</v>
      </c>
      <c r="E425" s="7" t="s">
        <v>116</v>
      </c>
      <c r="F425" s="7" t="s">
        <v>2372</v>
      </c>
      <c r="G425" s="7" t="s">
        <v>2395</v>
      </c>
      <c r="H425" s="7" t="s">
        <v>2396</v>
      </c>
      <c r="I425" s="7" t="s">
        <v>2397</v>
      </c>
      <c r="J425" s="9" t="s">
        <v>2398</v>
      </c>
      <c r="K425" s="7" t="s">
        <v>1279</v>
      </c>
      <c r="L425" s="10" t="s">
        <v>170</v>
      </c>
    </row>
    <row r="426" customFormat="false" ht="52.5" hidden="false" customHeight="true" outlineLevel="0" collapsed="false">
      <c r="A426" s="7" t="s">
        <v>2399</v>
      </c>
      <c r="B426" s="7" t="s">
        <v>2400</v>
      </c>
      <c r="C426" s="7" t="s">
        <v>2231</v>
      </c>
      <c r="D426" s="7" t="s">
        <v>2401</v>
      </c>
      <c r="E426" s="7" t="s">
        <v>116</v>
      </c>
      <c r="F426" s="7" t="s">
        <v>2372</v>
      </c>
      <c r="G426" s="7" t="s">
        <v>2395</v>
      </c>
      <c r="H426" s="7" t="s">
        <v>2396</v>
      </c>
      <c r="I426" s="7" t="s">
        <v>2402</v>
      </c>
      <c r="J426" s="9" t="s">
        <v>2403</v>
      </c>
      <c r="K426" s="7" t="s">
        <v>1279</v>
      </c>
      <c r="L426" s="10" t="s">
        <v>170</v>
      </c>
    </row>
    <row r="427" customFormat="false" ht="35.25" hidden="false" customHeight="true" outlineLevel="0" collapsed="false">
      <c r="A427" s="7" t="s">
        <v>2404</v>
      </c>
      <c r="B427" s="7" t="s">
        <v>2405</v>
      </c>
      <c r="C427" s="7" t="s">
        <v>2231</v>
      </c>
      <c r="D427" s="7" t="s">
        <v>2406</v>
      </c>
      <c r="E427" s="7" t="s">
        <v>104</v>
      </c>
      <c r="F427" s="7" t="s">
        <v>1235</v>
      </c>
      <c r="G427" s="7" t="s">
        <v>2407</v>
      </c>
      <c r="H427" s="7" t="s">
        <v>2408</v>
      </c>
      <c r="I427" s="7" t="s">
        <v>2409</v>
      </c>
      <c r="J427" s="9" t="s">
        <v>2410</v>
      </c>
      <c r="K427" s="7" t="s">
        <v>1279</v>
      </c>
      <c r="L427" s="10" t="s">
        <v>170</v>
      </c>
    </row>
    <row r="428" customFormat="false" ht="35.25" hidden="false" customHeight="true" outlineLevel="0" collapsed="false">
      <c r="A428" s="7" t="s">
        <v>2411</v>
      </c>
      <c r="B428" s="7" t="s">
        <v>2412</v>
      </c>
      <c r="C428" s="7" t="s">
        <v>2231</v>
      </c>
      <c r="D428" s="7" t="s">
        <v>2413</v>
      </c>
      <c r="E428" s="7" t="s">
        <v>104</v>
      </c>
      <c r="F428" s="7" t="s">
        <v>1235</v>
      </c>
      <c r="G428" s="7" t="s">
        <v>2407</v>
      </c>
      <c r="H428" s="7" t="s">
        <v>2408</v>
      </c>
      <c r="I428" s="7" t="s">
        <v>2414</v>
      </c>
      <c r="J428" s="9" t="s">
        <v>2415</v>
      </c>
      <c r="K428" s="7" t="s">
        <v>1279</v>
      </c>
      <c r="L428" s="10" t="s">
        <v>170</v>
      </c>
    </row>
    <row r="429" customFormat="false" ht="35.25" hidden="false" customHeight="true" outlineLevel="0" collapsed="false">
      <c r="A429" s="7" t="s">
        <v>2416</v>
      </c>
      <c r="B429" s="7" t="s">
        <v>2417</v>
      </c>
      <c r="C429" s="7" t="s">
        <v>2231</v>
      </c>
      <c r="D429" s="7" t="s">
        <v>2418</v>
      </c>
      <c r="E429" s="7" t="s">
        <v>116</v>
      </c>
      <c r="F429" s="7" t="s">
        <v>2419</v>
      </c>
      <c r="G429" s="7" t="s">
        <v>2420</v>
      </c>
      <c r="H429" s="7" t="s">
        <v>2421</v>
      </c>
      <c r="I429" s="7" t="s">
        <v>2422</v>
      </c>
      <c r="J429" s="9" t="s">
        <v>2423</v>
      </c>
      <c r="K429" s="7" t="s">
        <v>169</v>
      </c>
      <c r="L429" s="10" t="s">
        <v>170</v>
      </c>
    </row>
    <row r="430" customFormat="false" ht="35.25" hidden="false" customHeight="true" outlineLevel="0" collapsed="false">
      <c r="A430" s="7" t="s">
        <v>2424</v>
      </c>
      <c r="B430" s="7" t="s">
        <v>2425</v>
      </c>
      <c r="C430" s="7" t="s">
        <v>2231</v>
      </c>
      <c r="D430" s="7" t="s">
        <v>2426</v>
      </c>
      <c r="E430" s="7" t="s">
        <v>116</v>
      </c>
      <c r="F430" s="7" t="s">
        <v>2419</v>
      </c>
      <c r="G430" s="7" t="s">
        <v>2420</v>
      </c>
      <c r="H430" s="7" t="s">
        <v>2421</v>
      </c>
      <c r="I430" s="7" t="s">
        <v>2427</v>
      </c>
      <c r="J430" s="9" t="s">
        <v>2428</v>
      </c>
      <c r="K430" s="7" t="s">
        <v>169</v>
      </c>
      <c r="L430" s="10" t="s">
        <v>170</v>
      </c>
    </row>
    <row r="431" customFormat="false" ht="35.25" hidden="false" customHeight="true" outlineLevel="0" collapsed="false">
      <c r="A431" s="7" t="s">
        <v>2429</v>
      </c>
      <c r="B431" s="7" t="s">
        <v>2430</v>
      </c>
      <c r="C431" s="7" t="s">
        <v>2231</v>
      </c>
      <c r="D431" s="7" t="s">
        <v>2431</v>
      </c>
      <c r="E431" s="7" t="s">
        <v>116</v>
      </c>
      <c r="F431" s="7" t="s">
        <v>2419</v>
      </c>
      <c r="G431" s="7" t="s">
        <v>2420</v>
      </c>
      <c r="H431" s="7" t="s">
        <v>2421</v>
      </c>
      <c r="I431" s="7" t="s">
        <v>2432</v>
      </c>
      <c r="J431" s="9" t="s">
        <v>2433</v>
      </c>
      <c r="K431" s="7" t="s">
        <v>169</v>
      </c>
      <c r="L431" s="10" t="s">
        <v>170</v>
      </c>
    </row>
    <row r="432" customFormat="false" ht="52.5" hidden="false" customHeight="true" outlineLevel="0" collapsed="false">
      <c r="A432" s="7" t="s">
        <v>2434</v>
      </c>
      <c r="B432" s="7" t="s">
        <v>2435</v>
      </c>
      <c r="C432" s="7" t="s">
        <v>2231</v>
      </c>
      <c r="D432" s="7" t="s">
        <v>2436</v>
      </c>
      <c r="E432" s="7" t="s">
        <v>116</v>
      </c>
      <c r="F432" s="7" t="s">
        <v>2419</v>
      </c>
      <c r="G432" s="7" t="s">
        <v>2420</v>
      </c>
      <c r="H432" s="7" t="s">
        <v>2421</v>
      </c>
      <c r="I432" s="7" t="s">
        <v>2437</v>
      </c>
      <c r="J432" s="9" t="s">
        <v>2438</v>
      </c>
      <c r="K432" s="7" t="s">
        <v>169</v>
      </c>
      <c r="L432" s="10" t="s">
        <v>170</v>
      </c>
    </row>
    <row r="433" customFormat="false" ht="52.5" hidden="false" customHeight="true" outlineLevel="0" collapsed="false">
      <c r="A433" s="7" t="s">
        <v>2439</v>
      </c>
      <c r="B433" s="7" t="s">
        <v>2440</v>
      </c>
      <c r="C433" s="7" t="s">
        <v>2441</v>
      </c>
      <c r="D433" s="7" t="s">
        <v>163</v>
      </c>
      <c r="E433" s="7" t="s">
        <v>100</v>
      </c>
      <c r="F433" s="7" t="s">
        <v>164</v>
      </c>
      <c r="G433" s="7" t="s">
        <v>165</v>
      </c>
      <c r="H433" s="7" t="s">
        <v>166</v>
      </c>
      <c r="I433" s="7" t="s">
        <v>2442</v>
      </c>
      <c r="J433" s="9" t="s">
        <v>2443</v>
      </c>
      <c r="K433" s="7" t="s">
        <v>169</v>
      </c>
      <c r="L433" s="10" t="s">
        <v>170</v>
      </c>
    </row>
    <row r="434" customFormat="false" ht="35.25" hidden="false" customHeight="true" outlineLevel="0" collapsed="false">
      <c r="A434" s="7" t="s">
        <v>2444</v>
      </c>
      <c r="B434" s="7" t="s">
        <v>2445</v>
      </c>
      <c r="C434" s="7" t="s">
        <v>2441</v>
      </c>
      <c r="D434" s="7" t="s">
        <v>2446</v>
      </c>
      <c r="E434" s="7" t="s">
        <v>108</v>
      </c>
      <c r="F434" s="7" t="s">
        <v>748</v>
      </c>
      <c r="G434" s="7" t="s">
        <v>2447</v>
      </c>
      <c r="H434" s="7" t="s">
        <v>2448</v>
      </c>
      <c r="I434" s="7" t="s">
        <v>2449</v>
      </c>
      <c r="J434" s="9" t="s">
        <v>2450</v>
      </c>
      <c r="K434" s="7" t="s">
        <v>2451</v>
      </c>
      <c r="L434" s="10" t="s">
        <v>572</v>
      </c>
    </row>
    <row r="435" customFormat="false" ht="69.75" hidden="false" customHeight="true" outlineLevel="0" collapsed="false">
      <c r="A435" s="7" t="s">
        <v>2452</v>
      </c>
      <c r="B435" s="7" t="s">
        <v>2453</v>
      </c>
      <c r="C435" s="7" t="s">
        <v>2441</v>
      </c>
      <c r="D435" s="7" t="s">
        <v>2454</v>
      </c>
      <c r="E435" s="7" t="s">
        <v>108</v>
      </c>
      <c r="F435" s="7" t="s">
        <v>748</v>
      </c>
      <c r="G435" s="7" t="s">
        <v>2447</v>
      </c>
      <c r="H435" s="7" t="s">
        <v>2448</v>
      </c>
      <c r="I435" s="7" t="s">
        <v>2455</v>
      </c>
      <c r="J435" s="9" t="s">
        <v>2456</v>
      </c>
      <c r="K435" s="7" t="s">
        <v>2451</v>
      </c>
      <c r="L435" s="10" t="s">
        <v>572</v>
      </c>
    </row>
    <row r="436" customFormat="false" ht="35.25" hidden="false" customHeight="true" outlineLevel="0" collapsed="false">
      <c r="A436" s="7" t="s">
        <v>2457</v>
      </c>
      <c r="B436" s="7" t="s">
        <v>2458</v>
      </c>
      <c r="C436" s="7" t="s">
        <v>2441</v>
      </c>
      <c r="D436" s="7" t="s">
        <v>2459</v>
      </c>
      <c r="E436" s="7" t="s">
        <v>108</v>
      </c>
      <c r="F436" s="7" t="s">
        <v>748</v>
      </c>
      <c r="G436" s="7" t="s">
        <v>2447</v>
      </c>
      <c r="H436" s="7" t="s">
        <v>2448</v>
      </c>
      <c r="I436" s="7" t="s">
        <v>2460</v>
      </c>
      <c r="J436" s="9" t="s">
        <v>2461</v>
      </c>
      <c r="K436" s="7" t="s">
        <v>2451</v>
      </c>
      <c r="L436" s="10" t="s">
        <v>572</v>
      </c>
    </row>
    <row r="437" customFormat="false" ht="69.75" hidden="false" customHeight="true" outlineLevel="0" collapsed="false">
      <c r="A437" s="7" t="s">
        <v>2462</v>
      </c>
      <c r="B437" s="7" t="s">
        <v>2463</v>
      </c>
      <c r="C437" s="7" t="s">
        <v>2441</v>
      </c>
      <c r="D437" s="7" t="s">
        <v>2464</v>
      </c>
      <c r="E437" s="7" t="s">
        <v>108</v>
      </c>
      <c r="F437" s="7" t="s">
        <v>748</v>
      </c>
      <c r="G437" s="7" t="s">
        <v>2447</v>
      </c>
      <c r="H437" s="7" t="s">
        <v>2448</v>
      </c>
      <c r="I437" s="7" t="s">
        <v>2465</v>
      </c>
      <c r="J437" s="9" t="s">
        <v>2466</v>
      </c>
      <c r="K437" s="7" t="s">
        <v>2451</v>
      </c>
      <c r="L437" s="10" t="s">
        <v>572</v>
      </c>
    </row>
    <row r="438" customFormat="false" ht="69.75" hidden="false" customHeight="true" outlineLevel="0" collapsed="false">
      <c r="A438" s="7" t="s">
        <v>2467</v>
      </c>
      <c r="B438" s="7" t="s">
        <v>2468</v>
      </c>
      <c r="C438" s="7" t="s">
        <v>2441</v>
      </c>
      <c r="D438" s="7" t="s">
        <v>2469</v>
      </c>
      <c r="E438" s="7" t="s">
        <v>108</v>
      </c>
      <c r="F438" s="7" t="s">
        <v>748</v>
      </c>
      <c r="G438" s="7" t="s">
        <v>2447</v>
      </c>
      <c r="H438" s="7" t="s">
        <v>2448</v>
      </c>
      <c r="I438" s="7" t="s">
        <v>2470</v>
      </c>
      <c r="J438" s="9" t="s">
        <v>2471</v>
      </c>
      <c r="K438" s="7" t="s">
        <v>2451</v>
      </c>
      <c r="L438" s="10" t="s">
        <v>572</v>
      </c>
    </row>
    <row r="439" customFormat="false" ht="69.75" hidden="false" customHeight="true" outlineLevel="0" collapsed="false">
      <c r="A439" s="7" t="s">
        <v>2472</v>
      </c>
      <c r="B439" s="7" t="s">
        <v>2473</v>
      </c>
      <c r="C439" s="7" t="s">
        <v>2441</v>
      </c>
      <c r="D439" s="7" t="s">
        <v>2474</v>
      </c>
      <c r="E439" s="7" t="s">
        <v>108</v>
      </c>
      <c r="F439" s="7" t="s">
        <v>748</v>
      </c>
      <c r="G439" s="7" t="s">
        <v>2447</v>
      </c>
      <c r="H439" s="7" t="s">
        <v>2448</v>
      </c>
      <c r="I439" s="7" t="s">
        <v>2475</v>
      </c>
      <c r="J439" s="9" t="s">
        <v>2476</v>
      </c>
      <c r="K439" s="7" t="s">
        <v>2451</v>
      </c>
      <c r="L439" s="10" t="s">
        <v>572</v>
      </c>
    </row>
    <row r="440" customFormat="false" ht="69.75" hidden="false" customHeight="true" outlineLevel="0" collapsed="false">
      <c r="A440" s="7" t="s">
        <v>2477</v>
      </c>
      <c r="B440" s="7" t="s">
        <v>2478</v>
      </c>
      <c r="C440" s="7" t="s">
        <v>2441</v>
      </c>
      <c r="D440" s="7" t="s">
        <v>2479</v>
      </c>
      <c r="E440" s="7" t="s">
        <v>108</v>
      </c>
      <c r="F440" s="7" t="s">
        <v>748</v>
      </c>
      <c r="G440" s="7" t="s">
        <v>2447</v>
      </c>
      <c r="H440" s="7" t="s">
        <v>2448</v>
      </c>
      <c r="I440" s="7" t="s">
        <v>2480</v>
      </c>
      <c r="J440" s="9" t="s">
        <v>2481</v>
      </c>
      <c r="K440" s="7" t="s">
        <v>2451</v>
      </c>
      <c r="L440" s="10" t="s">
        <v>572</v>
      </c>
    </row>
    <row r="441" customFormat="false" ht="69.75" hidden="false" customHeight="true" outlineLevel="0" collapsed="false">
      <c r="A441" s="7" t="s">
        <v>2482</v>
      </c>
      <c r="B441" s="7" t="s">
        <v>2483</v>
      </c>
      <c r="C441" s="7" t="s">
        <v>2441</v>
      </c>
      <c r="D441" s="7" t="s">
        <v>2484</v>
      </c>
      <c r="E441" s="7" t="s">
        <v>108</v>
      </c>
      <c r="F441" s="7" t="s">
        <v>748</v>
      </c>
      <c r="G441" s="7" t="s">
        <v>2447</v>
      </c>
      <c r="H441" s="7" t="s">
        <v>2448</v>
      </c>
      <c r="I441" s="7" t="s">
        <v>2485</v>
      </c>
      <c r="J441" s="9" t="s">
        <v>2486</v>
      </c>
      <c r="K441" s="7" t="s">
        <v>2451</v>
      </c>
      <c r="L441" s="10" t="s">
        <v>572</v>
      </c>
    </row>
    <row r="442" customFormat="false" ht="69.75" hidden="false" customHeight="true" outlineLevel="0" collapsed="false">
      <c r="A442" s="7" t="s">
        <v>2487</v>
      </c>
      <c r="B442" s="7" t="s">
        <v>2488</v>
      </c>
      <c r="C442" s="7" t="s">
        <v>2441</v>
      </c>
      <c r="D442" s="7" t="s">
        <v>2489</v>
      </c>
      <c r="E442" s="7" t="s">
        <v>108</v>
      </c>
      <c r="F442" s="7" t="s">
        <v>748</v>
      </c>
      <c r="G442" s="7" t="s">
        <v>2447</v>
      </c>
      <c r="H442" s="7" t="s">
        <v>2448</v>
      </c>
      <c r="I442" s="7" t="s">
        <v>2490</v>
      </c>
      <c r="J442" s="9" t="s">
        <v>2491</v>
      </c>
      <c r="K442" s="7" t="s">
        <v>2451</v>
      </c>
      <c r="L442" s="10" t="s">
        <v>572</v>
      </c>
    </row>
    <row r="443" customFormat="false" ht="52.5" hidden="false" customHeight="true" outlineLevel="0" collapsed="false">
      <c r="A443" s="7" t="s">
        <v>2492</v>
      </c>
      <c r="B443" s="7" t="s">
        <v>2493</v>
      </c>
      <c r="C443" s="7" t="s">
        <v>2441</v>
      </c>
      <c r="D443" s="7" t="s">
        <v>2494</v>
      </c>
      <c r="E443" s="7" t="s">
        <v>108</v>
      </c>
      <c r="F443" s="7" t="s">
        <v>174</v>
      </c>
      <c r="G443" s="7" t="s">
        <v>245</v>
      </c>
      <c r="H443" s="7" t="s">
        <v>246</v>
      </c>
      <c r="I443" s="7" t="s">
        <v>2495</v>
      </c>
      <c r="J443" s="9" t="s">
        <v>2496</v>
      </c>
      <c r="K443" s="7" t="s">
        <v>2497</v>
      </c>
      <c r="L443" s="11" t="s">
        <v>180</v>
      </c>
    </row>
    <row r="444" customFormat="false" ht="69.75" hidden="false" customHeight="true" outlineLevel="0" collapsed="false">
      <c r="A444" s="7" t="s">
        <v>2498</v>
      </c>
      <c r="B444" s="7" t="s">
        <v>2499</v>
      </c>
      <c r="C444" s="7" t="s">
        <v>2441</v>
      </c>
      <c r="D444" s="7" t="s">
        <v>2500</v>
      </c>
      <c r="E444" s="7" t="s">
        <v>108</v>
      </c>
      <c r="F444" s="7" t="s">
        <v>174</v>
      </c>
      <c r="G444" s="7" t="s">
        <v>245</v>
      </c>
      <c r="H444" s="7" t="s">
        <v>246</v>
      </c>
      <c r="I444" s="7" t="s">
        <v>2501</v>
      </c>
      <c r="J444" s="9" t="s">
        <v>2502</v>
      </c>
      <c r="K444" s="7" t="s">
        <v>2497</v>
      </c>
      <c r="L444" s="11" t="s">
        <v>180</v>
      </c>
    </row>
    <row r="445" customFormat="false" ht="69.75" hidden="false" customHeight="true" outlineLevel="0" collapsed="false">
      <c r="A445" s="7" t="s">
        <v>2503</v>
      </c>
      <c r="B445" s="7" t="s">
        <v>2504</v>
      </c>
      <c r="C445" s="7" t="s">
        <v>2441</v>
      </c>
      <c r="D445" s="7" t="s">
        <v>2505</v>
      </c>
      <c r="E445" s="7" t="s">
        <v>108</v>
      </c>
      <c r="F445" s="7" t="s">
        <v>174</v>
      </c>
      <c r="G445" s="7" t="s">
        <v>245</v>
      </c>
      <c r="H445" s="7" t="s">
        <v>246</v>
      </c>
      <c r="I445" s="7" t="s">
        <v>2506</v>
      </c>
      <c r="J445" s="9" t="s">
        <v>2507</v>
      </c>
      <c r="K445" s="7" t="s">
        <v>2497</v>
      </c>
      <c r="L445" s="12" t="s">
        <v>186</v>
      </c>
    </row>
    <row r="446" customFormat="false" ht="87" hidden="false" customHeight="true" outlineLevel="0" collapsed="false">
      <c r="A446" s="7" t="s">
        <v>2508</v>
      </c>
      <c r="B446" s="7" t="s">
        <v>2509</v>
      </c>
      <c r="C446" s="7" t="s">
        <v>2441</v>
      </c>
      <c r="D446" s="7" t="s">
        <v>2510</v>
      </c>
      <c r="E446" s="7" t="s">
        <v>108</v>
      </c>
      <c r="F446" s="7" t="s">
        <v>174</v>
      </c>
      <c r="G446" s="7" t="s">
        <v>245</v>
      </c>
      <c r="H446" s="7" t="s">
        <v>246</v>
      </c>
      <c r="I446" s="7" t="s">
        <v>2511</v>
      </c>
      <c r="J446" s="9" t="s">
        <v>2512</v>
      </c>
      <c r="K446" s="7" t="s">
        <v>2497</v>
      </c>
      <c r="L446" s="12" t="s">
        <v>186</v>
      </c>
    </row>
    <row r="447" customFormat="false" ht="69.75" hidden="false" customHeight="true" outlineLevel="0" collapsed="false">
      <c r="A447" s="7" t="s">
        <v>2513</v>
      </c>
      <c r="B447" s="7" t="s">
        <v>2514</v>
      </c>
      <c r="C447" s="7" t="s">
        <v>2441</v>
      </c>
      <c r="D447" s="7" t="s">
        <v>2515</v>
      </c>
      <c r="E447" s="7" t="s">
        <v>108</v>
      </c>
      <c r="F447" s="7" t="s">
        <v>174</v>
      </c>
      <c r="G447" s="7" t="s">
        <v>245</v>
      </c>
      <c r="H447" s="7" t="s">
        <v>246</v>
      </c>
      <c r="I447" s="7" t="s">
        <v>2516</v>
      </c>
      <c r="J447" s="9" t="s">
        <v>2517</v>
      </c>
      <c r="K447" s="7" t="s">
        <v>2497</v>
      </c>
      <c r="L447" s="12" t="s">
        <v>186</v>
      </c>
    </row>
    <row r="448" customFormat="false" ht="69.75" hidden="false" customHeight="true" outlineLevel="0" collapsed="false">
      <c r="A448" s="7" t="s">
        <v>2518</v>
      </c>
      <c r="B448" s="7" t="s">
        <v>2519</v>
      </c>
      <c r="C448" s="7" t="s">
        <v>2441</v>
      </c>
      <c r="D448" s="7" t="s">
        <v>2520</v>
      </c>
      <c r="E448" s="7" t="s">
        <v>108</v>
      </c>
      <c r="F448" s="7" t="s">
        <v>174</v>
      </c>
      <c r="G448" s="7" t="s">
        <v>245</v>
      </c>
      <c r="H448" s="7" t="s">
        <v>246</v>
      </c>
      <c r="I448" s="7" t="s">
        <v>2521</v>
      </c>
      <c r="J448" s="9" t="s">
        <v>2522</v>
      </c>
      <c r="K448" s="7" t="s">
        <v>2497</v>
      </c>
      <c r="L448" s="11" t="s">
        <v>180</v>
      </c>
    </row>
    <row r="449" customFormat="false" ht="69.75" hidden="false" customHeight="true" outlineLevel="0" collapsed="false">
      <c r="A449" s="7" t="s">
        <v>2523</v>
      </c>
      <c r="B449" s="7" t="s">
        <v>2524</v>
      </c>
      <c r="C449" s="7" t="s">
        <v>2441</v>
      </c>
      <c r="D449" s="7" t="s">
        <v>2525</v>
      </c>
      <c r="E449" s="7" t="s">
        <v>108</v>
      </c>
      <c r="F449" s="7" t="s">
        <v>174</v>
      </c>
      <c r="G449" s="7" t="s">
        <v>245</v>
      </c>
      <c r="H449" s="7" t="s">
        <v>246</v>
      </c>
      <c r="I449" s="7" t="s">
        <v>2526</v>
      </c>
      <c r="J449" s="9" t="s">
        <v>2527</v>
      </c>
      <c r="K449" s="7" t="s">
        <v>2497</v>
      </c>
      <c r="L449" s="12" t="s">
        <v>186</v>
      </c>
    </row>
    <row r="450" customFormat="false" ht="52.5" hidden="false" customHeight="true" outlineLevel="0" collapsed="false">
      <c r="A450" s="7" t="s">
        <v>2528</v>
      </c>
      <c r="B450" s="7" t="s">
        <v>2529</v>
      </c>
      <c r="C450" s="7" t="s">
        <v>2441</v>
      </c>
      <c r="D450" s="7" t="s">
        <v>2530</v>
      </c>
      <c r="E450" s="7" t="s">
        <v>108</v>
      </c>
      <c r="F450" s="7" t="s">
        <v>174</v>
      </c>
      <c r="G450" s="7" t="s">
        <v>245</v>
      </c>
      <c r="H450" s="7" t="s">
        <v>246</v>
      </c>
      <c r="I450" s="7" t="s">
        <v>2531</v>
      </c>
      <c r="J450" s="9" t="s">
        <v>2532</v>
      </c>
      <c r="K450" s="7" t="s">
        <v>2451</v>
      </c>
      <c r="L450" s="10" t="s">
        <v>170</v>
      </c>
    </row>
    <row r="451" customFormat="false" ht="52.5" hidden="false" customHeight="true" outlineLevel="0" collapsed="false">
      <c r="A451" s="7" t="s">
        <v>2533</v>
      </c>
      <c r="B451" s="7" t="s">
        <v>2534</v>
      </c>
      <c r="C451" s="7" t="s">
        <v>2441</v>
      </c>
      <c r="D451" s="7" t="s">
        <v>2535</v>
      </c>
      <c r="E451" s="7" t="s">
        <v>108</v>
      </c>
      <c r="F451" s="7" t="s">
        <v>174</v>
      </c>
      <c r="G451" s="7" t="s">
        <v>245</v>
      </c>
      <c r="H451" s="7" t="s">
        <v>246</v>
      </c>
      <c r="I451" s="7" t="s">
        <v>2536</v>
      </c>
      <c r="J451" s="9" t="s">
        <v>2537</v>
      </c>
      <c r="K451" s="7" t="s">
        <v>2451</v>
      </c>
      <c r="L451" s="10" t="s">
        <v>170</v>
      </c>
    </row>
    <row r="452" customFormat="false" ht="52.5" hidden="false" customHeight="true" outlineLevel="0" collapsed="false">
      <c r="A452" s="7" t="s">
        <v>2538</v>
      </c>
      <c r="B452" s="7" t="s">
        <v>2539</v>
      </c>
      <c r="C452" s="7" t="s">
        <v>2441</v>
      </c>
      <c r="D452" s="7" t="s">
        <v>2540</v>
      </c>
      <c r="E452" s="7" t="s">
        <v>108</v>
      </c>
      <c r="F452" s="7" t="s">
        <v>174</v>
      </c>
      <c r="G452" s="7" t="s">
        <v>245</v>
      </c>
      <c r="H452" s="7" t="s">
        <v>246</v>
      </c>
      <c r="I452" s="7" t="s">
        <v>2541</v>
      </c>
      <c r="J452" s="9" t="s">
        <v>2542</v>
      </c>
      <c r="K452" s="7" t="s">
        <v>2451</v>
      </c>
      <c r="L452" s="10" t="s">
        <v>170</v>
      </c>
    </row>
    <row r="453" customFormat="false" ht="52.5" hidden="false" customHeight="true" outlineLevel="0" collapsed="false">
      <c r="A453" s="7" t="s">
        <v>2543</v>
      </c>
      <c r="B453" s="7" t="s">
        <v>2544</v>
      </c>
      <c r="C453" s="7" t="s">
        <v>2441</v>
      </c>
      <c r="D453" s="7" t="s">
        <v>2545</v>
      </c>
      <c r="E453" s="7" t="s">
        <v>108</v>
      </c>
      <c r="F453" s="7" t="s">
        <v>174</v>
      </c>
      <c r="G453" s="7" t="s">
        <v>245</v>
      </c>
      <c r="H453" s="7" t="s">
        <v>246</v>
      </c>
      <c r="I453" s="7" t="s">
        <v>2546</v>
      </c>
      <c r="J453" s="9" t="s">
        <v>2547</v>
      </c>
      <c r="K453" s="7" t="s">
        <v>2451</v>
      </c>
      <c r="L453" s="10" t="s">
        <v>170</v>
      </c>
    </row>
    <row r="454" customFormat="false" ht="52.5" hidden="false" customHeight="true" outlineLevel="0" collapsed="false">
      <c r="A454" s="7" t="s">
        <v>2548</v>
      </c>
      <c r="B454" s="7" t="s">
        <v>2549</v>
      </c>
      <c r="C454" s="7" t="s">
        <v>2441</v>
      </c>
      <c r="D454" s="7" t="s">
        <v>2550</v>
      </c>
      <c r="E454" s="7" t="s">
        <v>108</v>
      </c>
      <c r="F454" s="7" t="s">
        <v>174</v>
      </c>
      <c r="G454" s="7" t="s">
        <v>245</v>
      </c>
      <c r="H454" s="7" t="s">
        <v>246</v>
      </c>
      <c r="I454" s="7" t="s">
        <v>2551</v>
      </c>
      <c r="J454" s="9" t="s">
        <v>2552</v>
      </c>
      <c r="K454" s="7" t="s">
        <v>2451</v>
      </c>
      <c r="L454" s="10" t="s">
        <v>170</v>
      </c>
    </row>
    <row r="455" customFormat="false" ht="52.5" hidden="false" customHeight="true" outlineLevel="0" collapsed="false">
      <c r="A455" s="7" t="s">
        <v>2553</v>
      </c>
      <c r="B455" s="7" t="s">
        <v>2554</v>
      </c>
      <c r="C455" s="7" t="s">
        <v>2441</v>
      </c>
      <c r="D455" s="7" t="s">
        <v>2555</v>
      </c>
      <c r="E455" s="7" t="s">
        <v>108</v>
      </c>
      <c r="F455" s="7" t="s">
        <v>174</v>
      </c>
      <c r="G455" s="7" t="s">
        <v>245</v>
      </c>
      <c r="H455" s="7" t="s">
        <v>246</v>
      </c>
      <c r="I455" s="7" t="s">
        <v>2556</v>
      </c>
      <c r="J455" s="9" t="s">
        <v>2557</v>
      </c>
      <c r="K455" s="7" t="s">
        <v>2451</v>
      </c>
      <c r="L455" s="10" t="s">
        <v>170</v>
      </c>
    </row>
    <row r="456" customFormat="false" ht="35.25" hidden="false" customHeight="true" outlineLevel="0" collapsed="false">
      <c r="A456" s="7" t="s">
        <v>2558</v>
      </c>
      <c r="B456" s="7" t="s">
        <v>2559</v>
      </c>
      <c r="C456" s="7" t="s">
        <v>2441</v>
      </c>
      <c r="D456" s="7" t="s">
        <v>2560</v>
      </c>
      <c r="E456" s="7" t="s">
        <v>108</v>
      </c>
      <c r="F456" s="7" t="s">
        <v>748</v>
      </c>
      <c r="G456" s="7" t="s">
        <v>2447</v>
      </c>
      <c r="H456" s="7" t="s">
        <v>2448</v>
      </c>
      <c r="I456" s="7" t="s">
        <v>2561</v>
      </c>
      <c r="J456" s="9" t="s">
        <v>2562</v>
      </c>
      <c r="K456" s="7" t="s">
        <v>2451</v>
      </c>
      <c r="L456" s="10" t="s">
        <v>572</v>
      </c>
    </row>
    <row r="457" customFormat="false" ht="69.75" hidden="false" customHeight="true" outlineLevel="0" collapsed="false">
      <c r="A457" s="7" t="s">
        <v>2563</v>
      </c>
      <c r="B457" s="7" t="s">
        <v>2564</v>
      </c>
      <c r="C457" s="7" t="s">
        <v>2441</v>
      </c>
      <c r="D457" s="7" t="s">
        <v>2565</v>
      </c>
      <c r="E457" s="7" t="s">
        <v>108</v>
      </c>
      <c r="F457" s="7" t="s">
        <v>748</v>
      </c>
      <c r="G457" s="7" t="s">
        <v>2447</v>
      </c>
      <c r="H457" s="7" t="s">
        <v>2448</v>
      </c>
      <c r="I457" s="7" t="s">
        <v>2566</v>
      </c>
      <c r="J457" s="9" t="s">
        <v>2567</v>
      </c>
      <c r="K457" s="7" t="s">
        <v>2451</v>
      </c>
      <c r="L457" s="10" t="s">
        <v>572</v>
      </c>
    </row>
    <row r="458" customFormat="false" ht="69.75" hidden="false" customHeight="true" outlineLevel="0" collapsed="false">
      <c r="A458" s="7" t="s">
        <v>2568</v>
      </c>
      <c r="B458" s="7" t="s">
        <v>2569</v>
      </c>
      <c r="C458" s="7" t="s">
        <v>2441</v>
      </c>
      <c r="D458" s="7" t="s">
        <v>2570</v>
      </c>
      <c r="E458" s="7" t="s">
        <v>108</v>
      </c>
      <c r="F458" s="7" t="s">
        <v>748</v>
      </c>
      <c r="G458" s="7" t="s">
        <v>2447</v>
      </c>
      <c r="H458" s="7" t="s">
        <v>2448</v>
      </c>
      <c r="I458" s="7" t="s">
        <v>2571</v>
      </c>
      <c r="J458" s="9" t="s">
        <v>2572</v>
      </c>
      <c r="K458" s="7" t="s">
        <v>2451</v>
      </c>
      <c r="L458" s="10" t="s">
        <v>572</v>
      </c>
    </row>
    <row r="459" customFormat="false" ht="69.75" hidden="false" customHeight="true" outlineLevel="0" collapsed="false">
      <c r="A459" s="7" t="s">
        <v>2573</v>
      </c>
      <c r="B459" s="7" t="s">
        <v>2574</v>
      </c>
      <c r="C459" s="7" t="s">
        <v>2441</v>
      </c>
      <c r="D459" s="7" t="s">
        <v>2575</v>
      </c>
      <c r="E459" s="7" t="s">
        <v>108</v>
      </c>
      <c r="F459" s="7" t="s">
        <v>748</v>
      </c>
      <c r="G459" s="7" t="s">
        <v>2447</v>
      </c>
      <c r="H459" s="7" t="s">
        <v>2448</v>
      </c>
      <c r="I459" s="7" t="s">
        <v>2576</v>
      </c>
      <c r="J459" s="9" t="s">
        <v>2577</v>
      </c>
      <c r="K459" s="7" t="s">
        <v>2451</v>
      </c>
      <c r="L459" s="10" t="s">
        <v>572</v>
      </c>
    </row>
    <row r="460" customFormat="false" ht="35.25" hidden="false" customHeight="true" outlineLevel="0" collapsed="false">
      <c r="A460" s="7" t="s">
        <v>2578</v>
      </c>
      <c r="B460" s="7" t="s">
        <v>2579</v>
      </c>
      <c r="C460" s="7" t="s">
        <v>2441</v>
      </c>
      <c r="D460" s="7" t="s">
        <v>2580</v>
      </c>
      <c r="E460" s="7" t="s">
        <v>108</v>
      </c>
      <c r="F460" s="7" t="s">
        <v>748</v>
      </c>
      <c r="G460" s="7" t="s">
        <v>2447</v>
      </c>
      <c r="H460" s="7" t="s">
        <v>2448</v>
      </c>
      <c r="I460" s="7" t="s">
        <v>2581</v>
      </c>
      <c r="J460" s="9" t="s">
        <v>2582</v>
      </c>
      <c r="K460" s="7" t="s">
        <v>2451</v>
      </c>
      <c r="L460" s="10" t="s">
        <v>572</v>
      </c>
    </row>
    <row r="461" customFormat="false" ht="52.5" hidden="false" customHeight="true" outlineLevel="0" collapsed="false">
      <c r="A461" s="7" t="s">
        <v>2583</v>
      </c>
      <c r="B461" s="7" t="s">
        <v>2584</v>
      </c>
      <c r="C461" s="7" t="s">
        <v>2585</v>
      </c>
      <c r="D461" s="7" t="s">
        <v>163</v>
      </c>
      <c r="E461" s="7" t="s">
        <v>100</v>
      </c>
      <c r="F461" s="7" t="s">
        <v>164</v>
      </c>
      <c r="G461" s="7" t="s">
        <v>165</v>
      </c>
      <c r="H461" s="7" t="s">
        <v>166</v>
      </c>
      <c r="I461" s="7" t="s">
        <v>2586</v>
      </c>
      <c r="J461" s="9" t="s">
        <v>2587</v>
      </c>
      <c r="K461" s="7" t="s">
        <v>2451</v>
      </c>
      <c r="L461" s="10" t="s">
        <v>170</v>
      </c>
    </row>
    <row r="462" customFormat="false" ht="35.25" hidden="false" customHeight="true" outlineLevel="0" collapsed="false">
      <c r="A462" s="7" t="s">
        <v>2588</v>
      </c>
      <c r="B462" s="7" t="s">
        <v>2589</v>
      </c>
      <c r="C462" s="7" t="s">
        <v>2585</v>
      </c>
      <c r="D462" s="7" t="s">
        <v>2590</v>
      </c>
      <c r="E462" s="7" t="s">
        <v>108</v>
      </c>
      <c r="F462" s="7" t="s">
        <v>628</v>
      </c>
      <c r="G462" s="7" t="s">
        <v>629</v>
      </c>
      <c r="H462" s="7" t="s">
        <v>630</v>
      </c>
      <c r="I462" s="7" t="s">
        <v>2591</v>
      </c>
      <c r="J462" s="9" t="s">
        <v>2592</v>
      </c>
      <c r="K462" s="7" t="s">
        <v>2451</v>
      </c>
      <c r="L462" s="12" t="s">
        <v>186</v>
      </c>
    </row>
    <row r="463" customFormat="false" ht="35.25" hidden="false" customHeight="true" outlineLevel="0" collapsed="false">
      <c r="A463" s="7" t="s">
        <v>2593</v>
      </c>
      <c r="B463" s="7" t="s">
        <v>2594</v>
      </c>
      <c r="C463" s="7" t="s">
        <v>2585</v>
      </c>
      <c r="D463" s="7" t="s">
        <v>2595</v>
      </c>
      <c r="E463" s="7" t="s">
        <v>108</v>
      </c>
      <c r="F463" s="7" t="s">
        <v>628</v>
      </c>
      <c r="G463" s="7" t="s">
        <v>629</v>
      </c>
      <c r="H463" s="7" t="s">
        <v>630</v>
      </c>
      <c r="I463" s="7" t="s">
        <v>2596</v>
      </c>
      <c r="J463" s="9" t="s">
        <v>2597</v>
      </c>
      <c r="K463" s="7" t="s">
        <v>2451</v>
      </c>
      <c r="L463" s="10" t="s">
        <v>572</v>
      </c>
    </row>
    <row r="464" customFormat="false" ht="35.25" hidden="false" customHeight="true" outlineLevel="0" collapsed="false">
      <c r="A464" s="7" t="s">
        <v>2598</v>
      </c>
      <c r="B464" s="7" t="s">
        <v>2599</v>
      </c>
      <c r="C464" s="7" t="s">
        <v>2585</v>
      </c>
      <c r="D464" s="7" t="s">
        <v>2600</v>
      </c>
      <c r="E464" s="7" t="s">
        <v>108</v>
      </c>
      <c r="F464" s="7" t="s">
        <v>628</v>
      </c>
      <c r="G464" s="7" t="s">
        <v>629</v>
      </c>
      <c r="H464" s="7" t="s">
        <v>630</v>
      </c>
      <c r="I464" s="7" t="s">
        <v>2601</v>
      </c>
      <c r="J464" s="9" t="s">
        <v>2602</v>
      </c>
      <c r="K464" s="7" t="s">
        <v>2451</v>
      </c>
      <c r="L464" s="12" t="s">
        <v>186</v>
      </c>
    </row>
    <row r="465" customFormat="false" ht="69.75" hidden="false" customHeight="true" outlineLevel="0" collapsed="false">
      <c r="A465" s="7" t="s">
        <v>2603</v>
      </c>
      <c r="B465" s="7" t="s">
        <v>2604</v>
      </c>
      <c r="C465" s="7" t="s">
        <v>2585</v>
      </c>
      <c r="D465" s="7" t="s">
        <v>2605</v>
      </c>
      <c r="E465" s="7" t="s">
        <v>108</v>
      </c>
      <c r="F465" s="7" t="s">
        <v>628</v>
      </c>
      <c r="G465" s="7" t="s">
        <v>629</v>
      </c>
      <c r="H465" s="7" t="s">
        <v>630</v>
      </c>
      <c r="I465" s="7" t="s">
        <v>2606</v>
      </c>
      <c r="J465" s="9" t="s">
        <v>2607</v>
      </c>
      <c r="K465" s="7" t="s">
        <v>2451</v>
      </c>
      <c r="L465" s="10" t="s">
        <v>572</v>
      </c>
    </row>
    <row r="466" customFormat="false" ht="35.25" hidden="false" customHeight="true" outlineLevel="0" collapsed="false">
      <c r="A466" s="7" t="s">
        <v>2608</v>
      </c>
      <c r="B466" s="7" t="s">
        <v>2609</v>
      </c>
      <c r="C466" s="7" t="s">
        <v>2585</v>
      </c>
      <c r="D466" s="7" t="s">
        <v>2610</v>
      </c>
      <c r="E466" s="7" t="s">
        <v>108</v>
      </c>
      <c r="F466" s="7" t="s">
        <v>628</v>
      </c>
      <c r="G466" s="7" t="s">
        <v>2611</v>
      </c>
      <c r="H466" s="7" t="s">
        <v>2612</v>
      </c>
      <c r="I466" s="7" t="s">
        <v>2613</v>
      </c>
      <c r="J466" s="9" t="s">
        <v>2614</v>
      </c>
      <c r="K466" s="7" t="s">
        <v>2451</v>
      </c>
      <c r="L466" s="12" t="s">
        <v>186</v>
      </c>
    </row>
    <row r="467" customFormat="false" ht="52.5" hidden="false" customHeight="true" outlineLevel="0" collapsed="false">
      <c r="A467" s="7" t="s">
        <v>2615</v>
      </c>
      <c r="B467" s="7" t="s">
        <v>2616</v>
      </c>
      <c r="C467" s="7" t="s">
        <v>2585</v>
      </c>
      <c r="D467" s="7" t="s">
        <v>2617</v>
      </c>
      <c r="E467" s="7" t="s">
        <v>108</v>
      </c>
      <c r="F467" s="7" t="s">
        <v>628</v>
      </c>
      <c r="G467" s="7" t="s">
        <v>2611</v>
      </c>
      <c r="H467" s="7" t="s">
        <v>2612</v>
      </c>
      <c r="I467" s="7" t="s">
        <v>2618</v>
      </c>
      <c r="J467" s="9" t="s">
        <v>2619</v>
      </c>
      <c r="K467" s="7" t="s">
        <v>2451</v>
      </c>
      <c r="L467" s="10" t="s">
        <v>572</v>
      </c>
    </row>
    <row r="468" customFormat="false" ht="69.75" hidden="false" customHeight="true" outlineLevel="0" collapsed="false">
      <c r="A468" s="7" t="s">
        <v>2620</v>
      </c>
      <c r="B468" s="7" t="s">
        <v>2621</v>
      </c>
      <c r="C468" s="7" t="s">
        <v>2585</v>
      </c>
      <c r="D468" s="7" t="s">
        <v>2622</v>
      </c>
      <c r="E468" s="7" t="s">
        <v>108</v>
      </c>
      <c r="F468" s="7" t="s">
        <v>628</v>
      </c>
      <c r="G468" s="7" t="s">
        <v>2611</v>
      </c>
      <c r="H468" s="7" t="s">
        <v>2612</v>
      </c>
      <c r="I468" s="7" t="s">
        <v>2623</v>
      </c>
      <c r="J468" s="9" t="s">
        <v>2624</v>
      </c>
      <c r="K468" s="7" t="s">
        <v>2451</v>
      </c>
      <c r="L468" s="12" t="s">
        <v>186</v>
      </c>
    </row>
    <row r="469" customFormat="false" ht="35.25" hidden="false" customHeight="true" outlineLevel="0" collapsed="false">
      <c r="A469" s="7" t="s">
        <v>2625</v>
      </c>
      <c r="B469" s="7" t="s">
        <v>2626</v>
      </c>
      <c r="C469" s="7" t="s">
        <v>2585</v>
      </c>
      <c r="D469" s="7" t="s">
        <v>2627</v>
      </c>
      <c r="E469" s="7" t="s">
        <v>108</v>
      </c>
      <c r="F469" s="7" t="s">
        <v>748</v>
      </c>
      <c r="G469" s="7" t="s">
        <v>2447</v>
      </c>
      <c r="H469" s="7" t="s">
        <v>2448</v>
      </c>
      <c r="I469" s="7" t="s">
        <v>2628</v>
      </c>
      <c r="J469" s="9" t="s">
        <v>2629</v>
      </c>
      <c r="K469" s="7" t="s">
        <v>2630</v>
      </c>
      <c r="L469" s="12" t="s">
        <v>186</v>
      </c>
    </row>
    <row r="470" customFormat="false" ht="87" hidden="false" customHeight="true" outlineLevel="0" collapsed="false">
      <c r="A470" s="7" t="s">
        <v>2631</v>
      </c>
      <c r="B470" s="7" t="s">
        <v>2632</v>
      </c>
      <c r="C470" s="7" t="s">
        <v>2585</v>
      </c>
      <c r="D470" s="7" t="s">
        <v>2633</v>
      </c>
      <c r="E470" s="7" t="s">
        <v>108</v>
      </c>
      <c r="F470" s="7" t="s">
        <v>748</v>
      </c>
      <c r="G470" s="7" t="s">
        <v>2447</v>
      </c>
      <c r="H470" s="7" t="s">
        <v>2448</v>
      </c>
      <c r="I470" s="7" t="s">
        <v>2634</v>
      </c>
      <c r="J470" s="9" t="s">
        <v>2635</v>
      </c>
      <c r="K470" s="7" t="s">
        <v>2630</v>
      </c>
      <c r="L470" s="10" t="s">
        <v>572</v>
      </c>
    </row>
    <row r="471" customFormat="false" ht="69.75" hidden="false" customHeight="true" outlineLevel="0" collapsed="false">
      <c r="A471" s="7" t="s">
        <v>2636</v>
      </c>
      <c r="B471" s="7" t="s">
        <v>2637</v>
      </c>
      <c r="C471" s="7" t="s">
        <v>2585</v>
      </c>
      <c r="D471" s="7" t="s">
        <v>2638</v>
      </c>
      <c r="E471" s="7" t="s">
        <v>108</v>
      </c>
      <c r="F471" s="7" t="s">
        <v>748</v>
      </c>
      <c r="G471" s="7" t="s">
        <v>2447</v>
      </c>
      <c r="H471" s="7" t="s">
        <v>2448</v>
      </c>
      <c r="I471" s="7" t="s">
        <v>2639</v>
      </c>
      <c r="J471" s="9" t="s">
        <v>2640</v>
      </c>
      <c r="K471" s="7" t="s">
        <v>2630</v>
      </c>
      <c r="L471" s="10" t="s">
        <v>572</v>
      </c>
    </row>
    <row r="472" customFormat="false" ht="69.75" hidden="false" customHeight="true" outlineLevel="0" collapsed="false">
      <c r="A472" s="7" t="s">
        <v>2641</v>
      </c>
      <c r="B472" s="7" t="s">
        <v>2642</v>
      </c>
      <c r="C472" s="7" t="s">
        <v>2585</v>
      </c>
      <c r="D472" s="7" t="s">
        <v>2643</v>
      </c>
      <c r="E472" s="7" t="s">
        <v>108</v>
      </c>
      <c r="F472" s="7" t="s">
        <v>748</v>
      </c>
      <c r="G472" s="7" t="s">
        <v>2447</v>
      </c>
      <c r="H472" s="7" t="s">
        <v>2448</v>
      </c>
      <c r="I472" s="7" t="s">
        <v>2644</v>
      </c>
      <c r="J472" s="9" t="s">
        <v>2645</v>
      </c>
      <c r="K472" s="7" t="s">
        <v>2630</v>
      </c>
      <c r="L472" s="10" t="s">
        <v>572</v>
      </c>
    </row>
    <row r="473" customFormat="false" ht="69.75" hidden="false" customHeight="true" outlineLevel="0" collapsed="false">
      <c r="A473" s="7" t="s">
        <v>2646</v>
      </c>
      <c r="B473" s="7" t="s">
        <v>2647</v>
      </c>
      <c r="C473" s="7" t="s">
        <v>2585</v>
      </c>
      <c r="D473" s="7" t="s">
        <v>2648</v>
      </c>
      <c r="E473" s="7" t="s">
        <v>108</v>
      </c>
      <c r="F473" s="7" t="s">
        <v>748</v>
      </c>
      <c r="G473" s="7" t="s">
        <v>2447</v>
      </c>
      <c r="H473" s="7" t="s">
        <v>2448</v>
      </c>
      <c r="I473" s="7" t="s">
        <v>2649</v>
      </c>
      <c r="J473" s="9" t="s">
        <v>2650</v>
      </c>
      <c r="K473" s="7" t="s">
        <v>2630</v>
      </c>
      <c r="L473" s="10" t="s">
        <v>572</v>
      </c>
    </row>
    <row r="474" customFormat="false" ht="87" hidden="false" customHeight="true" outlineLevel="0" collapsed="false">
      <c r="A474" s="7" t="s">
        <v>2651</v>
      </c>
      <c r="B474" s="7" t="s">
        <v>2652</v>
      </c>
      <c r="C474" s="7" t="s">
        <v>2585</v>
      </c>
      <c r="D474" s="7" t="s">
        <v>2653</v>
      </c>
      <c r="E474" s="7" t="s">
        <v>108</v>
      </c>
      <c r="F474" s="7" t="s">
        <v>748</v>
      </c>
      <c r="G474" s="7" t="s">
        <v>2447</v>
      </c>
      <c r="H474" s="7" t="s">
        <v>2448</v>
      </c>
      <c r="I474" s="7" t="s">
        <v>2654</v>
      </c>
      <c r="J474" s="9" t="s">
        <v>2655</v>
      </c>
      <c r="K474" s="7" t="s">
        <v>2630</v>
      </c>
      <c r="L474" s="10" t="s">
        <v>572</v>
      </c>
    </row>
    <row r="475" customFormat="false" ht="35.25" hidden="false" customHeight="true" outlineLevel="0" collapsed="false">
      <c r="A475" s="7" t="s">
        <v>2656</v>
      </c>
      <c r="B475" s="7" t="s">
        <v>2657</v>
      </c>
      <c r="C475" s="7" t="s">
        <v>2585</v>
      </c>
      <c r="D475" s="7" t="s">
        <v>2658</v>
      </c>
      <c r="E475" s="7" t="s">
        <v>108</v>
      </c>
      <c r="F475" s="7" t="s">
        <v>748</v>
      </c>
      <c r="G475" s="7" t="s">
        <v>1621</v>
      </c>
      <c r="H475" s="7" t="s">
        <v>1622</v>
      </c>
      <c r="I475" s="7" t="s">
        <v>2659</v>
      </c>
      <c r="J475" s="9" t="s">
        <v>2660</v>
      </c>
      <c r="K475" s="7" t="s">
        <v>2451</v>
      </c>
      <c r="L475" s="12" t="s">
        <v>186</v>
      </c>
    </row>
    <row r="476" customFormat="false" ht="35.25" hidden="false" customHeight="true" outlineLevel="0" collapsed="false">
      <c r="A476" s="7" t="s">
        <v>2661</v>
      </c>
      <c r="B476" s="7" t="s">
        <v>2662</v>
      </c>
      <c r="C476" s="7" t="s">
        <v>2585</v>
      </c>
      <c r="D476" s="7" t="s">
        <v>2663</v>
      </c>
      <c r="E476" s="7" t="s">
        <v>108</v>
      </c>
      <c r="F476" s="7" t="s">
        <v>628</v>
      </c>
      <c r="G476" s="7" t="s">
        <v>629</v>
      </c>
      <c r="H476" s="7" t="s">
        <v>630</v>
      </c>
      <c r="I476" s="7" t="s">
        <v>2664</v>
      </c>
      <c r="J476" s="9" t="s">
        <v>2665</v>
      </c>
      <c r="K476" s="7" t="s">
        <v>2451</v>
      </c>
      <c r="L476" s="10" t="s">
        <v>572</v>
      </c>
    </row>
    <row r="477" customFormat="false" ht="69.75" hidden="false" customHeight="true" outlineLevel="0" collapsed="false">
      <c r="A477" s="7" t="s">
        <v>2666</v>
      </c>
      <c r="B477" s="7" t="s">
        <v>2667</v>
      </c>
      <c r="C477" s="7" t="s">
        <v>2585</v>
      </c>
      <c r="D477" s="7" t="s">
        <v>2668</v>
      </c>
      <c r="E477" s="7" t="s">
        <v>108</v>
      </c>
      <c r="F477" s="7" t="s">
        <v>628</v>
      </c>
      <c r="G477" s="7" t="s">
        <v>629</v>
      </c>
      <c r="H477" s="7" t="s">
        <v>630</v>
      </c>
      <c r="I477" s="7" t="s">
        <v>2669</v>
      </c>
      <c r="J477" s="9" t="s">
        <v>2670</v>
      </c>
      <c r="K477" s="7" t="s">
        <v>2451</v>
      </c>
      <c r="L477" s="10" t="s">
        <v>572</v>
      </c>
    </row>
    <row r="478" customFormat="false" ht="69.75" hidden="false" customHeight="true" outlineLevel="0" collapsed="false">
      <c r="A478" s="7" t="s">
        <v>2671</v>
      </c>
      <c r="B478" s="7" t="s">
        <v>2672</v>
      </c>
      <c r="C478" s="7" t="s">
        <v>2585</v>
      </c>
      <c r="D478" s="7" t="s">
        <v>2673</v>
      </c>
      <c r="E478" s="7" t="s">
        <v>108</v>
      </c>
      <c r="F478" s="7" t="s">
        <v>628</v>
      </c>
      <c r="G478" s="7" t="s">
        <v>629</v>
      </c>
      <c r="H478" s="7" t="s">
        <v>630</v>
      </c>
      <c r="I478" s="7" t="s">
        <v>2674</v>
      </c>
      <c r="J478" s="9" t="s">
        <v>2675</v>
      </c>
      <c r="K478" s="7" t="s">
        <v>2451</v>
      </c>
      <c r="L478" s="10" t="s">
        <v>572</v>
      </c>
    </row>
    <row r="479" customFormat="false" ht="69.75" hidden="false" customHeight="true" outlineLevel="0" collapsed="false">
      <c r="A479" s="7" t="s">
        <v>2676</v>
      </c>
      <c r="B479" s="7" t="s">
        <v>2677</v>
      </c>
      <c r="C479" s="7" t="s">
        <v>2585</v>
      </c>
      <c r="D479" s="7" t="s">
        <v>2678</v>
      </c>
      <c r="E479" s="7" t="s">
        <v>108</v>
      </c>
      <c r="F479" s="7" t="s">
        <v>628</v>
      </c>
      <c r="G479" s="7" t="s">
        <v>629</v>
      </c>
      <c r="H479" s="7" t="s">
        <v>630</v>
      </c>
      <c r="I479" s="7" t="s">
        <v>2679</v>
      </c>
      <c r="J479" s="9" t="s">
        <v>2680</v>
      </c>
      <c r="K479" s="7" t="s">
        <v>2451</v>
      </c>
      <c r="L479" s="10" t="s">
        <v>572</v>
      </c>
    </row>
    <row r="480" customFormat="false" ht="69.75" hidden="false" customHeight="true" outlineLevel="0" collapsed="false">
      <c r="A480" s="7" t="s">
        <v>2681</v>
      </c>
      <c r="B480" s="7" t="s">
        <v>2682</v>
      </c>
      <c r="C480" s="7" t="s">
        <v>2585</v>
      </c>
      <c r="D480" s="7" t="s">
        <v>2683</v>
      </c>
      <c r="E480" s="7" t="s">
        <v>108</v>
      </c>
      <c r="F480" s="7" t="s">
        <v>628</v>
      </c>
      <c r="G480" s="7" t="s">
        <v>629</v>
      </c>
      <c r="H480" s="7" t="s">
        <v>630</v>
      </c>
      <c r="I480" s="7" t="s">
        <v>2684</v>
      </c>
      <c r="J480" s="9" t="s">
        <v>2685</v>
      </c>
      <c r="K480" s="7" t="s">
        <v>2451</v>
      </c>
      <c r="L480" s="10" t="s">
        <v>572</v>
      </c>
    </row>
    <row r="481" customFormat="false" ht="52.5" hidden="false" customHeight="true" outlineLevel="0" collapsed="false">
      <c r="A481" s="7" t="s">
        <v>2686</v>
      </c>
      <c r="B481" s="7" t="s">
        <v>2687</v>
      </c>
      <c r="C481" s="7" t="s">
        <v>2688</v>
      </c>
      <c r="D481" s="7" t="s">
        <v>163</v>
      </c>
      <c r="E481" s="7" t="s">
        <v>100</v>
      </c>
      <c r="F481" s="7" t="s">
        <v>164</v>
      </c>
      <c r="G481" s="7" t="s">
        <v>165</v>
      </c>
      <c r="H481" s="7" t="s">
        <v>166</v>
      </c>
      <c r="I481" s="7" t="s">
        <v>2689</v>
      </c>
      <c r="J481" s="9" t="s">
        <v>2690</v>
      </c>
      <c r="K481" s="7" t="s">
        <v>169</v>
      </c>
      <c r="L481" s="10" t="s">
        <v>170</v>
      </c>
    </row>
    <row r="482" customFormat="false" ht="35.25" hidden="false" customHeight="true" outlineLevel="0" collapsed="false">
      <c r="A482" s="7" t="s">
        <v>2691</v>
      </c>
      <c r="B482" s="7" t="s">
        <v>2692</v>
      </c>
      <c r="C482" s="7" t="s">
        <v>2688</v>
      </c>
      <c r="D482" s="7" t="s">
        <v>2693</v>
      </c>
      <c r="E482" s="7" t="s">
        <v>108</v>
      </c>
      <c r="F482" s="7" t="s">
        <v>174</v>
      </c>
      <c r="G482" s="7" t="s">
        <v>2694</v>
      </c>
      <c r="H482" s="7" t="s">
        <v>2695</v>
      </c>
      <c r="I482" s="7" t="s">
        <v>2696</v>
      </c>
      <c r="J482" s="9" t="s">
        <v>2697</v>
      </c>
      <c r="K482" s="7" t="s">
        <v>2451</v>
      </c>
      <c r="L482" s="10" t="s">
        <v>170</v>
      </c>
    </row>
    <row r="483" customFormat="false" ht="52.5" hidden="false" customHeight="true" outlineLevel="0" collapsed="false">
      <c r="A483" s="7" t="s">
        <v>2698</v>
      </c>
      <c r="B483" s="7" t="s">
        <v>2699</v>
      </c>
      <c r="C483" s="7" t="s">
        <v>2688</v>
      </c>
      <c r="D483" s="7" t="s">
        <v>2700</v>
      </c>
      <c r="E483" s="7" t="s">
        <v>108</v>
      </c>
      <c r="F483" s="7" t="s">
        <v>174</v>
      </c>
      <c r="G483" s="7" t="s">
        <v>2694</v>
      </c>
      <c r="H483" s="7" t="s">
        <v>2695</v>
      </c>
      <c r="I483" s="7" t="s">
        <v>2701</v>
      </c>
      <c r="J483" s="9" t="s">
        <v>2702</v>
      </c>
      <c r="K483" s="7" t="s">
        <v>2451</v>
      </c>
      <c r="L483" s="10" t="s">
        <v>170</v>
      </c>
    </row>
    <row r="484" customFormat="false" ht="52.5" hidden="false" customHeight="true" outlineLevel="0" collapsed="false">
      <c r="A484" s="7" t="s">
        <v>2703</v>
      </c>
      <c r="B484" s="7" t="s">
        <v>2704</v>
      </c>
      <c r="C484" s="7" t="s">
        <v>2688</v>
      </c>
      <c r="D484" s="7" t="s">
        <v>2705</v>
      </c>
      <c r="E484" s="7" t="s">
        <v>108</v>
      </c>
      <c r="F484" s="7" t="s">
        <v>174</v>
      </c>
      <c r="G484" s="7" t="s">
        <v>2694</v>
      </c>
      <c r="H484" s="7" t="s">
        <v>2695</v>
      </c>
      <c r="I484" s="7" t="s">
        <v>2706</v>
      </c>
      <c r="J484" s="9" t="s">
        <v>2707</v>
      </c>
      <c r="K484" s="7" t="s">
        <v>2451</v>
      </c>
      <c r="L484" s="10" t="s">
        <v>170</v>
      </c>
    </row>
    <row r="485" customFormat="false" ht="52.5" hidden="false" customHeight="true" outlineLevel="0" collapsed="false">
      <c r="A485" s="7" t="s">
        <v>2708</v>
      </c>
      <c r="B485" s="7" t="s">
        <v>2709</v>
      </c>
      <c r="C485" s="7" t="s">
        <v>2688</v>
      </c>
      <c r="D485" s="7" t="s">
        <v>2710</v>
      </c>
      <c r="E485" s="7" t="s">
        <v>108</v>
      </c>
      <c r="F485" s="7" t="s">
        <v>174</v>
      </c>
      <c r="G485" s="7" t="s">
        <v>2694</v>
      </c>
      <c r="H485" s="7" t="s">
        <v>2695</v>
      </c>
      <c r="I485" s="7" t="s">
        <v>2711</v>
      </c>
      <c r="J485" s="9" t="s">
        <v>2712</v>
      </c>
      <c r="K485" s="7" t="s">
        <v>2451</v>
      </c>
      <c r="L485" s="10" t="s">
        <v>170</v>
      </c>
    </row>
    <row r="486" customFormat="false" ht="35.25" hidden="false" customHeight="true" outlineLevel="0" collapsed="false">
      <c r="A486" s="7" t="s">
        <v>2713</v>
      </c>
      <c r="B486" s="7" t="s">
        <v>2714</v>
      </c>
      <c r="C486" s="7" t="s">
        <v>2688</v>
      </c>
      <c r="D486" s="7" t="s">
        <v>2715</v>
      </c>
      <c r="E486" s="7" t="s">
        <v>108</v>
      </c>
      <c r="F486" s="7" t="s">
        <v>174</v>
      </c>
      <c r="G486" s="7" t="s">
        <v>2694</v>
      </c>
      <c r="H486" s="7" t="s">
        <v>2695</v>
      </c>
      <c r="I486" s="7" t="s">
        <v>2716</v>
      </c>
      <c r="J486" s="9" t="s">
        <v>2717</v>
      </c>
      <c r="K486" s="7" t="s">
        <v>2451</v>
      </c>
      <c r="L486" s="10" t="s">
        <v>572</v>
      </c>
    </row>
    <row r="487" customFormat="false" ht="69.75" hidden="false" customHeight="true" outlineLevel="0" collapsed="false">
      <c r="A487" s="7" t="s">
        <v>2718</v>
      </c>
      <c r="B487" s="7" t="s">
        <v>2719</v>
      </c>
      <c r="C487" s="7" t="s">
        <v>2688</v>
      </c>
      <c r="D487" s="7" t="s">
        <v>2720</v>
      </c>
      <c r="E487" s="7" t="s">
        <v>108</v>
      </c>
      <c r="F487" s="7" t="s">
        <v>174</v>
      </c>
      <c r="G487" s="7" t="s">
        <v>2694</v>
      </c>
      <c r="H487" s="7" t="s">
        <v>2695</v>
      </c>
      <c r="I487" s="7" t="s">
        <v>2721</v>
      </c>
      <c r="J487" s="9" t="s">
        <v>2722</v>
      </c>
      <c r="K487" s="7" t="s">
        <v>2451</v>
      </c>
      <c r="L487" s="10" t="s">
        <v>572</v>
      </c>
    </row>
    <row r="488" customFormat="false" ht="69.75" hidden="false" customHeight="true" outlineLevel="0" collapsed="false">
      <c r="A488" s="7" t="s">
        <v>2723</v>
      </c>
      <c r="B488" s="7" t="s">
        <v>2724</v>
      </c>
      <c r="C488" s="7" t="s">
        <v>2688</v>
      </c>
      <c r="D488" s="7" t="s">
        <v>2725</v>
      </c>
      <c r="E488" s="7" t="s">
        <v>108</v>
      </c>
      <c r="F488" s="7" t="s">
        <v>174</v>
      </c>
      <c r="G488" s="7" t="s">
        <v>2694</v>
      </c>
      <c r="H488" s="7" t="s">
        <v>2695</v>
      </c>
      <c r="I488" s="7" t="s">
        <v>2726</v>
      </c>
      <c r="J488" s="9" t="s">
        <v>2727</v>
      </c>
      <c r="K488" s="7" t="s">
        <v>2451</v>
      </c>
      <c r="L488" s="10" t="s">
        <v>572</v>
      </c>
    </row>
    <row r="489" customFormat="false" ht="69.75" hidden="false" customHeight="true" outlineLevel="0" collapsed="false">
      <c r="A489" s="7" t="s">
        <v>2728</v>
      </c>
      <c r="B489" s="7" t="s">
        <v>2729</v>
      </c>
      <c r="C489" s="7" t="s">
        <v>2688</v>
      </c>
      <c r="D489" s="7" t="s">
        <v>2730</v>
      </c>
      <c r="E489" s="7" t="s">
        <v>108</v>
      </c>
      <c r="F489" s="7" t="s">
        <v>174</v>
      </c>
      <c r="G489" s="7" t="s">
        <v>2694</v>
      </c>
      <c r="H489" s="7" t="s">
        <v>2695</v>
      </c>
      <c r="I489" s="7" t="s">
        <v>2731</v>
      </c>
      <c r="J489" s="9" t="s">
        <v>2732</v>
      </c>
      <c r="K489" s="7" t="s">
        <v>2451</v>
      </c>
      <c r="L489" s="10" t="s">
        <v>572</v>
      </c>
    </row>
    <row r="490" customFormat="false" ht="69.75" hidden="false" customHeight="true" outlineLevel="0" collapsed="false">
      <c r="A490" s="7" t="s">
        <v>2733</v>
      </c>
      <c r="B490" s="7" t="s">
        <v>2734</v>
      </c>
      <c r="C490" s="7" t="s">
        <v>2688</v>
      </c>
      <c r="D490" s="7" t="s">
        <v>2735</v>
      </c>
      <c r="E490" s="7" t="s">
        <v>108</v>
      </c>
      <c r="F490" s="7" t="s">
        <v>174</v>
      </c>
      <c r="G490" s="7" t="s">
        <v>2694</v>
      </c>
      <c r="H490" s="7" t="s">
        <v>2695</v>
      </c>
      <c r="I490" s="7" t="s">
        <v>2736</v>
      </c>
      <c r="J490" s="9" t="s">
        <v>2737</v>
      </c>
      <c r="K490" s="7" t="s">
        <v>2451</v>
      </c>
      <c r="L490" s="10" t="s">
        <v>572</v>
      </c>
    </row>
    <row r="491" customFormat="false" ht="69.75" hidden="false" customHeight="true" outlineLevel="0" collapsed="false">
      <c r="A491" s="7" t="s">
        <v>2738</v>
      </c>
      <c r="B491" s="7" t="s">
        <v>2739</v>
      </c>
      <c r="C491" s="7" t="s">
        <v>2688</v>
      </c>
      <c r="D491" s="7" t="s">
        <v>2740</v>
      </c>
      <c r="E491" s="7" t="s">
        <v>108</v>
      </c>
      <c r="F491" s="7" t="s">
        <v>174</v>
      </c>
      <c r="G491" s="7" t="s">
        <v>2694</v>
      </c>
      <c r="H491" s="7" t="s">
        <v>2695</v>
      </c>
      <c r="I491" s="7" t="s">
        <v>2741</v>
      </c>
      <c r="J491" s="9" t="s">
        <v>2742</v>
      </c>
      <c r="K491" s="7" t="s">
        <v>2451</v>
      </c>
      <c r="L491" s="10" t="s">
        <v>572</v>
      </c>
    </row>
    <row r="492" customFormat="false" ht="69.75" hidden="false" customHeight="true" outlineLevel="0" collapsed="false">
      <c r="A492" s="7" t="s">
        <v>2743</v>
      </c>
      <c r="B492" s="7" t="s">
        <v>2744</v>
      </c>
      <c r="C492" s="7" t="s">
        <v>2688</v>
      </c>
      <c r="D492" s="7" t="s">
        <v>2745</v>
      </c>
      <c r="E492" s="7" t="s">
        <v>108</v>
      </c>
      <c r="F492" s="7" t="s">
        <v>174</v>
      </c>
      <c r="G492" s="7" t="s">
        <v>2694</v>
      </c>
      <c r="H492" s="7" t="s">
        <v>2695</v>
      </c>
      <c r="I492" s="7" t="s">
        <v>2746</v>
      </c>
      <c r="J492" s="9" t="s">
        <v>2747</v>
      </c>
      <c r="K492" s="7" t="s">
        <v>2451</v>
      </c>
      <c r="L492" s="10" t="s">
        <v>572</v>
      </c>
    </row>
    <row r="493" customFormat="false" ht="35.25" hidden="false" customHeight="true" outlineLevel="0" collapsed="false">
      <c r="A493" s="7" t="s">
        <v>2748</v>
      </c>
      <c r="B493" s="7" t="s">
        <v>2749</v>
      </c>
      <c r="C493" s="7" t="s">
        <v>2688</v>
      </c>
      <c r="D493" s="7" t="s">
        <v>2750</v>
      </c>
      <c r="E493" s="7" t="s">
        <v>108</v>
      </c>
      <c r="F493" s="7" t="s">
        <v>174</v>
      </c>
      <c r="G493" s="7" t="s">
        <v>2694</v>
      </c>
      <c r="H493" s="7" t="s">
        <v>2695</v>
      </c>
      <c r="I493" s="7" t="s">
        <v>2751</v>
      </c>
      <c r="J493" s="9" t="s">
        <v>2752</v>
      </c>
      <c r="K493" s="7" t="s">
        <v>2451</v>
      </c>
      <c r="L493" s="10" t="s">
        <v>572</v>
      </c>
    </row>
    <row r="494" customFormat="false" ht="35.25" hidden="false" customHeight="true" outlineLevel="0" collapsed="false">
      <c r="A494" s="7" t="s">
        <v>2753</v>
      </c>
      <c r="B494" s="7" t="s">
        <v>2754</v>
      </c>
      <c r="C494" s="7" t="s">
        <v>2688</v>
      </c>
      <c r="D494" s="7" t="s">
        <v>2755</v>
      </c>
      <c r="E494" s="7" t="s">
        <v>108</v>
      </c>
      <c r="F494" s="7" t="s">
        <v>174</v>
      </c>
      <c r="G494" s="7" t="s">
        <v>2694</v>
      </c>
      <c r="H494" s="7" t="s">
        <v>2695</v>
      </c>
      <c r="I494" s="7" t="s">
        <v>2756</v>
      </c>
      <c r="J494" s="9" t="s">
        <v>2757</v>
      </c>
      <c r="K494" s="7" t="s">
        <v>2451</v>
      </c>
      <c r="L494" s="10" t="s">
        <v>572</v>
      </c>
    </row>
    <row r="495" customFormat="false" ht="69.75" hidden="false" customHeight="true" outlineLevel="0" collapsed="false">
      <c r="A495" s="7" t="s">
        <v>2758</v>
      </c>
      <c r="B495" s="7" t="s">
        <v>2759</v>
      </c>
      <c r="C495" s="7" t="s">
        <v>2688</v>
      </c>
      <c r="D495" s="7" t="s">
        <v>2760</v>
      </c>
      <c r="E495" s="7" t="s">
        <v>108</v>
      </c>
      <c r="F495" s="7" t="s">
        <v>174</v>
      </c>
      <c r="G495" s="7" t="s">
        <v>2694</v>
      </c>
      <c r="H495" s="7" t="s">
        <v>2695</v>
      </c>
      <c r="I495" s="7" t="s">
        <v>2761</v>
      </c>
      <c r="J495" s="9" t="s">
        <v>2762</v>
      </c>
      <c r="K495" s="7" t="s">
        <v>2451</v>
      </c>
      <c r="L495" s="10" t="s">
        <v>572</v>
      </c>
    </row>
    <row r="496" customFormat="false" ht="35.25" hidden="false" customHeight="true" outlineLevel="0" collapsed="false">
      <c r="A496" s="7" t="s">
        <v>2763</v>
      </c>
      <c r="B496" s="7" t="s">
        <v>2764</v>
      </c>
      <c r="C496" s="7" t="s">
        <v>2688</v>
      </c>
      <c r="D496" s="7" t="s">
        <v>2765</v>
      </c>
      <c r="E496" s="7" t="s">
        <v>112</v>
      </c>
      <c r="F496" s="7" t="s">
        <v>566</v>
      </c>
      <c r="G496" s="7" t="s">
        <v>2766</v>
      </c>
      <c r="H496" s="7" t="s">
        <v>2767</v>
      </c>
      <c r="I496" s="7" t="s">
        <v>2768</v>
      </c>
      <c r="J496" s="9" t="s">
        <v>2769</v>
      </c>
      <c r="K496" s="7" t="s">
        <v>2451</v>
      </c>
      <c r="L496" s="10" t="s">
        <v>572</v>
      </c>
    </row>
    <row r="497" customFormat="false" ht="69.75" hidden="false" customHeight="true" outlineLevel="0" collapsed="false">
      <c r="A497" s="7" t="s">
        <v>2770</v>
      </c>
      <c r="B497" s="7" t="s">
        <v>2771</v>
      </c>
      <c r="C497" s="7" t="s">
        <v>2688</v>
      </c>
      <c r="D497" s="7" t="s">
        <v>2772</v>
      </c>
      <c r="E497" s="7" t="s">
        <v>112</v>
      </c>
      <c r="F497" s="7" t="s">
        <v>566</v>
      </c>
      <c r="G497" s="7" t="s">
        <v>2766</v>
      </c>
      <c r="H497" s="7" t="s">
        <v>2767</v>
      </c>
      <c r="I497" s="7" t="s">
        <v>2773</v>
      </c>
      <c r="J497" s="9" t="s">
        <v>2774</v>
      </c>
      <c r="K497" s="7" t="s">
        <v>2451</v>
      </c>
      <c r="L497" s="10" t="s">
        <v>572</v>
      </c>
    </row>
    <row r="498" customFormat="false" ht="69.75" hidden="false" customHeight="true" outlineLevel="0" collapsed="false">
      <c r="A498" s="7" t="s">
        <v>2775</v>
      </c>
      <c r="B498" s="7" t="s">
        <v>2776</v>
      </c>
      <c r="C498" s="7" t="s">
        <v>2688</v>
      </c>
      <c r="D498" s="7" t="s">
        <v>2777</v>
      </c>
      <c r="E498" s="7" t="s">
        <v>112</v>
      </c>
      <c r="F498" s="7" t="s">
        <v>566</v>
      </c>
      <c r="G498" s="7" t="s">
        <v>2766</v>
      </c>
      <c r="H498" s="7" t="s">
        <v>2767</v>
      </c>
      <c r="I498" s="7" t="s">
        <v>2778</v>
      </c>
      <c r="J498" s="9" t="s">
        <v>2779</v>
      </c>
      <c r="K498" s="7" t="s">
        <v>2451</v>
      </c>
      <c r="L498" s="10" t="s">
        <v>572</v>
      </c>
    </row>
    <row r="499" customFormat="false" ht="69.75" hidden="false" customHeight="true" outlineLevel="0" collapsed="false">
      <c r="A499" s="7" t="s">
        <v>2780</v>
      </c>
      <c r="B499" s="7" t="s">
        <v>2781</v>
      </c>
      <c r="C499" s="7" t="s">
        <v>2688</v>
      </c>
      <c r="D499" s="7" t="s">
        <v>2782</v>
      </c>
      <c r="E499" s="7" t="s">
        <v>112</v>
      </c>
      <c r="F499" s="7" t="s">
        <v>566</v>
      </c>
      <c r="G499" s="7" t="s">
        <v>2766</v>
      </c>
      <c r="H499" s="7" t="s">
        <v>2767</v>
      </c>
      <c r="I499" s="7" t="s">
        <v>2783</v>
      </c>
      <c r="J499" s="9" t="s">
        <v>2784</v>
      </c>
      <c r="K499" s="7" t="s">
        <v>2451</v>
      </c>
      <c r="L499" s="10" t="s">
        <v>572</v>
      </c>
    </row>
    <row r="500" customFormat="false" ht="69.75" hidden="false" customHeight="true" outlineLevel="0" collapsed="false">
      <c r="A500" s="7" t="s">
        <v>2785</v>
      </c>
      <c r="B500" s="7" t="s">
        <v>2786</v>
      </c>
      <c r="C500" s="7" t="s">
        <v>2688</v>
      </c>
      <c r="D500" s="7" t="s">
        <v>2787</v>
      </c>
      <c r="E500" s="7" t="s">
        <v>112</v>
      </c>
      <c r="F500" s="7" t="s">
        <v>566</v>
      </c>
      <c r="G500" s="7" t="s">
        <v>2766</v>
      </c>
      <c r="H500" s="7" t="s">
        <v>2767</v>
      </c>
      <c r="I500" s="7" t="s">
        <v>2788</v>
      </c>
      <c r="J500" s="9" t="s">
        <v>2789</v>
      </c>
      <c r="K500" s="7" t="s">
        <v>2451</v>
      </c>
      <c r="L500" s="10" t="s">
        <v>572</v>
      </c>
    </row>
    <row r="501" customFormat="false" ht="35.25" hidden="false" customHeight="true" outlineLevel="0" collapsed="false">
      <c r="A501" s="7" t="s">
        <v>2790</v>
      </c>
      <c r="B501" s="7" t="s">
        <v>2791</v>
      </c>
      <c r="C501" s="7" t="s">
        <v>2688</v>
      </c>
      <c r="D501" s="7" t="s">
        <v>2792</v>
      </c>
      <c r="E501" s="7" t="s">
        <v>108</v>
      </c>
      <c r="F501" s="7" t="s">
        <v>174</v>
      </c>
      <c r="G501" s="7" t="s">
        <v>2694</v>
      </c>
      <c r="H501" s="7" t="s">
        <v>2695</v>
      </c>
      <c r="I501" s="7" t="s">
        <v>2793</v>
      </c>
      <c r="J501" s="9" t="s">
        <v>2794</v>
      </c>
      <c r="K501" s="7" t="s">
        <v>2451</v>
      </c>
      <c r="L501" s="10" t="s">
        <v>170</v>
      </c>
    </row>
    <row r="502" customFormat="false" ht="35.25" hidden="false" customHeight="true" outlineLevel="0" collapsed="false">
      <c r="A502" s="7" t="s">
        <v>2795</v>
      </c>
      <c r="B502" s="7" t="s">
        <v>2796</v>
      </c>
      <c r="C502" s="7" t="s">
        <v>2688</v>
      </c>
      <c r="D502" s="7" t="s">
        <v>2797</v>
      </c>
      <c r="E502" s="7" t="s">
        <v>108</v>
      </c>
      <c r="F502" s="7" t="s">
        <v>174</v>
      </c>
      <c r="G502" s="7" t="s">
        <v>2694</v>
      </c>
      <c r="H502" s="7" t="s">
        <v>2695</v>
      </c>
      <c r="I502" s="7" t="s">
        <v>2798</v>
      </c>
      <c r="J502" s="9" t="s">
        <v>2799</v>
      </c>
      <c r="K502" s="7" t="s">
        <v>2451</v>
      </c>
      <c r="L502" s="10" t="s">
        <v>170</v>
      </c>
    </row>
    <row r="503" customFormat="false" ht="35.25" hidden="false" customHeight="true" outlineLevel="0" collapsed="false">
      <c r="A503" s="7" t="s">
        <v>2800</v>
      </c>
      <c r="B503" s="7" t="s">
        <v>2801</v>
      </c>
      <c r="C503" s="7" t="s">
        <v>2688</v>
      </c>
      <c r="D503" s="7" t="s">
        <v>2802</v>
      </c>
      <c r="E503" s="7" t="s">
        <v>108</v>
      </c>
      <c r="F503" s="7" t="s">
        <v>174</v>
      </c>
      <c r="G503" s="7" t="s">
        <v>2694</v>
      </c>
      <c r="H503" s="7" t="s">
        <v>2695</v>
      </c>
      <c r="I503" s="7" t="s">
        <v>2803</v>
      </c>
      <c r="J503" s="9" t="s">
        <v>2804</v>
      </c>
      <c r="K503" s="7" t="s">
        <v>2451</v>
      </c>
      <c r="L503" s="10" t="s">
        <v>170</v>
      </c>
    </row>
    <row r="504" customFormat="false" ht="35.25" hidden="false" customHeight="true" outlineLevel="0" collapsed="false">
      <c r="A504" s="7" t="s">
        <v>2805</v>
      </c>
      <c r="B504" s="7" t="s">
        <v>2806</v>
      </c>
      <c r="C504" s="7" t="s">
        <v>2688</v>
      </c>
      <c r="D504" s="7" t="s">
        <v>2807</v>
      </c>
      <c r="E504" s="7" t="s">
        <v>108</v>
      </c>
      <c r="F504" s="7" t="s">
        <v>318</v>
      </c>
      <c r="G504" s="7" t="s">
        <v>2808</v>
      </c>
      <c r="H504" s="7" t="s">
        <v>2809</v>
      </c>
      <c r="I504" s="7" t="s">
        <v>2810</v>
      </c>
      <c r="J504" s="9" t="s">
        <v>2811</v>
      </c>
      <c r="K504" s="7" t="s">
        <v>2451</v>
      </c>
      <c r="L504" s="10" t="s">
        <v>572</v>
      </c>
    </row>
    <row r="505" customFormat="false" ht="69.75" hidden="false" customHeight="true" outlineLevel="0" collapsed="false">
      <c r="A505" s="7" t="s">
        <v>2812</v>
      </c>
      <c r="B505" s="7" t="s">
        <v>2813</v>
      </c>
      <c r="C505" s="7" t="s">
        <v>2688</v>
      </c>
      <c r="D505" s="7" t="s">
        <v>2814</v>
      </c>
      <c r="E505" s="7" t="s">
        <v>108</v>
      </c>
      <c r="F505" s="7" t="s">
        <v>318</v>
      </c>
      <c r="G505" s="7" t="s">
        <v>2808</v>
      </c>
      <c r="H505" s="7" t="s">
        <v>2809</v>
      </c>
      <c r="I505" s="7" t="s">
        <v>2815</v>
      </c>
      <c r="J505" s="9" t="s">
        <v>2816</v>
      </c>
      <c r="K505" s="7" t="s">
        <v>2451</v>
      </c>
      <c r="L505" s="10" t="s">
        <v>572</v>
      </c>
    </row>
    <row r="506" customFormat="false" ht="69.75" hidden="false" customHeight="true" outlineLevel="0" collapsed="false">
      <c r="A506" s="7" t="s">
        <v>2817</v>
      </c>
      <c r="B506" s="7" t="s">
        <v>2818</v>
      </c>
      <c r="C506" s="7" t="s">
        <v>2688</v>
      </c>
      <c r="D506" s="7" t="s">
        <v>2819</v>
      </c>
      <c r="E506" s="7" t="s">
        <v>108</v>
      </c>
      <c r="F506" s="7" t="s">
        <v>318</v>
      </c>
      <c r="G506" s="7" t="s">
        <v>2808</v>
      </c>
      <c r="H506" s="7" t="s">
        <v>2809</v>
      </c>
      <c r="I506" s="7" t="s">
        <v>2820</v>
      </c>
      <c r="J506" s="9" t="s">
        <v>2821</v>
      </c>
      <c r="K506" s="7" t="s">
        <v>2451</v>
      </c>
      <c r="L506" s="10" t="s">
        <v>572</v>
      </c>
    </row>
    <row r="507" customFormat="false" ht="35.25" hidden="false" customHeight="true" outlineLevel="0" collapsed="false">
      <c r="A507" s="7" t="s">
        <v>2822</v>
      </c>
      <c r="B507" s="7" t="s">
        <v>2823</v>
      </c>
      <c r="C507" s="7" t="s">
        <v>2688</v>
      </c>
      <c r="D507" s="7" t="s">
        <v>2824</v>
      </c>
      <c r="E507" s="7" t="s">
        <v>108</v>
      </c>
      <c r="F507" s="7" t="s">
        <v>318</v>
      </c>
      <c r="G507" s="7" t="s">
        <v>2808</v>
      </c>
      <c r="H507" s="7" t="s">
        <v>2809</v>
      </c>
      <c r="I507" s="7" t="s">
        <v>2825</v>
      </c>
      <c r="J507" s="9" t="s">
        <v>2826</v>
      </c>
      <c r="K507" s="7" t="s">
        <v>2451</v>
      </c>
      <c r="L507" s="10" t="s">
        <v>572</v>
      </c>
    </row>
    <row r="508" customFormat="false" ht="35.25" hidden="false" customHeight="true" outlineLevel="0" collapsed="false">
      <c r="A508" s="7" t="s">
        <v>2827</v>
      </c>
      <c r="B508" s="7" t="s">
        <v>2828</v>
      </c>
      <c r="C508" s="7" t="s">
        <v>2688</v>
      </c>
      <c r="D508" s="7" t="s">
        <v>2829</v>
      </c>
      <c r="E508" s="7" t="s">
        <v>108</v>
      </c>
      <c r="F508" s="7" t="s">
        <v>318</v>
      </c>
      <c r="G508" s="7" t="s">
        <v>2808</v>
      </c>
      <c r="H508" s="7" t="s">
        <v>2809</v>
      </c>
      <c r="I508" s="7" t="s">
        <v>2830</v>
      </c>
      <c r="J508" s="9" t="s">
        <v>2831</v>
      </c>
      <c r="K508" s="7" t="s">
        <v>2451</v>
      </c>
      <c r="L508" s="10" t="s">
        <v>572</v>
      </c>
    </row>
    <row r="509" customFormat="false" ht="69.75" hidden="false" customHeight="true" outlineLevel="0" collapsed="false">
      <c r="A509" s="7" t="s">
        <v>2832</v>
      </c>
      <c r="B509" s="7" t="s">
        <v>2833</v>
      </c>
      <c r="C509" s="7" t="s">
        <v>2688</v>
      </c>
      <c r="D509" s="7" t="s">
        <v>2834</v>
      </c>
      <c r="E509" s="7" t="s">
        <v>108</v>
      </c>
      <c r="F509" s="7" t="s">
        <v>318</v>
      </c>
      <c r="G509" s="7" t="s">
        <v>2808</v>
      </c>
      <c r="H509" s="7" t="s">
        <v>2809</v>
      </c>
      <c r="I509" s="7" t="s">
        <v>2835</v>
      </c>
      <c r="J509" s="9" t="s">
        <v>2836</v>
      </c>
      <c r="K509" s="7" t="s">
        <v>2451</v>
      </c>
      <c r="L509" s="10" t="s">
        <v>572</v>
      </c>
    </row>
    <row r="510" customFormat="false" ht="69.75" hidden="false" customHeight="true" outlineLevel="0" collapsed="false">
      <c r="A510" s="7" t="s">
        <v>2837</v>
      </c>
      <c r="B510" s="7" t="s">
        <v>2838</v>
      </c>
      <c r="C510" s="7" t="s">
        <v>2688</v>
      </c>
      <c r="D510" s="7" t="s">
        <v>2839</v>
      </c>
      <c r="E510" s="7" t="s">
        <v>108</v>
      </c>
      <c r="F510" s="7" t="s">
        <v>318</v>
      </c>
      <c r="G510" s="7" t="s">
        <v>2808</v>
      </c>
      <c r="H510" s="7" t="s">
        <v>2809</v>
      </c>
      <c r="I510" s="7" t="s">
        <v>2840</v>
      </c>
      <c r="J510" s="9" t="s">
        <v>2841</v>
      </c>
      <c r="K510" s="7" t="s">
        <v>2451</v>
      </c>
      <c r="L510" s="10" t="s">
        <v>572</v>
      </c>
    </row>
    <row r="511" customFormat="false" ht="35.25" hidden="false" customHeight="true" outlineLevel="0" collapsed="false">
      <c r="A511" s="7" t="s">
        <v>2842</v>
      </c>
      <c r="B511" s="7" t="s">
        <v>2843</v>
      </c>
      <c r="C511" s="7" t="s">
        <v>2688</v>
      </c>
      <c r="D511" s="7" t="s">
        <v>2844</v>
      </c>
      <c r="E511" s="7" t="s">
        <v>108</v>
      </c>
      <c r="F511" s="7" t="s">
        <v>318</v>
      </c>
      <c r="G511" s="7" t="s">
        <v>2808</v>
      </c>
      <c r="H511" s="7" t="s">
        <v>2809</v>
      </c>
      <c r="I511" s="7" t="s">
        <v>2845</v>
      </c>
      <c r="J511" s="9" t="s">
        <v>2846</v>
      </c>
      <c r="K511" s="7" t="s">
        <v>2451</v>
      </c>
      <c r="L511" s="10" t="s">
        <v>572</v>
      </c>
    </row>
    <row r="512" customFormat="false" ht="69.75" hidden="false" customHeight="true" outlineLevel="0" collapsed="false">
      <c r="A512" s="7" t="s">
        <v>2847</v>
      </c>
      <c r="B512" s="7" t="s">
        <v>2848</v>
      </c>
      <c r="C512" s="7" t="s">
        <v>2688</v>
      </c>
      <c r="D512" s="7" t="s">
        <v>2849</v>
      </c>
      <c r="E512" s="7" t="s">
        <v>108</v>
      </c>
      <c r="F512" s="7" t="s">
        <v>318</v>
      </c>
      <c r="G512" s="7" t="s">
        <v>2808</v>
      </c>
      <c r="H512" s="7" t="s">
        <v>2809</v>
      </c>
      <c r="I512" s="7" t="s">
        <v>2850</v>
      </c>
      <c r="J512" s="9" t="s">
        <v>2851</v>
      </c>
      <c r="K512" s="7" t="s">
        <v>2451</v>
      </c>
      <c r="L512" s="10" t="s">
        <v>572</v>
      </c>
    </row>
    <row r="513" customFormat="false" ht="35.25" hidden="false" customHeight="true" outlineLevel="0" collapsed="false">
      <c r="A513" s="7" t="s">
        <v>2852</v>
      </c>
      <c r="B513" s="7" t="s">
        <v>2853</v>
      </c>
      <c r="C513" s="7" t="s">
        <v>2688</v>
      </c>
      <c r="D513" s="7" t="s">
        <v>2854</v>
      </c>
      <c r="E513" s="7" t="s">
        <v>108</v>
      </c>
      <c r="F513" s="7" t="s">
        <v>318</v>
      </c>
      <c r="G513" s="7" t="s">
        <v>2808</v>
      </c>
      <c r="H513" s="7" t="s">
        <v>2809</v>
      </c>
      <c r="I513" s="7" t="s">
        <v>2855</v>
      </c>
      <c r="J513" s="9" t="s">
        <v>2856</v>
      </c>
      <c r="K513" s="7" t="s">
        <v>2451</v>
      </c>
      <c r="L513" s="10" t="s">
        <v>572</v>
      </c>
    </row>
    <row r="514" customFormat="false" ht="69.75" hidden="false" customHeight="true" outlineLevel="0" collapsed="false">
      <c r="A514" s="7" t="s">
        <v>2857</v>
      </c>
      <c r="B514" s="7" t="s">
        <v>2858</v>
      </c>
      <c r="C514" s="7" t="s">
        <v>2688</v>
      </c>
      <c r="D514" s="7" t="s">
        <v>2859</v>
      </c>
      <c r="E514" s="7" t="s">
        <v>108</v>
      </c>
      <c r="F514" s="7" t="s">
        <v>318</v>
      </c>
      <c r="G514" s="7" t="s">
        <v>2808</v>
      </c>
      <c r="H514" s="7" t="s">
        <v>2809</v>
      </c>
      <c r="I514" s="7" t="s">
        <v>2860</v>
      </c>
      <c r="J514" s="9" t="s">
        <v>2861</v>
      </c>
      <c r="K514" s="7" t="s">
        <v>2451</v>
      </c>
      <c r="L514" s="10" t="s">
        <v>572</v>
      </c>
    </row>
    <row r="515" customFormat="false" ht="52.5" hidden="false" customHeight="true" outlineLevel="0" collapsed="false">
      <c r="A515" s="7" t="s">
        <v>2862</v>
      </c>
      <c r="B515" s="7" t="s">
        <v>2863</v>
      </c>
      <c r="C515" s="7" t="s">
        <v>2688</v>
      </c>
      <c r="D515" s="7" t="s">
        <v>2864</v>
      </c>
      <c r="E515" s="7" t="s">
        <v>108</v>
      </c>
      <c r="F515" s="7" t="s">
        <v>318</v>
      </c>
      <c r="G515" s="7" t="s">
        <v>2808</v>
      </c>
      <c r="H515" s="7" t="s">
        <v>2809</v>
      </c>
      <c r="I515" s="7" t="s">
        <v>2865</v>
      </c>
      <c r="J515" s="9" t="s">
        <v>2866</v>
      </c>
      <c r="K515" s="7" t="s">
        <v>2451</v>
      </c>
      <c r="L515" s="10" t="s">
        <v>572</v>
      </c>
    </row>
    <row r="516" customFormat="false" ht="35.25" hidden="false" customHeight="true" outlineLevel="0" collapsed="false">
      <c r="A516" s="7" t="s">
        <v>2867</v>
      </c>
      <c r="B516" s="7" t="s">
        <v>2868</v>
      </c>
      <c r="C516" s="7" t="s">
        <v>2688</v>
      </c>
      <c r="D516" s="7" t="s">
        <v>2869</v>
      </c>
      <c r="E516" s="7" t="s">
        <v>108</v>
      </c>
      <c r="F516" s="7" t="s">
        <v>318</v>
      </c>
      <c r="G516" s="7" t="s">
        <v>2808</v>
      </c>
      <c r="H516" s="7" t="s">
        <v>2809</v>
      </c>
      <c r="I516" s="7" t="s">
        <v>2870</v>
      </c>
      <c r="J516" s="9" t="s">
        <v>2871</v>
      </c>
      <c r="K516" s="7" t="s">
        <v>2451</v>
      </c>
      <c r="L516" s="10" t="s">
        <v>572</v>
      </c>
    </row>
    <row r="517" customFormat="false" ht="69.75" hidden="false" customHeight="true" outlineLevel="0" collapsed="false">
      <c r="A517" s="7" t="s">
        <v>2872</v>
      </c>
      <c r="B517" s="7" t="s">
        <v>2873</v>
      </c>
      <c r="C517" s="7" t="s">
        <v>2688</v>
      </c>
      <c r="D517" s="7" t="s">
        <v>2874</v>
      </c>
      <c r="E517" s="7" t="s">
        <v>108</v>
      </c>
      <c r="F517" s="7" t="s">
        <v>318</v>
      </c>
      <c r="G517" s="7" t="s">
        <v>2808</v>
      </c>
      <c r="H517" s="7" t="s">
        <v>2809</v>
      </c>
      <c r="I517" s="7" t="s">
        <v>2875</v>
      </c>
      <c r="J517" s="9" t="s">
        <v>2876</v>
      </c>
      <c r="K517" s="7" t="s">
        <v>2451</v>
      </c>
      <c r="L517" s="10" t="s">
        <v>572</v>
      </c>
    </row>
    <row r="518" customFormat="false" ht="69.75" hidden="false" customHeight="true" outlineLevel="0" collapsed="false">
      <c r="A518" s="7" t="s">
        <v>2877</v>
      </c>
      <c r="B518" s="7" t="s">
        <v>2878</v>
      </c>
      <c r="C518" s="7" t="s">
        <v>2688</v>
      </c>
      <c r="D518" s="7" t="s">
        <v>2879</v>
      </c>
      <c r="E518" s="7" t="s">
        <v>108</v>
      </c>
      <c r="F518" s="7" t="s">
        <v>318</v>
      </c>
      <c r="G518" s="7" t="s">
        <v>2808</v>
      </c>
      <c r="H518" s="7" t="s">
        <v>2809</v>
      </c>
      <c r="I518" s="7" t="s">
        <v>2880</v>
      </c>
      <c r="J518" s="9" t="s">
        <v>2881</v>
      </c>
      <c r="K518" s="7" t="s">
        <v>2451</v>
      </c>
      <c r="L518" s="10" t="s">
        <v>572</v>
      </c>
    </row>
    <row r="519" customFormat="false" ht="35.25" hidden="false" customHeight="true" outlineLevel="0" collapsed="false">
      <c r="A519" s="7" t="s">
        <v>2882</v>
      </c>
      <c r="B519" s="7" t="s">
        <v>2883</v>
      </c>
      <c r="C519" s="7" t="s">
        <v>2688</v>
      </c>
      <c r="D519" s="7" t="s">
        <v>2884</v>
      </c>
      <c r="E519" s="7" t="s">
        <v>108</v>
      </c>
      <c r="F519" s="7" t="s">
        <v>318</v>
      </c>
      <c r="G519" s="7" t="s">
        <v>2808</v>
      </c>
      <c r="H519" s="7" t="s">
        <v>2809</v>
      </c>
      <c r="I519" s="7" t="s">
        <v>2885</v>
      </c>
      <c r="J519" s="9" t="s">
        <v>2886</v>
      </c>
      <c r="K519" s="7" t="s">
        <v>2451</v>
      </c>
      <c r="L519" s="10" t="s">
        <v>572</v>
      </c>
    </row>
    <row r="520" customFormat="false" ht="69.75" hidden="false" customHeight="true" outlineLevel="0" collapsed="false">
      <c r="A520" s="7" t="s">
        <v>2887</v>
      </c>
      <c r="B520" s="7" t="s">
        <v>2888</v>
      </c>
      <c r="C520" s="7" t="s">
        <v>2688</v>
      </c>
      <c r="D520" s="7" t="s">
        <v>2889</v>
      </c>
      <c r="E520" s="7" t="s">
        <v>108</v>
      </c>
      <c r="F520" s="7" t="s">
        <v>318</v>
      </c>
      <c r="G520" s="7" t="s">
        <v>2808</v>
      </c>
      <c r="H520" s="7" t="s">
        <v>2809</v>
      </c>
      <c r="I520" s="7" t="s">
        <v>2890</v>
      </c>
      <c r="J520" s="9" t="s">
        <v>2891</v>
      </c>
      <c r="K520" s="7" t="s">
        <v>2451</v>
      </c>
      <c r="L520" s="10" t="s">
        <v>572</v>
      </c>
    </row>
    <row r="521" customFormat="false" ht="35.25" hidden="false" customHeight="true" outlineLevel="0" collapsed="false">
      <c r="A521" s="7" t="s">
        <v>2892</v>
      </c>
      <c r="B521" s="7" t="s">
        <v>2893</v>
      </c>
      <c r="C521" s="7" t="s">
        <v>2688</v>
      </c>
      <c r="D521" s="7" t="s">
        <v>2894</v>
      </c>
      <c r="E521" s="7" t="s">
        <v>108</v>
      </c>
      <c r="F521" s="7" t="s">
        <v>174</v>
      </c>
      <c r="G521" s="7" t="s">
        <v>2694</v>
      </c>
      <c r="H521" s="7" t="s">
        <v>2695</v>
      </c>
      <c r="I521" s="7" t="s">
        <v>2895</v>
      </c>
      <c r="J521" s="9" t="s">
        <v>2896</v>
      </c>
      <c r="K521" s="7" t="s">
        <v>2451</v>
      </c>
      <c r="L521" s="10" t="s">
        <v>170</v>
      </c>
    </row>
    <row r="522" customFormat="false" ht="35.25" hidden="false" customHeight="true" outlineLevel="0" collapsed="false">
      <c r="A522" s="7" t="s">
        <v>2897</v>
      </c>
      <c r="B522" s="7" t="s">
        <v>2898</v>
      </c>
      <c r="C522" s="7" t="s">
        <v>2688</v>
      </c>
      <c r="D522" s="7" t="s">
        <v>2899</v>
      </c>
      <c r="E522" s="7" t="s">
        <v>108</v>
      </c>
      <c r="F522" s="7" t="s">
        <v>174</v>
      </c>
      <c r="G522" s="7" t="s">
        <v>2694</v>
      </c>
      <c r="H522" s="7" t="s">
        <v>2695</v>
      </c>
      <c r="I522" s="7" t="s">
        <v>2900</v>
      </c>
      <c r="J522" s="9" t="s">
        <v>2901</v>
      </c>
      <c r="K522" s="7" t="s">
        <v>2451</v>
      </c>
      <c r="L522" s="10" t="s">
        <v>170</v>
      </c>
    </row>
    <row r="523" customFormat="false" ht="35.25" hidden="false" customHeight="true" outlineLevel="0" collapsed="false">
      <c r="A523" s="7" t="s">
        <v>2902</v>
      </c>
      <c r="B523" s="7" t="s">
        <v>2903</v>
      </c>
      <c r="C523" s="7" t="s">
        <v>2688</v>
      </c>
      <c r="D523" s="7" t="s">
        <v>2904</v>
      </c>
      <c r="E523" s="7" t="s">
        <v>108</v>
      </c>
      <c r="F523" s="7" t="s">
        <v>318</v>
      </c>
      <c r="G523" s="7" t="s">
        <v>2808</v>
      </c>
      <c r="H523" s="7" t="s">
        <v>2809</v>
      </c>
      <c r="I523" s="7" t="s">
        <v>2905</v>
      </c>
      <c r="J523" s="9" t="s">
        <v>2906</v>
      </c>
      <c r="K523" s="7" t="s">
        <v>2451</v>
      </c>
      <c r="L523" s="10" t="s">
        <v>170</v>
      </c>
    </row>
    <row r="524" customFormat="false" ht="52.5" hidden="false" customHeight="true" outlineLevel="0" collapsed="false">
      <c r="A524" s="7" t="s">
        <v>2907</v>
      </c>
      <c r="B524" s="7" t="s">
        <v>2908</v>
      </c>
      <c r="C524" s="7" t="s">
        <v>2688</v>
      </c>
      <c r="D524" s="7" t="s">
        <v>2909</v>
      </c>
      <c r="E524" s="7" t="s">
        <v>108</v>
      </c>
      <c r="F524" s="7" t="s">
        <v>318</v>
      </c>
      <c r="G524" s="7" t="s">
        <v>2808</v>
      </c>
      <c r="H524" s="7" t="s">
        <v>2809</v>
      </c>
      <c r="I524" s="7" t="s">
        <v>2910</v>
      </c>
      <c r="J524" s="9" t="s">
        <v>2911</v>
      </c>
      <c r="K524" s="7" t="s">
        <v>2451</v>
      </c>
      <c r="L524" s="10" t="s">
        <v>170</v>
      </c>
    </row>
    <row r="525" customFormat="false" ht="35.25" hidden="false" customHeight="true" outlineLevel="0" collapsed="false">
      <c r="A525" s="7" t="s">
        <v>2912</v>
      </c>
      <c r="B525" s="7" t="s">
        <v>2913</v>
      </c>
      <c r="C525" s="7" t="s">
        <v>2688</v>
      </c>
      <c r="D525" s="7" t="s">
        <v>2914</v>
      </c>
      <c r="E525" s="7" t="s">
        <v>108</v>
      </c>
      <c r="F525" s="7" t="s">
        <v>318</v>
      </c>
      <c r="G525" s="7" t="s">
        <v>2808</v>
      </c>
      <c r="H525" s="7" t="s">
        <v>2809</v>
      </c>
      <c r="I525" s="7" t="s">
        <v>2915</v>
      </c>
      <c r="J525" s="9" t="s">
        <v>2916</v>
      </c>
      <c r="K525" s="7" t="s">
        <v>2451</v>
      </c>
      <c r="L525" s="10" t="s">
        <v>572</v>
      </c>
    </row>
    <row r="526" customFormat="false" ht="69.75" hidden="false" customHeight="true" outlineLevel="0" collapsed="false">
      <c r="A526" s="7" t="s">
        <v>2917</v>
      </c>
      <c r="B526" s="7" t="s">
        <v>2918</v>
      </c>
      <c r="C526" s="7" t="s">
        <v>2688</v>
      </c>
      <c r="D526" s="7" t="s">
        <v>2919</v>
      </c>
      <c r="E526" s="7" t="s">
        <v>108</v>
      </c>
      <c r="F526" s="7" t="s">
        <v>318</v>
      </c>
      <c r="G526" s="7" t="s">
        <v>2808</v>
      </c>
      <c r="H526" s="7" t="s">
        <v>2809</v>
      </c>
      <c r="I526" s="7" t="s">
        <v>2920</v>
      </c>
      <c r="J526" s="9" t="s">
        <v>2921</v>
      </c>
      <c r="K526" s="7" t="s">
        <v>2451</v>
      </c>
      <c r="L526" s="10" t="s">
        <v>572</v>
      </c>
    </row>
    <row r="527" customFormat="false" ht="35.25" hidden="false" customHeight="true" outlineLevel="0" collapsed="false">
      <c r="A527" s="7" t="s">
        <v>2922</v>
      </c>
      <c r="B527" s="7" t="s">
        <v>2923</v>
      </c>
      <c r="C527" s="7" t="s">
        <v>2688</v>
      </c>
      <c r="D527" s="7" t="s">
        <v>2924</v>
      </c>
      <c r="E527" s="7" t="s">
        <v>104</v>
      </c>
      <c r="F527" s="7" t="s">
        <v>1556</v>
      </c>
      <c r="G527" s="7" t="s">
        <v>2925</v>
      </c>
      <c r="H527" s="7" t="s">
        <v>2926</v>
      </c>
      <c r="I527" s="7" t="s">
        <v>2927</v>
      </c>
      <c r="J527" s="9" t="s">
        <v>2928</v>
      </c>
      <c r="K527" s="7" t="s">
        <v>2929</v>
      </c>
      <c r="L527" s="10" t="s">
        <v>572</v>
      </c>
    </row>
    <row r="528" customFormat="false" ht="35.25" hidden="false" customHeight="true" outlineLevel="0" collapsed="false">
      <c r="A528" s="7" t="s">
        <v>2930</v>
      </c>
      <c r="B528" s="7" t="s">
        <v>2931</v>
      </c>
      <c r="C528" s="7" t="s">
        <v>2688</v>
      </c>
      <c r="D528" s="7" t="s">
        <v>2932</v>
      </c>
      <c r="E528" s="7" t="s">
        <v>108</v>
      </c>
      <c r="F528" s="7" t="s">
        <v>318</v>
      </c>
      <c r="G528" s="7" t="s">
        <v>2808</v>
      </c>
      <c r="H528" s="7" t="s">
        <v>2809</v>
      </c>
      <c r="I528" s="7" t="s">
        <v>2933</v>
      </c>
      <c r="J528" s="9" t="s">
        <v>2934</v>
      </c>
      <c r="K528" s="7" t="s">
        <v>2451</v>
      </c>
      <c r="L528" s="10" t="s">
        <v>170</v>
      </c>
    </row>
    <row r="529" customFormat="false" ht="35.25" hidden="false" customHeight="true" outlineLevel="0" collapsed="false">
      <c r="A529" s="7" t="s">
        <v>2935</v>
      </c>
      <c r="B529" s="7" t="s">
        <v>2936</v>
      </c>
      <c r="C529" s="7" t="s">
        <v>2688</v>
      </c>
      <c r="D529" s="7" t="s">
        <v>2937</v>
      </c>
      <c r="E529" s="7" t="s">
        <v>104</v>
      </c>
      <c r="F529" s="7" t="s">
        <v>1556</v>
      </c>
      <c r="G529" s="7" t="s">
        <v>2925</v>
      </c>
      <c r="H529" s="7" t="s">
        <v>2926</v>
      </c>
      <c r="I529" s="7" t="s">
        <v>2938</v>
      </c>
      <c r="J529" s="9" t="s">
        <v>2939</v>
      </c>
      <c r="K529" s="7" t="s">
        <v>2451</v>
      </c>
      <c r="L529" s="10" t="s">
        <v>170</v>
      </c>
    </row>
    <row r="530" customFormat="false" ht="35.25" hidden="false" customHeight="true" outlineLevel="0" collapsed="false">
      <c r="A530" s="7" t="s">
        <v>2940</v>
      </c>
      <c r="B530" s="7" t="s">
        <v>2941</v>
      </c>
      <c r="C530" s="7" t="s">
        <v>2688</v>
      </c>
      <c r="D530" s="7" t="s">
        <v>2942</v>
      </c>
      <c r="E530" s="7" t="s">
        <v>108</v>
      </c>
      <c r="F530" s="7" t="s">
        <v>318</v>
      </c>
      <c r="G530" s="7" t="s">
        <v>2808</v>
      </c>
      <c r="H530" s="7" t="s">
        <v>2809</v>
      </c>
      <c r="I530" s="7" t="s">
        <v>2943</v>
      </c>
      <c r="J530" s="9" t="s">
        <v>2944</v>
      </c>
      <c r="K530" s="7" t="s">
        <v>2451</v>
      </c>
      <c r="L530" s="10" t="s">
        <v>170</v>
      </c>
    </row>
    <row r="531" customFormat="false" ht="52.5" hidden="false" customHeight="true" outlineLevel="0" collapsed="false">
      <c r="A531" s="7" t="s">
        <v>2945</v>
      </c>
      <c r="B531" s="7" t="s">
        <v>2946</v>
      </c>
      <c r="C531" s="7" t="s">
        <v>2947</v>
      </c>
      <c r="D531" s="7" t="s">
        <v>163</v>
      </c>
      <c r="E531" s="7" t="s">
        <v>100</v>
      </c>
      <c r="F531" s="7" t="s">
        <v>164</v>
      </c>
      <c r="G531" s="7" t="s">
        <v>165</v>
      </c>
      <c r="H531" s="7" t="s">
        <v>166</v>
      </c>
      <c r="I531" s="7" t="s">
        <v>2948</v>
      </c>
      <c r="J531" s="9" t="s">
        <v>2949</v>
      </c>
      <c r="K531" s="7" t="s">
        <v>169</v>
      </c>
      <c r="L531" s="10" t="s">
        <v>170</v>
      </c>
    </row>
    <row r="532" customFormat="false" ht="52.5" hidden="false" customHeight="true" outlineLevel="0" collapsed="false">
      <c r="A532" s="7" t="s">
        <v>2950</v>
      </c>
      <c r="B532" s="7" t="s">
        <v>2951</v>
      </c>
      <c r="C532" s="7" t="s">
        <v>2947</v>
      </c>
      <c r="D532" s="7" t="s">
        <v>2952</v>
      </c>
      <c r="E532" s="7" t="s">
        <v>100</v>
      </c>
      <c r="F532" s="7" t="s">
        <v>164</v>
      </c>
      <c r="G532" s="7" t="s">
        <v>165</v>
      </c>
      <c r="H532" s="7" t="s">
        <v>166</v>
      </c>
      <c r="I532" s="7" t="s">
        <v>2953</v>
      </c>
      <c r="J532" s="9" t="s">
        <v>2954</v>
      </c>
      <c r="K532" s="7" t="s">
        <v>169</v>
      </c>
      <c r="L532" s="10" t="s">
        <v>170</v>
      </c>
    </row>
    <row r="533" customFormat="false" ht="52.5" hidden="false" customHeight="true" outlineLevel="0" collapsed="false">
      <c r="A533" s="7" t="s">
        <v>2955</v>
      </c>
      <c r="B533" s="7" t="s">
        <v>2956</v>
      </c>
      <c r="C533" s="7" t="s">
        <v>2947</v>
      </c>
      <c r="D533" s="7" t="s">
        <v>2957</v>
      </c>
      <c r="E533" s="7" t="s">
        <v>108</v>
      </c>
      <c r="F533" s="7" t="s">
        <v>844</v>
      </c>
      <c r="G533" s="7" t="s">
        <v>845</v>
      </c>
      <c r="H533" s="7" t="s">
        <v>846</v>
      </c>
      <c r="I533" s="7" t="s">
        <v>2958</v>
      </c>
      <c r="J533" s="9" t="s">
        <v>2959</v>
      </c>
      <c r="K533" s="7" t="s">
        <v>169</v>
      </c>
      <c r="L533" s="10" t="s">
        <v>170</v>
      </c>
    </row>
    <row r="534" customFormat="false" ht="52.5" hidden="false" customHeight="true" outlineLevel="0" collapsed="false">
      <c r="A534" s="7" t="s">
        <v>2960</v>
      </c>
      <c r="B534" s="7" t="s">
        <v>2961</v>
      </c>
      <c r="C534" s="7" t="s">
        <v>2947</v>
      </c>
      <c r="D534" s="7" t="s">
        <v>2962</v>
      </c>
      <c r="E534" s="7" t="s">
        <v>108</v>
      </c>
      <c r="F534" s="7" t="s">
        <v>844</v>
      </c>
      <c r="G534" s="7" t="s">
        <v>845</v>
      </c>
      <c r="H534" s="7" t="s">
        <v>846</v>
      </c>
      <c r="I534" s="7" t="s">
        <v>2963</v>
      </c>
      <c r="J534" s="9" t="s">
        <v>2964</v>
      </c>
      <c r="K534" s="7" t="s">
        <v>169</v>
      </c>
      <c r="L534" s="10" t="s">
        <v>170</v>
      </c>
    </row>
    <row r="535" customFormat="false" ht="52.5" hidden="false" customHeight="true" outlineLevel="0" collapsed="false">
      <c r="A535" s="7" t="s">
        <v>2965</v>
      </c>
      <c r="B535" s="7" t="s">
        <v>2966</v>
      </c>
      <c r="C535" s="7" t="s">
        <v>2947</v>
      </c>
      <c r="D535" s="7" t="s">
        <v>2967</v>
      </c>
      <c r="E535" s="7" t="s">
        <v>100</v>
      </c>
      <c r="F535" s="7" t="s">
        <v>164</v>
      </c>
      <c r="G535" s="7" t="s">
        <v>165</v>
      </c>
      <c r="H535" s="7" t="s">
        <v>166</v>
      </c>
      <c r="I535" s="7" t="s">
        <v>2968</v>
      </c>
      <c r="J535" s="9" t="s">
        <v>2969</v>
      </c>
      <c r="K535" s="7" t="s">
        <v>169</v>
      </c>
      <c r="L535" s="10" t="s">
        <v>170</v>
      </c>
    </row>
    <row r="536" customFormat="false" ht="35.25" hidden="false" customHeight="true" outlineLevel="0" collapsed="false">
      <c r="A536" s="7" t="s">
        <v>2970</v>
      </c>
      <c r="B536" s="7" t="s">
        <v>2971</v>
      </c>
      <c r="C536" s="7" t="s">
        <v>2947</v>
      </c>
      <c r="D536" s="7" t="s">
        <v>2972</v>
      </c>
      <c r="E536" s="7" t="s">
        <v>108</v>
      </c>
      <c r="F536" s="7" t="s">
        <v>318</v>
      </c>
      <c r="G536" s="7" t="s">
        <v>319</v>
      </c>
      <c r="H536" s="7" t="s">
        <v>320</v>
      </c>
      <c r="I536" s="7" t="s">
        <v>2973</v>
      </c>
      <c r="J536" s="9" t="s">
        <v>2974</v>
      </c>
      <c r="K536" s="7" t="s">
        <v>624</v>
      </c>
      <c r="L536" s="12" t="s">
        <v>186</v>
      </c>
    </row>
    <row r="537" customFormat="false" ht="87" hidden="false" customHeight="true" outlineLevel="0" collapsed="false">
      <c r="A537" s="7" t="s">
        <v>2975</v>
      </c>
      <c r="B537" s="7" t="s">
        <v>2976</v>
      </c>
      <c r="C537" s="7" t="s">
        <v>2947</v>
      </c>
      <c r="D537" s="7" t="s">
        <v>2977</v>
      </c>
      <c r="E537" s="7" t="s">
        <v>108</v>
      </c>
      <c r="F537" s="7" t="s">
        <v>318</v>
      </c>
      <c r="G537" s="7" t="s">
        <v>319</v>
      </c>
      <c r="H537" s="7" t="s">
        <v>320</v>
      </c>
      <c r="I537" s="7" t="s">
        <v>2978</v>
      </c>
      <c r="J537" s="9" t="s">
        <v>2979</v>
      </c>
      <c r="K537" s="7" t="s">
        <v>624</v>
      </c>
      <c r="L537" s="10" t="s">
        <v>572</v>
      </c>
    </row>
    <row r="538" customFormat="false" ht="87" hidden="false" customHeight="true" outlineLevel="0" collapsed="false">
      <c r="A538" s="7" t="s">
        <v>2980</v>
      </c>
      <c r="B538" s="7" t="s">
        <v>2981</v>
      </c>
      <c r="C538" s="7" t="s">
        <v>2947</v>
      </c>
      <c r="D538" s="7" t="s">
        <v>2982</v>
      </c>
      <c r="E538" s="7" t="s">
        <v>108</v>
      </c>
      <c r="F538" s="7" t="s">
        <v>318</v>
      </c>
      <c r="G538" s="7" t="s">
        <v>319</v>
      </c>
      <c r="H538" s="7" t="s">
        <v>320</v>
      </c>
      <c r="I538" s="7" t="s">
        <v>2983</v>
      </c>
      <c r="J538" s="9" t="s">
        <v>2984</v>
      </c>
      <c r="K538" s="7" t="s">
        <v>624</v>
      </c>
      <c r="L538" s="10" t="s">
        <v>572</v>
      </c>
    </row>
    <row r="539" customFormat="false" ht="35.25" hidden="false" customHeight="true" outlineLevel="0" collapsed="false">
      <c r="A539" s="7" t="s">
        <v>2985</v>
      </c>
      <c r="B539" s="7" t="s">
        <v>2986</v>
      </c>
      <c r="C539" s="7" t="s">
        <v>2947</v>
      </c>
      <c r="D539" s="7" t="s">
        <v>2987</v>
      </c>
      <c r="E539" s="7" t="s">
        <v>108</v>
      </c>
      <c r="F539" s="7" t="s">
        <v>748</v>
      </c>
      <c r="G539" s="7" t="s">
        <v>749</v>
      </c>
      <c r="H539" s="7" t="s">
        <v>750</v>
      </c>
      <c r="I539" s="7" t="s">
        <v>2988</v>
      </c>
      <c r="J539" s="9" t="s">
        <v>2989</v>
      </c>
      <c r="K539" s="7" t="s">
        <v>2990</v>
      </c>
      <c r="L539" s="10" t="s">
        <v>572</v>
      </c>
    </row>
    <row r="540" customFormat="false" ht="35.25" hidden="false" customHeight="true" outlineLevel="0" collapsed="false">
      <c r="A540" s="7" t="s">
        <v>2991</v>
      </c>
      <c r="B540" s="7" t="s">
        <v>2992</v>
      </c>
      <c r="C540" s="7" t="s">
        <v>2947</v>
      </c>
      <c r="D540" s="7" t="s">
        <v>2993</v>
      </c>
      <c r="E540" s="7" t="s">
        <v>108</v>
      </c>
      <c r="F540" s="7" t="s">
        <v>748</v>
      </c>
      <c r="G540" s="7" t="s">
        <v>749</v>
      </c>
      <c r="H540" s="7" t="s">
        <v>750</v>
      </c>
      <c r="I540" s="7" t="s">
        <v>2994</v>
      </c>
      <c r="J540" s="9" t="s">
        <v>2995</v>
      </c>
      <c r="K540" s="7" t="s">
        <v>169</v>
      </c>
      <c r="L540" s="10" t="s">
        <v>170</v>
      </c>
    </row>
    <row r="541" customFormat="false" ht="35.25" hidden="false" customHeight="true" outlineLevel="0" collapsed="false">
      <c r="A541" s="7" t="s">
        <v>2996</v>
      </c>
      <c r="B541" s="7" t="s">
        <v>2997</v>
      </c>
      <c r="C541" s="7" t="s">
        <v>2947</v>
      </c>
      <c r="D541" s="7" t="s">
        <v>2998</v>
      </c>
      <c r="E541" s="7" t="s">
        <v>108</v>
      </c>
      <c r="F541" s="7" t="s">
        <v>748</v>
      </c>
      <c r="G541" s="7" t="s">
        <v>749</v>
      </c>
      <c r="H541" s="7" t="s">
        <v>750</v>
      </c>
      <c r="I541" s="7" t="s">
        <v>2999</v>
      </c>
      <c r="J541" s="9" t="s">
        <v>3000</v>
      </c>
      <c r="K541" s="7" t="s">
        <v>169</v>
      </c>
      <c r="L541" s="10" t="s">
        <v>170</v>
      </c>
    </row>
    <row r="542" customFormat="false" ht="52.5" hidden="false" customHeight="true" outlineLevel="0" collapsed="false">
      <c r="A542" s="7" t="s">
        <v>3001</v>
      </c>
      <c r="B542" s="7" t="s">
        <v>3002</v>
      </c>
      <c r="C542" s="7" t="s">
        <v>3003</v>
      </c>
      <c r="D542" s="7" t="s">
        <v>3004</v>
      </c>
      <c r="E542" s="7" t="s">
        <v>100</v>
      </c>
      <c r="F542" s="7" t="s">
        <v>164</v>
      </c>
      <c r="G542" s="7" t="s">
        <v>165</v>
      </c>
      <c r="H542" s="7" t="s">
        <v>166</v>
      </c>
      <c r="I542" s="7" t="s">
        <v>3005</v>
      </c>
      <c r="J542" s="9" t="s">
        <v>3006</v>
      </c>
      <c r="K542" s="7" t="s">
        <v>169</v>
      </c>
      <c r="L542" s="10" t="s">
        <v>170</v>
      </c>
    </row>
    <row r="543" customFormat="false" ht="52.5" hidden="false" customHeight="true" outlineLevel="0" collapsed="false">
      <c r="A543" s="7" t="s">
        <v>3007</v>
      </c>
      <c r="B543" s="7" t="s">
        <v>3008</v>
      </c>
      <c r="C543" s="7" t="s">
        <v>3003</v>
      </c>
      <c r="D543" s="7" t="s">
        <v>3009</v>
      </c>
      <c r="E543" s="7" t="s">
        <v>100</v>
      </c>
      <c r="F543" s="7" t="s">
        <v>3010</v>
      </c>
      <c r="G543" s="7" t="s">
        <v>3011</v>
      </c>
      <c r="H543" s="7" t="s">
        <v>3012</v>
      </c>
      <c r="I543" s="7" t="s">
        <v>3013</v>
      </c>
      <c r="J543" s="9" t="s">
        <v>3014</v>
      </c>
      <c r="K543" s="7" t="s">
        <v>169</v>
      </c>
      <c r="L543" s="10" t="s">
        <v>170</v>
      </c>
    </row>
    <row r="544" customFormat="false" ht="35.25" hidden="false" customHeight="true" outlineLevel="0" collapsed="false">
      <c r="A544" s="7" t="s">
        <v>3015</v>
      </c>
      <c r="B544" s="7" t="s">
        <v>3016</v>
      </c>
      <c r="C544" s="7" t="s">
        <v>3003</v>
      </c>
      <c r="D544" s="7" t="s">
        <v>3017</v>
      </c>
      <c r="E544" s="7" t="s">
        <v>100</v>
      </c>
      <c r="F544" s="7" t="s">
        <v>3010</v>
      </c>
      <c r="G544" s="7" t="s">
        <v>3018</v>
      </c>
      <c r="H544" s="7" t="s">
        <v>3019</v>
      </c>
      <c r="I544" s="7" t="s">
        <v>3020</v>
      </c>
      <c r="J544" s="9" t="s">
        <v>3021</v>
      </c>
      <c r="K544" s="7" t="s">
        <v>169</v>
      </c>
      <c r="L544" s="10" t="s">
        <v>170</v>
      </c>
    </row>
    <row r="545" customFormat="false" ht="35.25" hidden="false" customHeight="true" outlineLevel="0" collapsed="false">
      <c r="A545" s="7" t="s">
        <v>3022</v>
      </c>
      <c r="B545" s="7" t="s">
        <v>3023</v>
      </c>
      <c r="C545" s="7" t="s">
        <v>3003</v>
      </c>
      <c r="D545" s="7" t="s">
        <v>3024</v>
      </c>
      <c r="E545" s="7" t="s">
        <v>104</v>
      </c>
      <c r="F545" s="7" t="s">
        <v>1274</v>
      </c>
      <c r="G545" s="7" t="s">
        <v>1275</v>
      </c>
      <c r="H545" s="7" t="s">
        <v>1276</v>
      </c>
      <c r="I545" s="7" t="s">
        <v>3025</v>
      </c>
      <c r="J545" s="9" t="s">
        <v>3026</v>
      </c>
      <c r="K545" s="7" t="s">
        <v>169</v>
      </c>
      <c r="L545" s="10" t="s">
        <v>170</v>
      </c>
    </row>
    <row r="546" customFormat="false" ht="35.25" hidden="false" customHeight="true" outlineLevel="0" collapsed="false">
      <c r="A546" s="7" t="s">
        <v>3027</v>
      </c>
      <c r="B546" s="7" t="s">
        <v>3028</v>
      </c>
      <c r="C546" s="7" t="s">
        <v>3003</v>
      </c>
      <c r="D546" s="7" t="s">
        <v>3029</v>
      </c>
      <c r="E546" s="7" t="s">
        <v>104</v>
      </c>
      <c r="F546" s="7" t="s">
        <v>1556</v>
      </c>
      <c r="G546" s="7" t="s">
        <v>3030</v>
      </c>
      <c r="H546" s="7" t="s">
        <v>3031</v>
      </c>
      <c r="I546" s="7" t="s">
        <v>3032</v>
      </c>
      <c r="J546" s="9" t="s">
        <v>3033</v>
      </c>
      <c r="K546" s="7" t="s">
        <v>169</v>
      </c>
      <c r="L546" s="10" t="s">
        <v>170</v>
      </c>
    </row>
    <row r="547" customFormat="false" ht="35.25" hidden="false" customHeight="true" outlineLevel="0" collapsed="false">
      <c r="A547" s="7" t="s">
        <v>3034</v>
      </c>
      <c r="B547" s="7" t="s">
        <v>3035</v>
      </c>
      <c r="C547" s="7" t="s">
        <v>3003</v>
      </c>
      <c r="D547" s="7" t="s">
        <v>3036</v>
      </c>
      <c r="E547" s="7" t="s">
        <v>104</v>
      </c>
      <c r="F547" s="7" t="s">
        <v>1556</v>
      </c>
      <c r="G547" s="7" t="s">
        <v>3030</v>
      </c>
      <c r="H547" s="7" t="s">
        <v>3031</v>
      </c>
      <c r="I547" s="7" t="s">
        <v>3037</v>
      </c>
      <c r="J547" s="9" t="s">
        <v>3038</v>
      </c>
      <c r="K547" s="7" t="s">
        <v>169</v>
      </c>
      <c r="L547" s="10" t="s">
        <v>170</v>
      </c>
    </row>
    <row r="548" customFormat="false" ht="35.25" hidden="false" customHeight="true" outlineLevel="0" collapsed="false">
      <c r="A548" s="7" t="s">
        <v>3039</v>
      </c>
      <c r="B548" s="7" t="s">
        <v>3040</v>
      </c>
      <c r="C548" s="7" t="s">
        <v>3003</v>
      </c>
      <c r="D548" s="7" t="s">
        <v>3041</v>
      </c>
      <c r="E548" s="7" t="s">
        <v>100</v>
      </c>
      <c r="F548" s="7" t="s">
        <v>1288</v>
      </c>
      <c r="G548" s="7" t="s">
        <v>3042</v>
      </c>
      <c r="H548" s="7" t="s">
        <v>3043</v>
      </c>
      <c r="I548" s="7" t="s">
        <v>3044</v>
      </c>
      <c r="J548" s="9" t="s">
        <v>3045</v>
      </c>
      <c r="K548" s="7" t="s">
        <v>169</v>
      </c>
      <c r="L548" s="10" t="s">
        <v>170</v>
      </c>
    </row>
    <row r="549" customFormat="false" ht="35.25" hidden="false" customHeight="true" outlineLevel="0" collapsed="false">
      <c r="A549" s="7" t="s">
        <v>3046</v>
      </c>
      <c r="B549" s="7" t="s">
        <v>3047</v>
      </c>
      <c r="C549" s="7" t="s">
        <v>3003</v>
      </c>
      <c r="D549" s="7" t="s">
        <v>3048</v>
      </c>
      <c r="E549" s="7" t="s">
        <v>100</v>
      </c>
      <c r="F549" s="7" t="s">
        <v>3049</v>
      </c>
      <c r="G549" s="7" t="s">
        <v>3050</v>
      </c>
      <c r="H549" s="7" t="s">
        <v>3051</v>
      </c>
      <c r="I549" s="7" t="s">
        <v>3052</v>
      </c>
      <c r="J549" s="9" t="s">
        <v>3053</v>
      </c>
      <c r="K549" s="7" t="s">
        <v>169</v>
      </c>
      <c r="L549" s="10" t="s">
        <v>170</v>
      </c>
    </row>
    <row r="550" customFormat="false" ht="35.25" hidden="false" customHeight="true" outlineLevel="0" collapsed="false">
      <c r="A550" s="7" t="s">
        <v>3054</v>
      </c>
      <c r="B550" s="7" t="s">
        <v>3055</v>
      </c>
      <c r="C550" s="7" t="s">
        <v>3003</v>
      </c>
      <c r="D550" s="7" t="s">
        <v>3056</v>
      </c>
      <c r="E550" s="7" t="s">
        <v>100</v>
      </c>
      <c r="F550" s="7" t="s">
        <v>3049</v>
      </c>
      <c r="G550" s="7" t="s">
        <v>3050</v>
      </c>
      <c r="H550" s="7" t="s">
        <v>3051</v>
      </c>
      <c r="I550" s="7" t="s">
        <v>3057</v>
      </c>
      <c r="J550" s="9" t="s">
        <v>3058</v>
      </c>
      <c r="K550" s="7" t="s">
        <v>169</v>
      </c>
      <c r="L550" s="10" t="s">
        <v>170</v>
      </c>
    </row>
    <row r="551" customFormat="false" ht="52.5" hidden="false" customHeight="true" outlineLevel="0" collapsed="false">
      <c r="A551" s="7" t="s">
        <v>3059</v>
      </c>
      <c r="B551" s="7" t="s">
        <v>3060</v>
      </c>
      <c r="C551" s="7" t="s">
        <v>3003</v>
      </c>
      <c r="D551" s="7" t="s">
        <v>3061</v>
      </c>
      <c r="E551" s="7" t="s">
        <v>100</v>
      </c>
      <c r="F551" s="7" t="s">
        <v>3062</v>
      </c>
      <c r="G551" s="7" t="s">
        <v>3063</v>
      </c>
      <c r="H551" s="7" t="s">
        <v>3064</v>
      </c>
      <c r="I551" s="7" t="s">
        <v>3065</v>
      </c>
      <c r="J551" s="9" t="s">
        <v>3066</v>
      </c>
      <c r="K551" s="7" t="s">
        <v>169</v>
      </c>
      <c r="L551" s="10" t="s">
        <v>170</v>
      </c>
    </row>
    <row r="552" customFormat="false" ht="35.25" hidden="false" customHeight="true" outlineLevel="0" collapsed="false">
      <c r="A552" s="7" t="s">
        <v>3067</v>
      </c>
      <c r="B552" s="7" t="s">
        <v>3068</v>
      </c>
      <c r="C552" s="7" t="s">
        <v>3003</v>
      </c>
      <c r="D552" s="7" t="s">
        <v>3069</v>
      </c>
      <c r="E552" s="7" t="s">
        <v>100</v>
      </c>
      <c r="F552" s="7" t="s">
        <v>3049</v>
      </c>
      <c r="G552" s="7" t="s">
        <v>3070</v>
      </c>
      <c r="H552" s="7" t="s">
        <v>3071</v>
      </c>
      <c r="I552" s="7" t="s">
        <v>3072</v>
      </c>
      <c r="J552" s="9" t="s">
        <v>3073</v>
      </c>
      <c r="K552" s="7" t="s">
        <v>169</v>
      </c>
      <c r="L552" s="10" t="s">
        <v>170</v>
      </c>
    </row>
    <row r="553" customFormat="false" ht="35.25" hidden="false" customHeight="true" outlineLevel="0" collapsed="false">
      <c r="A553" s="7" t="s">
        <v>3074</v>
      </c>
      <c r="B553" s="7" t="s">
        <v>3075</v>
      </c>
      <c r="C553" s="7" t="s">
        <v>3003</v>
      </c>
      <c r="D553" s="7" t="s">
        <v>3076</v>
      </c>
      <c r="E553" s="7" t="s">
        <v>100</v>
      </c>
      <c r="F553" s="7" t="s">
        <v>3010</v>
      </c>
      <c r="G553" s="7" t="s">
        <v>3077</v>
      </c>
      <c r="H553" s="7" t="s">
        <v>3078</v>
      </c>
      <c r="I553" s="7" t="s">
        <v>3079</v>
      </c>
      <c r="J553" s="9" t="s">
        <v>3080</v>
      </c>
      <c r="K553" s="7" t="s">
        <v>169</v>
      </c>
      <c r="L553" s="10" t="s">
        <v>170</v>
      </c>
    </row>
    <row r="554" customFormat="false" ht="35.25" hidden="false" customHeight="true" outlineLevel="0" collapsed="false">
      <c r="A554" s="7" t="s">
        <v>3081</v>
      </c>
      <c r="B554" s="7" t="s">
        <v>3082</v>
      </c>
      <c r="C554" s="7" t="s">
        <v>3003</v>
      </c>
      <c r="D554" s="7" t="s">
        <v>3083</v>
      </c>
      <c r="E554" s="7" t="s">
        <v>100</v>
      </c>
      <c r="F554" s="7" t="s">
        <v>3062</v>
      </c>
      <c r="G554" s="7" t="s">
        <v>3084</v>
      </c>
      <c r="H554" s="7" t="s">
        <v>3085</v>
      </c>
      <c r="I554" s="7" t="s">
        <v>3086</v>
      </c>
      <c r="J554" s="9" t="s">
        <v>3087</v>
      </c>
      <c r="K554" s="7" t="s">
        <v>169</v>
      </c>
      <c r="L554" s="10" t="s">
        <v>170</v>
      </c>
    </row>
    <row r="555" customFormat="false" ht="35.25" hidden="false" customHeight="true" outlineLevel="0" collapsed="false">
      <c r="A555" s="7" t="s">
        <v>3088</v>
      </c>
      <c r="B555" s="7" t="s">
        <v>3089</v>
      </c>
      <c r="C555" s="7" t="s">
        <v>3003</v>
      </c>
      <c r="D555" s="7" t="s">
        <v>3090</v>
      </c>
      <c r="E555" s="7" t="s">
        <v>100</v>
      </c>
      <c r="F555" s="7" t="s">
        <v>3010</v>
      </c>
      <c r="G555" s="7" t="s">
        <v>3091</v>
      </c>
      <c r="H555" s="7" t="s">
        <v>3092</v>
      </c>
      <c r="I555" s="7" t="s">
        <v>3093</v>
      </c>
      <c r="J555" s="9" t="s">
        <v>3094</v>
      </c>
      <c r="K555" s="7" t="s">
        <v>169</v>
      </c>
      <c r="L555" s="10" t="s">
        <v>170</v>
      </c>
    </row>
    <row r="556" customFormat="false" ht="35.25" hidden="false" customHeight="true" outlineLevel="0" collapsed="false">
      <c r="A556" s="7" t="s">
        <v>3095</v>
      </c>
      <c r="B556" s="7" t="s">
        <v>3096</v>
      </c>
      <c r="C556" s="7" t="s">
        <v>3003</v>
      </c>
      <c r="D556" s="7" t="s">
        <v>3097</v>
      </c>
      <c r="E556" s="7" t="s">
        <v>100</v>
      </c>
      <c r="F556" s="7" t="s">
        <v>3010</v>
      </c>
      <c r="G556" s="7" t="s">
        <v>3018</v>
      </c>
      <c r="H556" s="7" t="s">
        <v>3019</v>
      </c>
      <c r="I556" s="7" t="s">
        <v>3098</v>
      </c>
      <c r="J556" s="9" t="s">
        <v>3099</v>
      </c>
      <c r="K556" s="7" t="s">
        <v>169</v>
      </c>
      <c r="L556" s="10" t="s">
        <v>170</v>
      </c>
    </row>
    <row r="557" customFormat="false" ht="35.25" hidden="false" customHeight="true" outlineLevel="0" collapsed="false">
      <c r="A557" s="7" t="s">
        <v>3100</v>
      </c>
      <c r="B557" s="7" t="s">
        <v>3101</v>
      </c>
      <c r="C557" s="7" t="s">
        <v>3003</v>
      </c>
      <c r="D557" s="7" t="s">
        <v>3102</v>
      </c>
      <c r="E557" s="7" t="s">
        <v>104</v>
      </c>
      <c r="F557" s="7" t="s">
        <v>1235</v>
      </c>
      <c r="G557" s="7" t="s">
        <v>1730</v>
      </c>
      <c r="H557" s="7" t="s">
        <v>1731</v>
      </c>
      <c r="I557" s="7" t="s">
        <v>3103</v>
      </c>
      <c r="J557" s="9" t="s">
        <v>3104</v>
      </c>
      <c r="K557" s="7" t="s">
        <v>169</v>
      </c>
      <c r="L557" s="10" t="s">
        <v>170</v>
      </c>
    </row>
    <row r="558" customFormat="false" ht="35.25" hidden="false" customHeight="true" outlineLevel="0" collapsed="false">
      <c r="A558" s="7" t="s">
        <v>3105</v>
      </c>
      <c r="B558" s="7" t="s">
        <v>3106</v>
      </c>
      <c r="C558" s="7" t="s">
        <v>3003</v>
      </c>
      <c r="D558" s="7" t="s">
        <v>3107</v>
      </c>
      <c r="E558" s="7" t="s">
        <v>104</v>
      </c>
      <c r="F558" s="7" t="s">
        <v>1274</v>
      </c>
      <c r="G558" s="7" t="s">
        <v>3108</v>
      </c>
      <c r="H558" s="7" t="s">
        <v>3109</v>
      </c>
      <c r="I558" s="7" t="s">
        <v>3110</v>
      </c>
      <c r="J558" s="9" t="s">
        <v>3111</v>
      </c>
      <c r="K558" s="7" t="s">
        <v>169</v>
      </c>
      <c r="L558" s="10" t="s">
        <v>170</v>
      </c>
    </row>
    <row r="559" customFormat="false" ht="35.25" hidden="false" customHeight="true" outlineLevel="0" collapsed="false">
      <c r="A559" s="7" t="s">
        <v>3112</v>
      </c>
      <c r="B559" s="7" t="s">
        <v>3113</v>
      </c>
      <c r="C559" s="7" t="s">
        <v>3003</v>
      </c>
      <c r="D559" s="7" t="s">
        <v>3114</v>
      </c>
      <c r="E559" s="7" t="s">
        <v>104</v>
      </c>
      <c r="F559" s="7" t="s">
        <v>1274</v>
      </c>
      <c r="G559" s="7" t="s">
        <v>3108</v>
      </c>
      <c r="H559" s="7" t="s">
        <v>3109</v>
      </c>
      <c r="I559" s="7" t="s">
        <v>3115</v>
      </c>
      <c r="J559" s="9" t="s">
        <v>3116</v>
      </c>
      <c r="K559" s="7" t="s">
        <v>169</v>
      </c>
      <c r="L559" s="10" t="s">
        <v>170</v>
      </c>
    </row>
    <row r="560" customFormat="false" ht="52.5" hidden="false" customHeight="true" outlineLevel="0" collapsed="false">
      <c r="A560" s="7" t="s">
        <v>3117</v>
      </c>
      <c r="B560" s="7" t="s">
        <v>3118</v>
      </c>
      <c r="C560" s="7" t="s">
        <v>3003</v>
      </c>
      <c r="D560" s="7" t="s">
        <v>3119</v>
      </c>
      <c r="E560" s="7" t="s">
        <v>104</v>
      </c>
      <c r="F560" s="7" t="s">
        <v>1274</v>
      </c>
      <c r="G560" s="7" t="s">
        <v>3108</v>
      </c>
      <c r="H560" s="7" t="s">
        <v>3109</v>
      </c>
      <c r="I560" s="7" t="s">
        <v>3120</v>
      </c>
      <c r="J560" s="9" t="s">
        <v>3121</v>
      </c>
      <c r="K560" s="7" t="s">
        <v>169</v>
      </c>
      <c r="L560" s="10" t="s">
        <v>170</v>
      </c>
    </row>
    <row r="561" customFormat="false" ht="52.5" hidden="false" customHeight="true" outlineLevel="0" collapsed="false">
      <c r="A561" s="7" t="s">
        <v>3122</v>
      </c>
      <c r="B561" s="7" t="s">
        <v>3123</v>
      </c>
      <c r="C561" s="7" t="s">
        <v>3003</v>
      </c>
      <c r="D561" s="7" t="s">
        <v>3124</v>
      </c>
      <c r="E561" s="7" t="s">
        <v>100</v>
      </c>
      <c r="F561" s="7" t="s">
        <v>3125</v>
      </c>
      <c r="G561" s="7" t="s">
        <v>3126</v>
      </c>
      <c r="H561" s="7" t="s">
        <v>3127</v>
      </c>
      <c r="I561" s="7" t="s">
        <v>3128</v>
      </c>
      <c r="J561" s="9" t="s">
        <v>3129</v>
      </c>
      <c r="K561" s="7" t="s">
        <v>169</v>
      </c>
      <c r="L561" s="10" t="s">
        <v>170</v>
      </c>
    </row>
    <row r="562" customFormat="false" ht="52.5" hidden="false" customHeight="true" outlineLevel="0" collapsed="false">
      <c r="A562" s="7" t="s">
        <v>3130</v>
      </c>
      <c r="B562" s="7" t="s">
        <v>3131</v>
      </c>
      <c r="C562" s="7" t="s">
        <v>3003</v>
      </c>
      <c r="D562" s="7" t="s">
        <v>3132</v>
      </c>
      <c r="E562" s="7" t="s">
        <v>100</v>
      </c>
      <c r="F562" s="7" t="s">
        <v>164</v>
      </c>
      <c r="G562" s="7" t="s">
        <v>165</v>
      </c>
      <c r="H562" s="7" t="s">
        <v>166</v>
      </c>
      <c r="I562" s="7" t="s">
        <v>3133</v>
      </c>
      <c r="J562" s="9" t="s">
        <v>3134</v>
      </c>
      <c r="K562" s="7" t="s">
        <v>169</v>
      </c>
      <c r="L562" s="10" t="s">
        <v>170</v>
      </c>
    </row>
    <row r="563" customFormat="false" ht="52.5" hidden="false" customHeight="true" outlineLevel="0" collapsed="false">
      <c r="A563" s="7" t="s">
        <v>3135</v>
      </c>
      <c r="B563" s="7" t="s">
        <v>3136</v>
      </c>
      <c r="C563" s="7" t="s">
        <v>3003</v>
      </c>
      <c r="D563" s="7" t="s">
        <v>3137</v>
      </c>
      <c r="E563" s="7" t="s">
        <v>100</v>
      </c>
      <c r="F563" s="7" t="s">
        <v>3010</v>
      </c>
      <c r="G563" s="7" t="s">
        <v>3011</v>
      </c>
      <c r="H563" s="7" t="s">
        <v>3012</v>
      </c>
      <c r="I563" s="7" t="s">
        <v>3138</v>
      </c>
      <c r="J563" s="9" t="s">
        <v>3139</v>
      </c>
      <c r="K563" s="7" t="s">
        <v>169</v>
      </c>
      <c r="L563" s="10" t="s">
        <v>170</v>
      </c>
    </row>
    <row r="564" customFormat="false" ht="52.5" hidden="false" customHeight="true" outlineLevel="0" collapsed="false">
      <c r="A564" s="7" t="s">
        <v>3140</v>
      </c>
      <c r="B564" s="7" t="s">
        <v>3141</v>
      </c>
      <c r="C564" s="7" t="s">
        <v>3003</v>
      </c>
      <c r="D564" s="7" t="s">
        <v>3142</v>
      </c>
      <c r="E564" s="7" t="s">
        <v>100</v>
      </c>
      <c r="F564" s="7" t="s">
        <v>164</v>
      </c>
      <c r="G564" s="7" t="s">
        <v>165</v>
      </c>
      <c r="H564" s="7" t="s">
        <v>166</v>
      </c>
      <c r="I564" s="7" t="s">
        <v>3143</v>
      </c>
      <c r="J564" s="9" t="s">
        <v>3144</v>
      </c>
      <c r="K564" s="7" t="s">
        <v>169</v>
      </c>
      <c r="L564" s="10" t="s">
        <v>170</v>
      </c>
    </row>
    <row r="565" customFormat="false" ht="52.5" hidden="false" customHeight="true" outlineLevel="0" collapsed="false">
      <c r="A565" s="7" t="s">
        <v>3145</v>
      </c>
      <c r="B565" s="7" t="s">
        <v>3146</v>
      </c>
      <c r="C565" s="7" t="s">
        <v>3003</v>
      </c>
      <c r="D565" s="7" t="s">
        <v>3147</v>
      </c>
      <c r="E565" s="7" t="s">
        <v>100</v>
      </c>
      <c r="F565" s="7" t="s">
        <v>164</v>
      </c>
      <c r="G565" s="7" t="s">
        <v>165</v>
      </c>
      <c r="H565" s="7" t="s">
        <v>166</v>
      </c>
      <c r="I565" s="7" t="s">
        <v>3148</v>
      </c>
      <c r="J565" s="9" t="s">
        <v>3149</v>
      </c>
      <c r="K565" s="7" t="s">
        <v>169</v>
      </c>
      <c r="L565" s="10" t="s">
        <v>170</v>
      </c>
    </row>
    <row r="566" customFormat="false" ht="52.5" hidden="false" customHeight="true" outlineLevel="0" collapsed="false">
      <c r="A566" s="7" t="s">
        <v>3150</v>
      </c>
      <c r="B566" s="7" t="s">
        <v>3151</v>
      </c>
      <c r="C566" s="7" t="s">
        <v>3003</v>
      </c>
      <c r="D566" s="7" t="s">
        <v>3152</v>
      </c>
      <c r="E566" s="7" t="s">
        <v>100</v>
      </c>
      <c r="F566" s="7" t="s">
        <v>3062</v>
      </c>
      <c r="G566" s="7" t="s">
        <v>3153</v>
      </c>
      <c r="H566" s="7" t="s">
        <v>3154</v>
      </c>
      <c r="I566" s="7" t="s">
        <v>3155</v>
      </c>
      <c r="J566" s="9" t="s">
        <v>3156</v>
      </c>
      <c r="K566" s="7" t="s">
        <v>169</v>
      </c>
      <c r="L566" s="10" t="s">
        <v>170</v>
      </c>
    </row>
    <row r="567" customFormat="false" ht="52.5" hidden="false" customHeight="true" outlineLevel="0" collapsed="false">
      <c r="A567" s="7" t="s">
        <v>3157</v>
      </c>
      <c r="B567" s="7" t="s">
        <v>3158</v>
      </c>
      <c r="C567" s="7" t="s">
        <v>3003</v>
      </c>
      <c r="D567" s="7" t="s">
        <v>3159</v>
      </c>
      <c r="E567" s="7" t="s">
        <v>100</v>
      </c>
      <c r="F567" s="7" t="s">
        <v>3062</v>
      </c>
      <c r="G567" s="7" t="s">
        <v>3153</v>
      </c>
      <c r="H567" s="7" t="s">
        <v>3154</v>
      </c>
      <c r="I567" s="7" t="s">
        <v>3160</v>
      </c>
      <c r="J567" s="9" t="s">
        <v>3161</v>
      </c>
      <c r="K567" s="7" t="s">
        <v>169</v>
      </c>
      <c r="L567" s="10" t="s">
        <v>170</v>
      </c>
    </row>
    <row r="568" customFormat="false" ht="35.25" hidden="false" customHeight="true" outlineLevel="0" collapsed="false">
      <c r="A568" s="7" t="s">
        <v>3162</v>
      </c>
      <c r="B568" s="7" t="s">
        <v>3163</v>
      </c>
      <c r="C568" s="7" t="s">
        <v>3003</v>
      </c>
      <c r="D568" s="7" t="s">
        <v>3164</v>
      </c>
      <c r="E568" s="7" t="s">
        <v>100</v>
      </c>
      <c r="F568" s="7" t="s">
        <v>1288</v>
      </c>
      <c r="G568" s="7" t="s">
        <v>3165</v>
      </c>
      <c r="H568" s="7" t="s">
        <v>3166</v>
      </c>
      <c r="I568" s="7" t="s">
        <v>3167</v>
      </c>
      <c r="J568" s="9" t="s">
        <v>3168</v>
      </c>
      <c r="K568" s="7" t="s">
        <v>169</v>
      </c>
      <c r="L568" s="10" t="s">
        <v>170</v>
      </c>
    </row>
    <row r="569" customFormat="false" ht="35.25" hidden="false" customHeight="true" outlineLevel="0" collapsed="false">
      <c r="A569" s="7" t="s">
        <v>3169</v>
      </c>
      <c r="B569" s="7" t="s">
        <v>3170</v>
      </c>
      <c r="C569" s="7" t="s">
        <v>3003</v>
      </c>
      <c r="D569" s="7" t="s">
        <v>3171</v>
      </c>
      <c r="E569" s="7" t="s">
        <v>100</v>
      </c>
      <c r="F569" s="7" t="s">
        <v>1288</v>
      </c>
      <c r="G569" s="7" t="s">
        <v>3165</v>
      </c>
      <c r="H569" s="7" t="s">
        <v>3166</v>
      </c>
      <c r="I569" s="7" t="s">
        <v>3172</v>
      </c>
      <c r="J569" s="9" t="s">
        <v>3173</v>
      </c>
      <c r="K569" s="7" t="s">
        <v>169</v>
      </c>
      <c r="L569" s="10" t="s">
        <v>170</v>
      </c>
    </row>
    <row r="570" customFormat="false" ht="52.5" hidden="false" customHeight="true" outlineLevel="0" collapsed="false">
      <c r="A570" s="7" t="s">
        <v>3174</v>
      </c>
      <c r="B570" s="7" t="s">
        <v>3175</v>
      </c>
      <c r="C570" s="7" t="s">
        <v>3003</v>
      </c>
      <c r="D570" s="7" t="s">
        <v>3176</v>
      </c>
      <c r="E570" s="7" t="s">
        <v>100</v>
      </c>
      <c r="F570" s="7" t="s">
        <v>3062</v>
      </c>
      <c r="G570" s="7" t="s">
        <v>3153</v>
      </c>
      <c r="H570" s="7" t="s">
        <v>3154</v>
      </c>
      <c r="I570" s="7" t="s">
        <v>3177</v>
      </c>
      <c r="J570" s="9" t="s">
        <v>3178</v>
      </c>
      <c r="K570" s="7" t="s">
        <v>169</v>
      </c>
      <c r="L570" s="10" t="s">
        <v>170</v>
      </c>
    </row>
    <row r="571" customFormat="false" ht="52.5" hidden="false" customHeight="true" outlineLevel="0" collapsed="false">
      <c r="A571" s="7" t="s">
        <v>3179</v>
      </c>
      <c r="B571" s="7" t="s">
        <v>3180</v>
      </c>
      <c r="C571" s="7" t="s">
        <v>3003</v>
      </c>
      <c r="D571" s="7" t="s">
        <v>3181</v>
      </c>
      <c r="E571" s="7" t="s">
        <v>100</v>
      </c>
      <c r="F571" s="7" t="s">
        <v>3062</v>
      </c>
      <c r="G571" s="7" t="s">
        <v>3153</v>
      </c>
      <c r="H571" s="7" t="s">
        <v>3154</v>
      </c>
      <c r="I571" s="7" t="s">
        <v>3182</v>
      </c>
      <c r="J571" s="9" t="s">
        <v>3183</v>
      </c>
      <c r="K571" s="7" t="s">
        <v>169</v>
      </c>
      <c r="L571" s="10" t="s">
        <v>170</v>
      </c>
    </row>
    <row r="572" customFormat="false" ht="35.25" hidden="false" customHeight="true" outlineLevel="0" collapsed="false">
      <c r="A572" s="7" t="s">
        <v>3184</v>
      </c>
      <c r="B572" s="7" t="s">
        <v>3185</v>
      </c>
      <c r="C572" s="7" t="s">
        <v>3003</v>
      </c>
      <c r="D572" s="7" t="s">
        <v>3186</v>
      </c>
      <c r="E572" s="7" t="s">
        <v>100</v>
      </c>
      <c r="F572" s="7" t="s">
        <v>1288</v>
      </c>
      <c r="G572" s="7" t="s">
        <v>3042</v>
      </c>
      <c r="H572" s="7" t="s">
        <v>3043</v>
      </c>
      <c r="I572" s="7" t="s">
        <v>3187</v>
      </c>
      <c r="J572" s="9" t="s">
        <v>3188</v>
      </c>
      <c r="K572" s="7" t="s">
        <v>169</v>
      </c>
      <c r="L572" s="10" t="s">
        <v>170</v>
      </c>
    </row>
    <row r="573" customFormat="false" ht="35.25" hidden="false" customHeight="true" outlineLevel="0" collapsed="false">
      <c r="A573" s="7" t="s">
        <v>3189</v>
      </c>
      <c r="B573" s="7" t="s">
        <v>3190</v>
      </c>
      <c r="C573" s="7" t="s">
        <v>3003</v>
      </c>
      <c r="D573" s="7" t="s">
        <v>3191</v>
      </c>
      <c r="E573" s="7" t="s">
        <v>100</v>
      </c>
      <c r="F573" s="7" t="s">
        <v>3049</v>
      </c>
      <c r="G573" s="7" t="s">
        <v>3192</v>
      </c>
      <c r="H573" s="7" t="s">
        <v>3193</v>
      </c>
      <c r="I573" s="7" t="s">
        <v>3194</v>
      </c>
      <c r="J573" s="9" t="s">
        <v>3195</v>
      </c>
      <c r="K573" s="7" t="s">
        <v>169</v>
      </c>
      <c r="L573" s="10" t="s">
        <v>170</v>
      </c>
    </row>
    <row r="574" customFormat="false" ht="52.5" hidden="false" customHeight="true" outlineLevel="0" collapsed="false">
      <c r="A574" s="7" t="s">
        <v>3196</v>
      </c>
      <c r="B574" s="7" t="s">
        <v>3197</v>
      </c>
      <c r="C574" s="7" t="s">
        <v>3003</v>
      </c>
      <c r="D574" s="7" t="s">
        <v>3198</v>
      </c>
      <c r="E574" s="7" t="s">
        <v>100</v>
      </c>
      <c r="F574" s="7" t="s">
        <v>3010</v>
      </c>
      <c r="G574" s="7" t="s">
        <v>3011</v>
      </c>
      <c r="H574" s="7" t="s">
        <v>3012</v>
      </c>
      <c r="I574" s="7" t="s">
        <v>3199</v>
      </c>
      <c r="J574" s="9" t="s">
        <v>3200</v>
      </c>
      <c r="K574" s="7" t="s">
        <v>169</v>
      </c>
      <c r="L574" s="10" t="s">
        <v>170</v>
      </c>
    </row>
    <row r="575" customFormat="false" ht="52.5" hidden="false" customHeight="true" outlineLevel="0" collapsed="false">
      <c r="A575" s="7" t="s">
        <v>3201</v>
      </c>
      <c r="B575" s="7" t="s">
        <v>3202</v>
      </c>
      <c r="C575" s="7" t="s">
        <v>3003</v>
      </c>
      <c r="D575" s="7" t="s">
        <v>3203</v>
      </c>
      <c r="E575" s="7" t="s">
        <v>100</v>
      </c>
      <c r="F575" s="7" t="s">
        <v>3125</v>
      </c>
      <c r="G575" s="7" t="s">
        <v>3204</v>
      </c>
      <c r="H575" s="7" t="s">
        <v>3205</v>
      </c>
      <c r="I575" s="7" t="s">
        <v>3206</v>
      </c>
      <c r="J575" s="9" t="s">
        <v>3207</v>
      </c>
      <c r="K575" s="7" t="s">
        <v>169</v>
      </c>
      <c r="L575" s="10" t="s">
        <v>170</v>
      </c>
    </row>
    <row r="576" customFormat="false" ht="52.5" hidden="false" customHeight="true" outlineLevel="0" collapsed="false">
      <c r="A576" s="7" t="s">
        <v>3208</v>
      </c>
      <c r="B576" s="7" t="s">
        <v>3209</v>
      </c>
      <c r="C576" s="7" t="s">
        <v>3003</v>
      </c>
      <c r="D576" s="7" t="s">
        <v>3210</v>
      </c>
      <c r="E576" s="7" t="s">
        <v>100</v>
      </c>
      <c r="F576" s="7" t="s">
        <v>3125</v>
      </c>
      <c r="G576" s="7" t="s">
        <v>3204</v>
      </c>
      <c r="H576" s="7" t="s">
        <v>3205</v>
      </c>
      <c r="I576" s="7" t="s">
        <v>3211</v>
      </c>
      <c r="J576" s="9" t="s">
        <v>3212</v>
      </c>
      <c r="K576" s="7" t="s">
        <v>169</v>
      </c>
      <c r="L576" s="10" t="s">
        <v>170</v>
      </c>
    </row>
    <row r="577" customFormat="false" ht="35.25" hidden="false" customHeight="true" outlineLevel="0" collapsed="false">
      <c r="A577" s="7" t="s">
        <v>3213</v>
      </c>
      <c r="B577" s="7" t="s">
        <v>3214</v>
      </c>
      <c r="C577" s="7" t="s">
        <v>3003</v>
      </c>
      <c r="D577" s="7" t="s">
        <v>3215</v>
      </c>
      <c r="E577" s="7" t="s">
        <v>100</v>
      </c>
      <c r="F577" s="7" t="s">
        <v>1288</v>
      </c>
      <c r="G577" s="7" t="s">
        <v>1289</v>
      </c>
      <c r="H577" s="7" t="s">
        <v>1290</v>
      </c>
      <c r="I577" s="7" t="s">
        <v>3216</v>
      </c>
      <c r="J577" s="9" t="s">
        <v>3217</v>
      </c>
      <c r="K577" s="7" t="s">
        <v>169</v>
      </c>
      <c r="L577" s="10" t="s">
        <v>170</v>
      </c>
    </row>
    <row r="578" customFormat="false" ht="35.25" hidden="false" customHeight="true" outlineLevel="0" collapsed="false">
      <c r="A578" s="7" t="s">
        <v>3218</v>
      </c>
      <c r="B578" s="7" t="s">
        <v>3219</v>
      </c>
      <c r="C578" s="7" t="s">
        <v>3003</v>
      </c>
      <c r="D578" s="7" t="s">
        <v>3220</v>
      </c>
      <c r="E578" s="7" t="s">
        <v>100</v>
      </c>
      <c r="F578" s="7" t="s">
        <v>3062</v>
      </c>
      <c r="G578" s="7" t="s">
        <v>3084</v>
      </c>
      <c r="H578" s="7" t="s">
        <v>3085</v>
      </c>
      <c r="I578" s="7" t="s">
        <v>3221</v>
      </c>
      <c r="J578" s="9" t="s">
        <v>3222</v>
      </c>
      <c r="K578" s="7" t="s">
        <v>169</v>
      </c>
      <c r="L578" s="10" t="s">
        <v>170</v>
      </c>
    </row>
    <row r="579" customFormat="false" ht="52.5" hidden="false" customHeight="true" outlineLevel="0" collapsed="false">
      <c r="A579" s="7" t="s">
        <v>3223</v>
      </c>
      <c r="B579" s="7" t="s">
        <v>3224</v>
      </c>
      <c r="C579" s="7" t="s">
        <v>3225</v>
      </c>
      <c r="D579" s="7" t="s">
        <v>163</v>
      </c>
      <c r="E579" s="7" t="s">
        <v>100</v>
      </c>
      <c r="F579" s="7" t="s">
        <v>164</v>
      </c>
      <c r="G579" s="7" t="s">
        <v>165</v>
      </c>
      <c r="H579" s="7" t="s">
        <v>166</v>
      </c>
      <c r="I579" s="7" t="s">
        <v>3226</v>
      </c>
      <c r="J579" s="9" t="s">
        <v>3227</v>
      </c>
      <c r="K579" s="7" t="s">
        <v>169</v>
      </c>
      <c r="L579" s="10" t="s">
        <v>170</v>
      </c>
    </row>
    <row r="580" customFormat="false" ht="35.25" hidden="false" customHeight="true" outlineLevel="0" collapsed="false">
      <c r="A580" s="7" t="s">
        <v>3228</v>
      </c>
      <c r="B580" s="7" t="s">
        <v>3229</v>
      </c>
      <c r="C580" s="7" t="s">
        <v>3225</v>
      </c>
      <c r="D580" s="7" t="s">
        <v>3230</v>
      </c>
      <c r="E580" s="7" t="s">
        <v>100</v>
      </c>
      <c r="F580" s="7" t="s">
        <v>3010</v>
      </c>
      <c r="G580" s="7" t="s">
        <v>3091</v>
      </c>
      <c r="H580" s="7" t="s">
        <v>3092</v>
      </c>
      <c r="I580" s="7" t="s">
        <v>3231</v>
      </c>
      <c r="J580" s="9" t="s">
        <v>3232</v>
      </c>
      <c r="K580" s="7" t="s">
        <v>169</v>
      </c>
      <c r="L580" s="10" t="s">
        <v>170</v>
      </c>
    </row>
    <row r="581" customFormat="false" ht="35.25" hidden="false" customHeight="true" outlineLevel="0" collapsed="false">
      <c r="A581" s="7" t="s">
        <v>3233</v>
      </c>
      <c r="B581" s="7" t="s">
        <v>3234</v>
      </c>
      <c r="C581" s="7" t="s">
        <v>3225</v>
      </c>
      <c r="D581" s="7" t="s">
        <v>3235</v>
      </c>
      <c r="E581" s="7" t="s">
        <v>100</v>
      </c>
      <c r="F581" s="7" t="s">
        <v>3010</v>
      </c>
      <c r="G581" s="7" t="s">
        <v>3091</v>
      </c>
      <c r="H581" s="7" t="s">
        <v>3092</v>
      </c>
      <c r="I581" s="7" t="s">
        <v>3236</v>
      </c>
      <c r="J581" s="9" t="s">
        <v>3237</v>
      </c>
      <c r="K581" s="7" t="s">
        <v>169</v>
      </c>
      <c r="L581" s="10" t="s">
        <v>170</v>
      </c>
    </row>
    <row r="582" customFormat="false" ht="35.25" hidden="false" customHeight="true" outlineLevel="0" collapsed="false">
      <c r="A582" s="7" t="s">
        <v>3238</v>
      </c>
      <c r="B582" s="7" t="s">
        <v>3239</v>
      </c>
      <c r="C582" s="7" t="s">
        <v>3225</v>
      </c>
      <c r="D582" s="7" t="s">
        <v>3240</v>
      </c>
      <c r="E582" s="7" t="s">
        <v>100</v>
      </c>
      <c r="F582" s="7" t="s">
        <v>3010</v>
      </c>
      <c r="G582" s="7" t="s">
        <v>3091</v>
      </c>
      <c r="H582" s="7" t="s">
        <v>3092</v>
      </c>
      <c r="I582" s="7" t="s">
        <v>3241</v>
      </c>
      <c r="J582" s="9" t="s">
        <v>3242</v>
      </c>
      <c r="K582" s="7" t="s">
        <v>169</v>
      </c>
      <c r="L582" s="10" t="s">
        <v>170</v>
      </c>
    </row>
    <row r="583" customFormat="false" ht="35.25" hidden="false" customHeight="true" outlineLevel="0" collapsed="false">
      <c r="A583" s="7" t="s">
        <v>3243</v>
      </c>
      <c r="B583" s="7" t="s">
        <v>3244</v>
      </c>
      <c r="C583" s="7" t="s">
        <v>3225</v>
      </c>
      <c r="D583" s="7" t="s">
        <v>3245</v>
      </c>
      <c r="E583" s="7" t="s">
        <v>100</v>
      </c>
      <c r="F583" s="7" t="s">
        <v>3010</v>
      </c>
      <c r="G583" s="7" t="s">
        <v>3091</v>
      </c>
      <c r="H583" s="7" t="s">
        <v>3092</v>
      </c>
      <c r="I583" s="7" t="s">
        <v>3246</v>
      </c>
      <c r="J583" s="9" t="s">
        <v>3247</v>
      </c>
      <c r="K583" s="7" t="s">
        <v>169</v>
      </c>
      <c r="L583" s="10" t="s">
        <v>170</v>
      </c>
    </row>
    <row r="584" customFormat="false" ht="52.5" hidden="false" customHeight="true" outlineLevel="0" collapsed="false">
      <c r="A584" s="7" t="s">
        <v>3248</v>
      </c>
      <c r="B584" s="7" t="s">
        <v>3249</v>
      </c>
      <c r="C584" s="7" t="s">
        <v>3225</v>
      </c>
      <c r="D584" s="7" t="s">
        <v>3250</v>
      </c>
      <c r="E584" s="7" t="s">
        <v>100</v>
      </c>
      <c r="F584" s="7" t="s">
        <v>3010</v>
      </c>
      <c r="G584" s="7" t="s">
        <v>3091</v>
      </c>
      <c r="H584" s="7" t="s">
        <v>3092</v>
      </c>
      <c r="I584" s="7" t="s">
        <v>3251</v>
      </c>
      <c r="J584" s="9" t="s">
        <v>3252</v>
      </c>
      <c r="K584" s="7" t="s">
        <v>169</v>
      </c>
      <c r="L584" s="10" t="s">
        <v>170</v>
      </c>
    </row>
    <row r="585" customFormat="false" ht="35.25" hidden="false" customHeight="true" outlineLevel="0" collapsed="false">
      <c r="A585" s="7" t="s">
        <v>3253</v>
      </c>
      <c r="B585" s="7" t="s">
        <v>3254</v>
      </c>
      <c r="C585" s="7" t="s">
        <v>3225</v>
      </c>
      <c r="D585" s="7" t="s">
        <v>3255</v>
      </c>
      <c r="E585" s="7" t="s">
        <v>100</v>
      </c>
      <c r="F585" s="7" t="s">
        <v>3010</v>
      </c>
      <c r="G585" s="7" t="s">
        <v>3091</v>
      </c>
      <c r="H585" s="7" t="s">
        <v>3092</v>
      </c>
      <c r="I585" s="7" t="s">
        <v>3256</v>
      </c>
      <c r="J585" s="9" t="s">
        <v>3257</v>
      </c>
      <c r="K585" s="7" t="s">
        <v>169</v>
      </c>
      <c r="L585" s="10" t="s">
        <v>170</v>
      </c>
    </row>
    <row r="586" customFormat="false" ht="35.25" hidden="false" customHeight="true" outlineLevel="0" collapsed="false">
      <c r="A586" s="7" t="s">
        <v>3258</v>
      </c>
      <c r="B586" s="7" t="s">
        <v>3259</v>
      </c>
      <c r="C586" s="7" t="s">
        <v>3225</v>
      </c>
      <c r="D586" s="7" t="s">
        <v>3260</v>
      </c>
      <c r="E586" s="7" t="s">
        <v>100</v>
      </c>
      <c r="F586" s="7" t="s">
        <v>3010</v>
      </c>
      <c r="G586" s="7" t="s">
        <v>3091</v>
      </c>
      <c r="H586" s="7" t="s">
        <v>3092</v>
      </c>
      <c r="I586" s="7" t="s">
        <v>3261</v>
      </c>
      <c r="J586" s="9" t="s">
        <v>3262</v>
      </c>
      <c r="K586" s="7" t="s">
        <v>1993</v>
      </c>
      <c r="L586" s="12" t="s">
        <v>186</v>
      </c>
    </row>
    <row r="587" customFormat="false" ht="69.75" hidden="false" customHeight="true" outlineLevel="0" collapsed="false">
      <c r="A587" s="7" t="s">
        <v>3263</v>
      </c>
      <c r="B587" s="7" t="s">
        <v>3264</v>
      </c>
      <c r="C587" s="7" t="s">
        <v>3225</v>
      </c>
      <c r="D587" s="7" t="s">
        <v>3265</v>
      </c>
      <c r="E587" s="7" t="s">
        <v>100</v>
      </c>
      <c r="F587" s="7" t="s">
        <v>3010</v>
      </c>
      <c r="G587" s="7" t="s">
        <v>3091</v>
      </c>
      <c r="H587" s="7" t="s">
        <v>3092</v>
      </c>
      <c r="I587" s="7" t="s">
        <v>3266</v>
      </c>
      <c r="J587" s="9" t="s">
        <v>3267</v>
      </c>
      <c r="K587" s="7" t="s">
        <v>1993</v>
      </c>
      <c r="L587" s="10" t="s">
        <v>572</v>
      </c>
    </row>
    <row r="588" customFormat="false" ht="69.75" hidden="false" customHeight="true" outlineLevel="0" collapsed="false">
      <c r="A588" s="7" t="s">
        <v>3268</v>
      </c>
      <c r="B588" s="7" t="s">
        <v>3269</v>
      </c>
      <c r="C588" s="7" t="s">
        <v>3225</v>
      </c>
      <c r="D588" s="7" t="s">
        <v>3270</v>
      </c>
      <c r="E588" s="7" t="s">
        <v>100</v>
      </c>
      <c r="F588" s="7" t="s">
        <v>3010</v>
      </c>
      <c r="G588" s="7" t="s">
        <v>3091</v>
      </c>
      <c r="H588" s="7" t="s">
        <v>3092</v>
      </c>
      <c r="I588" s="7" t="s">
        <v>3271</v>
      </c>
      <c r="J588" s="9" t="s">
        <v>3272</v>
      </c>
      <c r="K588" s="7" t="s">
        <v>1993</v>
      </c>
      <c r="L588" s="10" t="s">
        <v>572</v>
      </c>
    </row>
    <row r="589" customFormat="false" ht="35.25" hidden="false" customHeight="true" outlineLevel="0" collapsed="false">
      <c r="A589" s="7" t="s">
        <v>3273</v>
      </c>
      <c r="B589" s="7" t="s">
        <v>3274</v>
      </c>
      <c r="C589" s="7" t="s">
        <v>3225</v>
      </c>
      <c r="D589" s="7" t="s">
        <v>3275</v>
      </c>
      <c r="E589" s="7" t="s">
        <v>100</v>
      </c>
      <c r="F589" s="7" t="s">
        <v>3010</v>
      </c>
      <c r="G589" s="7" t="s">
        <v>3091</v>
      </c>
      <c r="H589" s="7" t="s">
        <v>3092</v>
      </c>
      <c r="I589" s="7" t="s">
        <v>3276</v>
      </c>
      <c r="J589" s="9" t="s">
        <v>3277</v>
      </c>
      <c r="K589" s="7" t="s">
        <v>1993</v>
      </c>
      <c r="L589" s="12" t="s">
        <v>186</v>
      </c>
    </row>
    <row r="590" customFormat="false" ht="35.25" hidden="false" customHeight="true" outlineLevel="0" collapsed="false">
      <c r="A590" s="7" t="s">
        <v>3278</v>
      </c>
      <c r="B590" s="7" t="s">
        <v>3279</v>
      </c>
      <c r="C590" s="7" t="s">
        <v>3225</v>
      </c>
      <c r="D590" s="7" t="s">
        <v>3280</v>
      </c>
      <c r="E590" s="7" t="s">
        <v>100</v>
      </c>
      <c r="F590" s="7" t="s">
        <v>3010</v>
      </c>
      <c r="G590" s="7" t="s">
        <v>3091</v>
      </c>
      <c r="H590" s="7" t="s">
        <v>3092</v>
      </c>
      <c r="I590" s="7" t="s">
        <v>3281</v>
      </c>
      <c r="J590" s="9" t="s">
        <v>3282</v>
      </c>
      <c r="K590" s="7" t="s">
        <v>169</v>
      </c>
      <c r="L590" s="10" t="s">
        <v>170</v>
      </c>
    </row>
    <row r="591" customFormat="false" ht="35.25" hidden="false" customHeight="true" outlineLevel="0" collapsed="false">
      <c r="A591" s="7" t="s">
        <v>3283</v>
      </c>
      <c r="B591" s="7" t="s">
        <v>3284</v>
      </c>
      <c r="C591" s="7" t="s">
        <v>3225</v>
      </c>
      <c r="D591" s="7" t="s">
        <v>3285</v>
      </c>
      <c r="E591" s="7" t="s">
        <v>100</v>
      </c>
      <c r="F591" s="7" t="s">
        <v>3010</v>
      </c>
      <c r="G591" s="7" t="s">
        <v>3091</v>
      </c>
      <c r="H591" s="7" t="s">
        <v>3092</v>
      </c>
      <c r="I591" s="7" t="s">
        <v>3286</v>
      </c>
      <c r="J591" s="9" t="s">
        <v>3287</v>
      </c>
      <c r="K591" s="7" t="s">
        <v>169</v>
      </c>
      <c r="L591" s="10" t="s">
        <v>170</v>
      </c>
    </row>
    <row r="592" customFormat="false" ht="35.25" hidden="false" customHeight="true" outlineLevel="0" collapsed="false">
      <c r="A592" s="7" t="s">
        <v>3288</v>
      </c>
      <c r="B592" s="7" t="s">
        <v>3289</v>
      </c>
      <c r="C592" s="7" t="s">
        <v>3225</v>
      </c>
      <c r="D592" s="7" t="s">
        <v>3290</v>
      </c>
      <c r="E592" s="7" t="s">
        <v>100</v>
      </c>
      <c r="F592" s="7" t="s">
        <v>3010</v>
      </c>
      <c r="G592" s="7" t="s">
        <v>3091</v>
      </c>
      <c r="H592" s="7" t="s">
        <v>3092</v>
      </c>
      <c r="I592" s="7" t="s">
        <v>3291</v>
      </c>
      <c r="J592" s="9" t="s">
        <v>3292</v>
      </c>
      <c r="K592" s="7" t="s">
        <v>169</v>
      </c>
      <c r="L592" s="10" t="s">
        <v>170</v>
      </c>
    </row>
    <row r="593" customFormat="false" ht="52.5" hidden="false" customHeight="true" outlineLevel="0" collapsed="false">
      <c r="A593" s="7" t="s">
        <v>3293</v>
      </c>
      <c r="B593" s="7" t="s">
        <v>3294</v>
      </c>
      <c r="C593" s="7" t="s">
        <v>3225</v>
      </c>
      <c r="D593" s="7" t="s">
        <v>3295</v>
      </c>
      <c r="E593" s="7" t="s">
        <v>100</v>
      </c>
      <c r="F593" s="7" t="s">
        <v>3125</v>
      </c>
      <c r="G593" s="7" t="s">
        <v>3126</v>
      </c>
      <c r="H593" s="7" t="s">
        <v>3127</v>
      </c>
      <c r="I593" s="7" t="s">
        <v>3296</v>
      </c>
      <c r="J593" s="9" t="s">
        <v>3297</v>
      </c>
      <c r="K593" s="7" t="s">
        <v>169</v>
      </c>
      <c r="L593" s="10" t="s">
        <v>170</v>
      </c>
    </row>
    <row r="594" customFormat="false" ht="35.25" hidden="false" customHeight="true" outlineLevel="0" collapsed="false">
      <c r="A594" s="7" t="s">
        <v>3298</v>
      </c>
      <c r="B594" s="7" t="s">
        <v>3299</v>
      </c>
      <c r="C594" s="7" t="s">
        <v>3225</v>
      </c>
      <c r="D594" s="7" t="s">
        <v>3300</v>
      </c>
      <c r="E594" s="7" t="s">
        <v>100</v>
      </c>
      <c r="F594" s="7" t="s">
        <v>3010</v>
      </c>
      <c r="G594" s="7" t="s">
        <v>3091</v>
      </c>
      <c r="H594" s="7" t="s">
        <v>3092</v>
      </c>
      <c r="I594" s="7" t="s">
        <v>3301</v>
      </c>
      <c r="J594" s="9" t="s">
        <v>3302</v>
      </c>
      <c r="K594" s="7" t="s">
        <v>169</v>
      </c>
      <c r="L594" s="10" t="s">
        <v>170</v>
      </c>
    </row>
    <row r="595" customFormat="false" ht="35.25" hidden="false" customHeight="true" outlineLevel="0" collapsed="false">
      <c r="A595" s="7" t="s">
        <v>3303</v>
      </c>
      <c r="B595" s="7" t="s">
        <v>3304</v>
      </c>
      <c r="C595" s="7" t="s">
        <v>3225</v>
      </c>
      <c r="D595" s="7" t="s">
        <v>3305</v>
      </c>
      <c r="E595" s="7" t="s">
        <v>100</v>
      </c>
      <c r="F595" s="7" t="s">
        <v>3010</v>
      </c>
      <c r="G595" s="7" t="s">
        <v>3077</v>
      </c>
      <c r="H595" s="7" t="s">
        <v>3078</v>
      </c>
      <c r="I595" s="7" t="s">
        <v>3306</v>
      </c>
      <c r="J595" s="9" t="s">
        <v>3307</v>
      </c>
      <c r="K595" s="7" t="s">
        <v>169</v>
      </c>
      <c r="L595" s="10" t="s">
        <v>170</v>
      </c>
    </row>
    <row r="596" customFormat="false" ht="52.5" hidden="false" customHeight="true" outlineLevel="0" collapsed="false">
      <c r="A596" s="7" t="s">
        <v>3308</v>
      </c>
      <c r="B596" s="7" t="s">
        <v>3309</v>
      </c>
      <c r="C596" s="7" t="s">
        <v>3310</v>
      </c>
      <c r="D596" s="7" t="s">
        <v>163</v>
      </c>
      <c r="E596" s="7" t="s">
        <v>100</v>
      </c>
      <c r="F596" s="7" t="s">
        <v>164</v>
      </c>
      <c r="G596" s="7" t="s">
        <v>165</v>
      </c>
      <c r="H596" s="7" t="s">
        <v>166</v>
      </c>
      <c r="I596" s="7" t="s">
        <v>3311</v>
      </c>
      <c r="J596" s="9" t="s">
        <v>3312</v>
      </c>
      <c r="K596" s="7" t="s">
        <v>169</v>
      </c>
      <c r="L596" s="10" t="s">
        <v>170</v>
      </c>
    </row>
    <row r="597" customFormat="false" ht="52.5" hidden="false" customHeight="true" outlineLevel="0" collapsed="false">
      <c r="A597" s="7" t="s">
        <v>3313</v>
      </c>
      <c r="B597" s="7" t="s">
        <v>3314</v>
      </c>
      <c r="C597" s="7" t="s">
        <v>3310</v>
      </c>
      <c r="D597" s="7" t="s">
        <v>3315</v>
      </c>
      <c r="E597" s="7" t="s">
        <v>100</v>
      </c>
      <c r="F597" s="7" t="s">
        <v>3062</v>
      </c>
      <c r="G597" s="7" t="s">
        <v>3153</v>
      </c>
      <c r="H597" s="7" t="s">
        <v>3154</v>
      </c>
      <c r="I597" s="7" t="s">
        <v>3316</v>
      </c>
      <c r="J597" s="9" t="s">
        <v>3317</v>
      </c>
      <c r="K597" s="7" t="s">
        <v>169</v>
      </c>
      <c r="L597" s="10" t="s">
        <v>170</v>
      </c>
    </row>
    <row r="598" customFormat="false" ht="52.5" hidden="false" customHeight="true" outlineLevel="0" collapsed="false">
      <c r="A598" s="7" t="s">
        <v>3318</v>
      </c>
      <c r="B598" s="7" t="s">
        <v>3319</v>
      </c>
      <c r="C598" s="7" t="s">
        <v>3310</v>
      </c>
      <c r="D598" s="7" t="s">
        <v>3320</v>
      </c>
      <c r="E598" s="7" t="s">
        <v>100</v>
      </c>
      <c r="F598" s="7" t="s">
        <v>3062</v>
      </c>
      <c r="G598" s="7" t="s">
        <v>3153</v>
      </c>
      <c r="H598" s="7" t="s">
        <v>3154</v>
      </c>
      <c r="I598" s="7" t="s">
        <v>3321</v>
      </c>
      <c r="J598" s="9" t="s">
        <v>3322</v>
      </c>
      <c r="K598" s="7" t="s">
        <v>169</v>
      </c>
      <c r="L598" s="10" t="s">
        <v>170</v>
      </c>
    </row>
    <row r="599" customFormat="false" ht="52.5" hidden="false" customHeight="true" outlineLevel="0" collapsed="false">
      <c r="A599" s="7" t="s">
        <v>3323</v>
      </c>
      <c r="B599" s="7" t="s">
        <v>3324</v>
      </c>
      <c r="C599" s="7" t="s">
        <v>3310</v>
      </c>
      <c r="D599" s="7" t="s">
        <v>3325</v>
      </c>
      <c r="E599" s="7" t="s">
        <v>100</v>
      </c>
      <c r="F599" s="7" t="s">
        <v>3062</v>
      </c>
      <c r="G599" s="7" t="s">
        <v>3153</v>
      </c>
      <c r="H599" s="7" t="s">
        <v>3154</v>
      </c>
      <c r="I599" s="7" t="s">
        <v>3326</v>
      </c>
      <c r="J599" s="9" t="s">
        <v>3327</v>
      </c>
      <c r="K599" s="7" t="s">
        <v>169</v>
      </c>
      <c r="L599" s="10" t="s">
        <v>170</v>
      </c>
    </row>
    <row r="600" customFormat="false" ht="52.5" hidden="false" customHeight="true" outlineLevel="0" collapsed="false">
      <c r="A600" s="7" t="s">
        <v>3328</v>
      </c>
      <c r="B600" s="7" t="s">
        <v>3329</v>
      </c>
      <c r="C600" s="7" t="s">
        <v>3310</v>
      </c>
      <c r="D600" s="7" t="s">
        <v>3330</v>
      </c>
      <c r="E600" s="7" t="s">
        <v>100</v>
      </c>
      <c r="F600" s="7" t="s">
        <v>3062</v>
      </c>
      <c r="G600" s="7" t="s">
        <v>3153</v>
      </c>
      <c r="H600" s="7" t="s">
        <v>3154</v>
      </c>
      <c r="I600" s="7" t="s">
        <v>3331</v>
      </c>
      <c r="J600" s="9" t="s">
        <v>3332</v>
      </c>
      <c r="K600" s="7" t="s">
        <v>169</v>
      </c>
      <c r="L600" s="10" t="s">
        <v>170</v>
      </c>
    </row>
    <row r="601" customFormat="false" ht="52.5" hidden="false" customHeight="true" outlineLevel="0" collapsed="false">
      <c r="A601" s="7" t="s">
        <v>3333</v>
      </c>
      <c r="B601" s="7" t="s">
        <v>3334</v>
      </c>
      <c r="C601" s="7" t="s">
        <v>3310</v>
      </c>
      <c r="D601" s="7" t="s">
        <v>3335</v>
      </c>
      <c r="E601" s="7" t="s">
        <v>100</v>
      </c>
      <c r="F601" s="7" t="s">
        <v>3062</v>
      </c>
      <c r="G601" s="7" t="s">
        <v>3153</v>
      </c>
      <c r="H601" s="7" t="s">
        <v>3154</v>
      </c>
      <c r="I601" s="7" t="s">
        <v>3336</v>
      </c>
      <c r="J601" s="9" t="s">
        <v>3337</v>
      </c>
      <c r="K601" s="7" t="s">
        <v>169</v>
      </c>
      <c r="L601" s="10" t="s">
        <v>170</v>
      </c>
    </row>
    <row r="602" customFormat="false" ht="52.5" hidden="false" customHeight="true" outlineLevel="0" collapsed="false">
      <c r="A602" s="7" t="s">
        <v>3338</v>
      </c>
      <c r="B602" s="7" t="s">
        <v>3339</v>
      </c>
      <c r="C602" s="7" t="s">
        <v>3310</v>
      </c>
      <c r="D602" s="7" t="s">
        <v>3340</v>
      </c>
      <c r="E602" s="7" t="s">
        <v>100</v>
      </c>
      <c r="F602" s="7" t="s">
        <v>3062</v>
      </c>
      <c r="G602" s="7" t="s">
        <v>3153</v>
      </c>
      <c r="H602" s="7" t="s">
        <v>3154</v>
      </c>
      <c r="I602" s="7" t="s">
        <v>3341</v>
      </c>
      <c r="J602" s="9" t="s">
        <v>3342</v>
      </c>
      <c r="K602" s="7" t="s">
        <v>169</v>
      </c>
      <c r="L602" s="10" t="s">
        <v>170</v>
      </c>
    </row>
    <row r="603" customFormat="false" ht="52.5" hidden="false" customHeight="true" outlineLevel="0" collapsed="false">
      <c r="A603" s="7" t="s">
        <v>3343</v>
      </c>
      <c r="B603" s="7" t="s">
        <v>3344</v>
      </c>
      <c r="C603" s="7" t="s">
        <v>3310</v>
      </c>
      <c r="D603" s="7" t="s">
        <v>3345</v>
      </c>
      <c r="E603" s="7" t="s">
        <v>100</v>
      </c>
      <c r="F603" s="7" t="s">
        <v>3062</v>
      </c>
      <c r="G603" s="7" t="s">
        <v>3153</v>
      </c>
      <c r="H603" s="7" t="s">
        <v>3154</v>
      </c>
      <c r="I603" s="7" t="s">
        <v>3346</v>
      </c>
      <c r="J603" s="9" t="s">
        <v>3347</v>
      </c>
      <c r="K603" s="7" t="s">
        <v>169</v>
      </c>
      <c r="L603" s="10" t="s">
        <v>170</v>
      </c>
    </row>
    <row r="604" customFormat="false" ht="52.5" hidden="false" customHeight="true" outlineLevel="0" collapsed="false">
      <c r="A604" s="7" t="s">
        <v>3348</v>
      </c>
      <c r="B604" s="7" t="s">
        <v>3349</v>
      </c>
      <c r="C604" s="7" t="s">
        <v>3310</v>
      </c>
      <c r="D604" s="7" t="s">
        <v>3350</v>
      </c>
      <c r="E604" s="7" t="s">
        <v>100</v>
      </c>
      <c r="F604" s="7" t="s">
        <v>3062</v>
      </c>
      <c r="G604" s="7" t="s">
        <v>3153</v>
      </c>
      <c r="H604" s="7" t="s">
        <v>3154</v>
      </c>
      <c r="I604" s="7" t="s">
        <v>3351</v>
      </c>
      <c r="J604" s="9" t="s">
        <v>3352</v>
      </c>
      <c r="K604" s="7" t="s">
        <v>169</v>
      </c>
      <c r="L604" s="10" t="s">
        <v>170</v>
      </c>
    </row>
    <row r="605" customFormat="false" ht="52.5" hidden="false" customHeight="true" outlineLevel="0" collapsed="false">
      <c r="A605" s="7" t="s">
        <v>3353</v>
      </c>
      <c r="B605" s="7" t="s">
        <v>3354</v>
      </c>
      <c r="C605" s="7" t="s">
        <v>3310</v>
      </c>
      <c r="D605" s="7" t="s">
        <v>3355</v>
      </c>
      <c r="E605" s="7" t="s">
        <v>100</v>
      </c>
      <c r="F605" s="7" t="s">
        <v>3062</v>
      </c>
      <c r="G605" s="7" t="s">
        <v>3153</v>
      </c>
      <c r="H605" s="7" t="s">
        <v>3154</v>
      </c>
      <c r="I605" s="7" t="s">
        <v>3356</v>
      </c>
      <c r="J605" s="9" t="s">
        <v>3357</v>
      </c>
      <c r="K605" s="7" t="s">
        <v>169</v>
      </c>
      <c r="L605" s="10" t="s">
        <v>170</v>
      </c>
    </row>
    <row r="606" customFormat="false" ht="52.5" hidden="false" customHeight="true" outlineLevel="0" collapsed="false">
      <c r="A606" s="7" t="s">
        <v>3358</v>
      </c>
      <c r="B606" s="7" t="s">
        <v>3359</v>
      </c>
      <c r="C606" s="7" t="s">
        <v>3310</v>
      </c>
      <c r="D606" s="7" t="s">
        <v>3360</v>
      </c>
      <c r="E606" s="7" t="s">
        <v>100</v>
      </c>
      <c r="F606" s="7" t="s">
        <v>3062</v>
      </c>
      <c r="G606" s="7" t="s">
        <v>3153</v>
      </c>
      <c r="H606" s="7" t="s">
        <v>3154</v>
      </c>
      <c r="I606" s="7" t="s">
        <v>3361</v>
      </c>
      <c r="J606" s="9" t="s">
        <v>3362</v>
      </c>
      <c r="K606" s="7" t="s">
        <v>169</v>
      </c>
      <c r="L606" s="10" t="s">
        <v>170</v>
      </c>
    </row>
    <row r="607" customFormat="false" ht="52.5" hidden="false" customHeight="true" outlineLevel="0" collapsed="false">
      <c r="A607" s="7" t="s">
        <v>3363</v>
      </c>
      <c r="B607" s="7" t="s">
        <v>3364</v>
      </c>
      <c r="C607" s="7" t="s">
        <v>3310</v>
      </c>
      <c r="D607" s="7" t="s">
        <v>3365</v>
      </c>
      <c r="E607" s="7" t="s">
        <v>100</v>
      </c>
      <c r="F607" s="7" t="s">
        <v>3062</v>
      </c>
      <c r="G607" s="7" t="s">
        <v>3153</v>
      </c>
      <c r="H607" s="7" t="s">
        <v>3154</v>
      </c>
      <c r="I607" s="7" t="s">
        <v>3366</v>
      </c>
      <c r="J607" s="9" t="s">
        <v>3367</v>
      </c>
      <c r="K607" s="7" t="s">
        <v>169</v>
      </c>
      <c r="L607" s="10" t="s">
        <v>170</v>
      </c>
    </row>
    <row r="608" customFormat="false" ht="52.5" hidden="false" customHeight="true" outlineLevel="0" collapsed="false">
      <c r="A608" s="7" t="s">
        <v>3368</v>
      </c>
      <c r="B608" s="7" t="s">
        <v>3369</v>
      </c>
      <c r="C608" s="7" t="s">
        <v>3310</v>
      </c>
      <c r="D608" s="7" t="s">
        <v>3370</v>
      </c>
      <c r="E608" s="7" t="s">
        <v>100</v>
      </c>
      <c r="F608" s="7" t="s">
        <v>3062</v>
      </c>
      <c r="G608" s="7" t="s">
        <v>3153</v>
      </c>
      <c r="H608" s="7" t="s">
        <v>3154</v>
      </c>
      <c r="I608" s="7" t="s">
        <v>3371</v>
      </c>
      <c r="J608" s="9" t="s">
        <v>3372</v>
      </c>
      <c r="K608" s="7" t="s">
        <v>169</v>
      </c>
      <c r="L608" s="10" t="s">
        <v>170</v>
      </c>
    </row>
    <row r="609" customFormat="false" ht="52.5" hidden="false" customHeight="true" outlineLevel="0" collapsed="false">
      <c r="A609" s="7" t="s">
        <v>3373</v>
      </c>
      <c r="B609" s="7" t="s">
        <v>3374</v>
      </c>
      <c r="C609" s="7" t="s">
        <v>3310</v>
      </c>
      <c r="D609" s="7" t="s">
        <v>3375</v>
      </c>
      <c r="E609" s="7" t="s">
        <v>100</v>
      </c>
      <c r="F609" s="7" t="s">
        <v>3062</v>
      </c>
      <c r="G609" s="7" t="s">
        <v>3153</v>
      </c>
      <c r="H609" s="7" t="s">
        <v>3154</v>
      </c>
      <c r="I609" s="7" t="s">
        <v>3376</v>
      </c>
      <c r="J609" s="9" t="s">
        <v>3377</v>
      </c>
      <c r="K609" s="7" t="s">
        <v>169</v>
      </c>
      <c r="L609" s="10" t="s">
        <v>170</v>
      </c>
    </row>
    <row r="610" customFormat="false" ht="52.5" hidden="false" customHeight="true" outlineLevel="0" collapsed="false">
      <c r="A610" s="7" t="s">
        <v>3378</v>
      </c>
      <c r="B610" s="7" t="s">
        <v>3379</v>
      </c>
      <c r="C610" s="7" t="s">
        <v>3310</v>
      </c>
      <c r="D610" s="7" t="s">
        <v>3380</v>
      </c>
      <c r="E610" s="7" t="s">
        <v>100</v>
      </c>
      <c r="F610" s="7" t="s">
        <v>3062</v>
      </c>
      <c r="G610" s="7" t="s">
        <v>3153</v>
      </c>
      <c r="H610" s="7" t="s">
        <v>3154</v>
      </c>
      <c r="I610" s="7" t="s">
        <v>3381</v>
      </c>
      <c r="J610" s="9" t="s">
        <v>3382</v>
      </c>
      <c r="K610" s="7" t="s">
        <v>169</v>
      </c>
      <c r="L610" s="10" t="s">
        <v>170</v>
      </c>
    </row>
    <row r="611" customFormat="false" ht="52.5" hidden="false" customHeight="true" outlineLevel="0" collapsed="false">
      <c r="A611" s="7" t="s">
        <v>3383</v>
      </c>
      <c r="B611" s="7" t="s">
        <v>3384</v>
      </c>
      <c r="C611" s="7" t="s">
        <v>3310</v>
      </c>
      <c r="D611" s="7" t="s">
        <v>3385</v>
      </c>
      <c r="E611" s="7" t="s">
        <v>100</v>
      </c>
      <c r="F611" s="7" t="s">
        <v>3062</v>
      </c>
      <c r="G611" s="7" t="s">
        <v>3153</v>
      </c>
      <c r="H611" s="7" t="s">
        <v>3154</v>
      </c>
      <c r="I611" s="7" t="s">
        <v>3386</v>
      </c>
      <c r="J611" s="9" t="s">
        <v>3387</v>
      </c>
      <c r="K611" s="7" t="s">
        <v>169</v>
      </c>
      <c r="L611" s="10" t="s">
        <v>170</v>
      </c>
    </row>
    <row r="612" customFormat="false" ht="52.5" hidden="false" customHeight="true" outlineLevel="0" collapsed="false">
      <c r="A612" s="7" t="s">
        <v>3388</v>
      </c>
      <c r="B612" s="7" t="s">
        <v>3389</v>
      </c>
      <c r="C612" s="7" t="s">
        <v>3310</v>
      </c>
      <c r="D612" s="7" t="s">
        <v>3390</v>
      </c>
      <c r="E612" s="7" t="s">
        <v>100</v>
      </c>
      <c r="F612" s="7" t="s">
        <v>3062</v>
      </c>
      <c r="G612" s="7" t="s">
        <v>3153</v>
      </c>
      <c r="H612" s="7" t="s">
        <v>3154</v>
      </c>
      <c r="I612" s="7" t="s">
        <v>3391</v>
      </c>
      <c r="J612" s="9" t="s">
        <v>3392</v>
      </c>
      <c r="K612" s="7" t="s">
        <v>169</v>
      </c>
      <c r="L612" s="10" t="s">
        <v>170</v>
      </c>
    </row>
    <row r="613" customFormat="false" ht="52.5" hidden="false" customHeight="true" outlineLevel="0" collapsed="false">
      <c r="A613" s="7" t="s">
        <v>3393</v>
      </c>
      <c r="B613" s="7" t="s">
        <v>3394</v>
      </c>
      <c r="C613" s="7" t="s">
        <v>3310</v>
      </c>
      <c r="D613" s="7" t="s">
        <v>3395</v>
      </c>
      <c r="E613" s="7" t="s">
        <v>100</v>
      </c>
      <c r="F613" s="7" t="s">
        <v>3062</v>
      </c>
      <c r="G613" s="7" t="s">
        <v>3153</v>
      </c>
      <c r="H613" s="7" t="s">
        <v>3154</v>
      </c>
      <c r="I613" s="7" t="s">
        <v>3396</v>
      </c>
      <c r="J613" s="9" t="s">
        <v>3397</v>
      </c>
      <c r="K613" s="7" t="s">
        <v>169</v>
      </c>
      <c r="L613" s="10" t="s">
        <v>170</v>
      </c>
    </row>
    <row r="614" customFormat="false" ht="52.5" hidden="false" customHeight="true" outlineLevel="0" collapsed="false">
      <c r="A614" s="7" t="s">
        <v>3398</v>
      </c>
      <c r="B614" s="7" t="s">
        <v>3399</v>
      </c>
      <c r="C614" s="7" t="s">
        <v>3310</v>
      </c>
      <c r="D614" s="7" t="s">
        <v>3400</v>
      </c>
      <c r="E614" s="7" t="s">
        <v>100</v>
      </c>
      <c r="F614" s="7" t="s">
        <v>3062</v>
      </c>
      <c r="G614" s="7" t="s">
        <v>3153</v>
      </c>
      <c r="H614" s="7" t="s">
        <v>3154</v>
      </c>
      <c r="I614" s="7" t="s">
        <v>3401</v>
      </c>
      <c r="J614" s="9" t="s">
        <v>3402</v>
      </c>
      <c r="K614" s="7" t="s">
        <v>169</v>
      </c>
      <c r="L614" s="10" t="s">
        <v>170</v>
      </c>
    </row>
    <row r="615" customFormat="false" ht="52.5" hidden="false" customHeight="true" outlineLevel="0" collapsed="false">
      <c r="A615" s="7" t="s">
        <v>3403</v>
      </c>
      <c r="B615" s="7" t="s">
        <v>3404</v>
      </c>
      <c r="C615" s="7" t="s">
        <v>3310</v>
      </c>
      <c r="D615" s="7" t="s">
        <v>3405</v>
      </c>
      <c r="E615" s="7" t="s">
        <v>100</v>
      </c>
      <c r="F615" s="7" t="s">
        <v>3062</v>
      </c>
      <c r="G615" s="7" t="s">
        <v>3153</v>
      </c>
      <c r="H615" s="7" t="s">
        <v>3154</v>
      </c>
      <c r="I615" s="7" t="s">
        <v>3406</v>
      </c>
      <c r="J615" s="9" t="s">
        <v>3407</v>
      </c>
      <c r="K615" s="7" t="s">
        <v>169</v>
      </c>
      <c r="L615" s="10" t="s">
        <v>170</v>
      </c>
    </row>
    <row r="616" customFormat="false" ht="52.5" hidden="false" customHeight="true" outlineLevel="0" collapsed="false">
      <c r="A616" s="7" t="s">
        <v>3408</v>
      </c>
      <c r="B616" s="7" t="s">
        <v>3409</v>
      </c>
      <c r="C616" s="7" t="s">
        <v>3310</v>
      </c>
      <c r="D616" s="7" t="s">
        <v>3410</v>
      </c>
      <c r="E616" s="7" t="s">
        <v>100</v>
      </c>
      <c r="F616" s="7" t="s">
        <v>3062</v>
      </c>
      <c r="G616" s="7" t="s">
        <v>3153</v>
      </c>
      <c r="H616" s="7" t="s">
        <v>3154</v>
      </c>
      <c r="I616" s="7" t="s">
        <v>3411</v>
      </c>
      <c r="J616" s="9" t="s">
        <v>3412</v>
      </c>
      <c r="K616" s="7" t="s">
        <v>169</v>
      </c>
      <c r="L616" s="10" t="s">
        <v>170</v>
      </c>
    </row>
    <row r="617" customFormat="false" ht="52.5" hidden="false" customHeight="true" outlineLevel="0" collapsed="false">
      <c r="A617" s="7" t="s">
        <v>3413</v>
      </c>
      <c r="B617" s="7" t="s">
        <v>3414</v>
      </c>
      <c r="C617" s="7" t="s">
        <v>3415</v>
      </c>
      <c r="D617" s="7" t="s">
        <v>163</v>
      </c>
      <c r="E617" s="7" t="s">
        <v>100</v>
      </c>
      <c r="F617" s="7" t="s">
        <v>164</v>
      </c>
      <c r="G617" s="7" t="s">
        <v>165</v>
      </c>
      <c r="H617" s="7" t="s">
        <v>166</v>
      </c>
      <c r="I617" s="7" t="s">
        <v>3416</v>
      </c>
      <c r="J617" s="9" t="s">
        <v>3417</v>
      </c>
      <c r="K617" s="7" t="s">
        <v>169</v>
      </c>
      <c r="L617" s="10" t="s">
        <v>170</v>
      </c>
    </row>
    <row r="618" customFormat="false" ht="35.25" hidden="false" customHeight="true" outlineLevel="0" collapsed="false">
      <c r="A618" s="7" t="s">
        <v>3418</v>
      </c>
      <c r="B618" s="7" t="s">
        <v>3419</v>
      </c>
      <c r="C618" s="7" t="s">
        <v>3415</v>
      </c>
      <c r="D618" s="7" t="s">
        <v>3420</v>
      </c>
      <c r="E618" s="7" t="s">
        <v>104</v>
      </c>
      <c r="F618" s="7" t="s">
        <v>1556</v>
      </c>
      <c r="G618" s="7" t="s">
        <v>3421</v>
      </c>
      <c r="H618" s="7" t="s">
        <v>3422</v>
      </c>
      <c r="I618" s="7" t="s">
        <v>3423</v>
      </c>
      <c r="J618" s="9" t="s">
        <v>3424</v>
      </c>
      <c r="K618" s="7" t="s">
        <v>1279</v>
      </c>
      <c r="L618" s="10" t="s">
        <v>170</v>
      </c>
    </row>
    <row r="619" customFormat="false" ht="35.25" hidden="false" customHeight="true" outlineLevel="0" collapsed="false">
      <c r="A619" s="7" t="s">
        <v>3425</v>
      </c>
      <c r="B619" s="7" t="s">
        <v>3426</v>
      </c>
      <c r="C619" s="7" t="s">
        <v>3415</v>
      </c>
      <c r="D619" s="7" t="s">
        <v>3427</v>
      </c>
      <c r="E619" s="7" t="s">
        <v>104</v>
      </c>
      <c r="F619" s="7" t="s">
        <v>1556</v>
      </c>
      <c r="G619" s="7" t="s">
        <v>3421</v>
      </c>
      <c r="H619" s="7" t="s">
        <v>3422</v>
      </c>
      <c r="I619" s="7" t="s">
        <v>3428</v>
      </c>
      <c r="J619" s="9" t="s">
        <v>3429</v>
      </c>
      <c r="K619" s="7" t="s">
        <v>1279</v>
      </c>
      <c r="L619" s="10" t="s">
        <v>170</v>
      </c>
    </row>
    <row r="620" customFormat="false" ht="35.25" hidden="false" customHeight="true" outlineLevel="0" collapsed="false">
      <c r="A620" s="7" t="s">
        <v>3430</v>
      </c>
      <c r="B620" s="7" t="s">
        <v>3431</v>
      </c>
      <c r="C620" s="7" t="s">
        <v>3415</v>
      </c>
      <c r="D620" s="7" t="s">
        <v>3432</v>
      </c>
      <c r="E620" s="7" t="s">
        <v>104</v>
      </c>
      <c r="F620" s="7" t="s">
        <v>1274</v>
      </c>
      <c r="G620" s="7" t="s">
        <v>3433</v>
      </c>
      <c r="H620" s="7" t="s">
        <v>3434</v>
      </c>
      <c r="I620" s="7" t="s">
        <v>3435</v>
      </c>
      <c r="J620" s="9" t="s">
        <v>3436</v>
      </c>
      <c r="K620" s="7" t="s">
        <v>1240</v>
      </c>
      <c r="L620" s="10" t="s">
        <v>170</v>
      </c>
    </row>
    <row r="621" customFormat="false" ht="35.25" hidden="false" customHeight="true" outlineLevel="0" collapsed="false">
      <c r="A621" s="7" t="s">
        <v>3437</v>
      </c>
      <c r="B621" s="7" t="s">
        <v>3438</v>
      </c>
      <c r="C621" s="7" t="s">
        <v>3415</v>
      </c>
      <c r="D621" s="7" t="s">
        <v>3439</v>
      </c>
      <c r="E621" s="7" t="s">
        <v>104</v>
      </c>
      <c r="F621" s="7" t="s">
        <v>1274</v>
      </c>
      <c r="G621" s="7" t="s">
        <v>3433</v>
      </c>
      <c r="H621" s="7" t="s">
        <v>3434</v>
      </c>
      <c r="I621" s="7" t="s">
        <v>3440</v>
      </c>
      <c r="J621" s="9" t="s">
        <v>3441</v>
      </c>
      <c r="K621" s="7" t="s">
        <v>1240</v>
      </c>
      <c r="L621" s="10" t="s">
        <v>170</v>
      </c>
    </row>
    <row r="622" customFormat="false" ht="35.25" hidden="false" customHeight="true" outlineLevel="0" collapsed="false">
      <c r="A622" s="7" t="s">
        <v>3442</v>
      </c>
      <c r="B622" s="7" t="s">
        <v>3443</v>
      </c>
      <c r="C622" s="7" t="s">
        <v>3415</v>
      </c>
      <c r="D622" s="7" t="s">
        <v>3444</v>
      </c>
      <c r="E622" s="7" t="s">
        <v>104</v>
      </c>
      <c r="F622" s="7" t="s">
        <v>1274</v>
      </c>
      <c r="G622" s="7" t="s">
        <v>3433</v>
      </c>
      <c r="H622" s="7" t="s">
        <v>3434</v>
      </c>
      <c r="I622" s="7" t="s">
        <v>3445</v>
      </c>
      <c r="J622" s="9" t="s">
        <v>3446</v>
      </c>
      <c r="K622" s="7" t="s">
        <v>1240</v>
      </c>
      <c r="L622" s="10" t="s">
        <v>170</v>
      </c>
    </row>
    <row r="623" customFormat="false" ht="35.25" hidden="false" customHeight="true" outlineLevel="0" collapsed="false">
      <c r="A623" s="7" t="s">
        <v>3447</v>
      </c>
      <c r="B623" s="7" t="s">
        <v>3448</v>
      </c>
      <c r="C623" s="7" t="s">
        <v>3415</v>
      </c>
      <c r="D623" s="7" t="s">
        <v>3449</v>
      </c>
      <c r="E623" s="7" t="s">
        <v>104</v>
      </c>
      <c r="F623" s="7" t="s">
        <v>1274</v>
      </c>
      <c r="G623" s="7" t="s">
        <v>3433</v>
      </c>
      <c r="H623" s="7" t="s">
        <v>3434</v>
      </c>
      <c r="I623" s="7" t="s">
        <v>3450</v>
      </c>
      <c r="J623" s="9" t="s">
        <v>3451</v>
      </c>
      <c r="K623" s="7" t="s">
        <v>1240</v>
      </c>
      <c r="L623" s="10" t="s">
        <v>170</v>
      </c>
    </row>
    <row r="624" customFormat="false" ht="35.25" hidden="false" customHeight="true" outlineLevel="0" collapsed="false">
      <c r="A624" s="7" t="s">
        <v>3452</v>
      </c>
      <c r="B624" s="7" t="s">
        <v>3453</v>
      </c>
      <c r="C624" s="7" t="s">
        <v>3415</v>
      </c>
      <c r="D624" s="7" t="s">
        <v>3454</v>
      </c>
      <c r="E624" s="7" t="s">
        <v>104</v>
      </c>
      <c r="F624" s="7" t="s">
        <v>1274</v>
      </c>
      <c r="G624" s="7" t="s">
        <v>3433</v>
      </c>
      <c r="H624" s="7" t="s">
        <v>3434</v>
      </c>
      <c r="I624" s="7" t="s">
        <v>3455</v>
      </c>
      <c r="J624" s="9" t="s">
        <v>3456</v>
      </c>
      <c r="K624" s="7" t="s">
        <v>1240</v>
      </c>
      <c r="L624" s="10" t="s">
        <v>170</v>
      </c>
    </row>
    <row r="625" customFormat="false" ht="35.25" hidden="false" customHeight="true" outlineLevel="0" collapsed="false">
      <c r="A625" s="7" t="s">
        <v>3457</v>
      </c>
      <c r="B625" s="7" t="s">
        <v>3458</v>
      </c>
      <c r="C625" s="7" t="s">
        <v>3415</v>
      </c>
      <c r="D625" s="7" t="s">
        <v>3459</v>
      </c>
      <c r="E625" s="7" t="s">
        <v>104</v>
      </c>
      <c r="F625" s="7" t="s">
        <v>1274</v>
      </c>
      <c r="G625" s="7" t="s">
        <v>1336</v>
      </c>
      <c r="H625" s="7" t="s">
        <v>1337</v>
      </c>
      <c r="I625" s="7" t="s">
        <v>3460</v>
      </c>
      <c r="J625" s="9" t="s">
        <v>3461</v>
      </c>
      <c r="K625" s="7" t="s">
        <v>1375</v>
      </c>
      <c r="L625" s="11" t="s">
        <v>180</v>
      </c>
    </row>
    <row r="626" customFormat="false" ht="87" hidden="false" customHeight="true" outlineLevel="0" collapsed="false">
      <c r="A626" s="7" t="s">
        <v>3462</v>
      </c>
      <c r="B626" s="7" t="s">
        <v>3463</v>
      </c>
      <c r="C626" s="7" t="s">
        <v>3415</v>
      </c>
      <c r="D626" s="7" t="s">
        <v>3464</v>
      </c>
      <c r="E626" s="7" t="s">
        <v>104</v>
      </c>
      <c r="F626" s="7" t="s">
        <v>1274</v>
      </c>
      <c r="G626" s="7" t="s">
        <v>1336</v>
      </c>
      <c r="H626" s="7" t="s">
        <v>1337</v>
      </c>
      <c r="I626" s="7" t="s">
        <v>3465</v>
      </c>
      <c r="J626" s="9" t="s">
        <v>3466</v>
      </c>
      <c r="K626" s="7" t="s">
        <v>1375</v>
      </c>
      <c r="L626" s="12" t="s">
        <v>186</v>
      </c>
    </row>
    <row r="627" customFormat="false" ht="87" hidden="false" customHeight="true" outlineLevel="0" collapsed="false">
      <c r="A627" s="7" t="s">
        <v>3467</v>
      </c>
      <c r="B627" s="7" t="s">
        <v>3468</v>
      </c>
      <c r="C627" s="7" t="s">
        <v>3415</v>
      </c>
      <c r="D627" s="7" t="s">
        <v>3469</v>
      </c>
      <c r="E627" s="7" t="s">
        <v>104</v>
      </c>
      <c r="F627" s="7" t="s">
        <v>1274</v>
      </c>
      <c r="G627" s="7" t="s">
        <v>1336</v>
      </c>
      <c r="H627" s="7" t="s">
        <v>1337</v>
      </c>
      <c r="I627" s="7" t="s">
        <v>3470</v>
      </c>
      <c r="J627" s="9" t="s">
        <v>3471</v>
      </c>
      <c r="K627" s="7" t="s">
        <v>1375</v>
      </c>
      <c r="L627" s="12" t="s">
        <v>186</v>
      </c>
    </row>
    <row r="628" customFormat="false" ht="87" hidden="false" customHeight="true" outlineLevel="0" collapsed="false">
      <c r="A628" s="7" t="s">
        <v>3472</v>
      </c>
      <c r="B628" s="7" t="s">
        <v>3473</v>
      </c>
      <c r="C628" s="7" t="s">
        <v>3415</v>
      </c>
      <c r="D628" s="7" t="s">
        <v>3474</v>
      </c>
      <c r="E628" s="7" t="s">
        <v>104</v>
      </c>
      <c r="F628" s="7" t="s">
        <v>1274</v>
      </c>
      <c r="G628" s="7" t="s">
        <v>1336</v>
      </c>
      <c r="H628" s="7" t="s">
        <v>1337</v>
      </c>
      <c r="I628" s="7" t="s">
        <v>3475</v>
      </c>
      <c r="J628" s="9" t="s">
        <v>3476</v>
      </c>
      <c r="K628" s="7" t="s">
        <v>1375</v>
      </c>
      <c r="L628" s="12" t="s">
        <v>186</v>
      </c>
    </row>
    <row r="629" customFormat="false" ht="87" hidden="false" customHeight="true" outlineLevel="0" collapsed="false">
      <c r="A629" s="7" t="s">
        <v>3477</v>
      </c>
      <c r="B629" s="7" t="s">
        <v>3478</v>
      </c>
      <c r="C629" s="7" t="s">
        <v>3415</v>
      </c>
      <c r="D629" s="7" t="s">
        <v>3479</v>
      </c>
      <c r="E629" s="7" t="s">
        <v>104</v>
      </c>
      <c r="F629" s="7" t="s">
        <v>1274</v>
      </c>
      <c r="G629" s="7" t="s">
        <v>1336</v>
      </c>
      <c r="H629" s="7" t="s">
        <v>1337</v>
      </c>
      <c r="I629" s="7" t="s">
        <v>3480</v>
      </c>
      <c r="J629" s="9" t="s">
        <v>3481</v>
      </c>
      <c r="K629" s="7" t="s">
        <v>1375</v>
      </c>
      <c r="L629" s="11" t="s">
        <v>180</v>
      </c>
    </row>
    <row r="630" customFormat="false" ht="87" hidden="false" customHeight="true" outlineLevel="0" collapsed="false">
      <c r="A630" s="7" t="s">
        <v>3482</v>
      </c>
      <c r="B630" s="7" t="s">
        <v>3483</v>
      </c>
      <c r="C630" s="7" t="s">
        <v>3415</v>
      </c>
      <c r="D630" s="7" t="s">
        <v>3484</v>
      </c>
      <c r="E630" s="7" t="s">
        <v>104</v>
      </c>
      <c r="F630" s="7" t="s">
        <v>1274</v>
      </c>
      <c r="G630" s="7" t="s">
        <v>1336</v>
      </c>
      <c r="H630" s="7" t="s">
        <v>1337</v>
      </c>
      <c r="I630" s="7" t="s">
        <v>3485</v>
      </c>
      <c r="J630" s="9" t="s">
        <v>3486</v>
      </c>
      <c r="K630" s="7" t="s">
        <v>1375</v>
      </c>
      <c r="L630" s="12" t="s">
        <v>186</v>
      </c>
    </row>
    <row r="631" customFormat="false" ht="87" hidden="false" customHeight="true" outlineLevel="0" collapsed="false">
      <c r="A631" s="7" t="s">
        <v>3487</v>
      </c>
      <c r="B631" s="7" t="s">
        <v>3488</v>
      </c>
      <c r="C631" s="7" t="s">
        <v>3415</v>
      </c>
      <c r="D631" s="7" t="s">
        <v>3489</v>
      </c>
      <c r="E631" s="7" t="s">
        <v>104</v>
      </c>
      <c r="F631" s="7" t="s">
        <v>1274</v>
      </c>
      <c r="G631" s="7" t="s">
        <v>1336</v>
      </c>
      <c r="H631" s="7" t="s">
        <v>1337</v>
      </c>
      <c r="I631" s="7" t="s">
        <v>3490</v>
      </c>
      <c r="J631" s="9" t="s">
        <v>3491</v>
      </c>
      <c r="K631" s="7" t="s">
        <v>1375</v>
      </c>
      <c r="L631" s="11" t="s">
        <v>180</v>
      </c>
    </row>
    <row r="632" customFormat="false" ht="87" hidden="false" customHeight="true" outlineLevel="0" collapsed="false">
      <c r="A632" s="7" t="s">
        <v>3492</v>
      </c>
      <c r="B632" s="7" t="s">
        <v>3493</v>
      </c>
      <c r="C632" s="7" t="s">
        <v>3415</v>
      </c>
      <c r="D632" s="7" t="s">
        <v>3494</v>
      </c>
      <c r="E632" s="7" t="s">
        <v>104</v>
      </c>
      <c r="F632" s="7" t="s">
        <v>1274</v>
      </c>
      <c r="G632" s="7" t="s">
        <v>1336</v>
      </c>
      <c r="H632" s="7" t="s">
        <v>1337</v>
      </c>
      <c r="I632" s="7" t="s">
        <v>3495</v>
      </c>
      <c r="J632" s="9" t="s">
        <v>3496</v>
      </c>
      <c r="K632" s="7" t="s">
        <v>1375</v>
      </c>
      <c r="L632" s="12" t="s">
        <v>186</v>
      </c>
    </row>
    <row r="633" customFormat="false" ht="87" hidden="false" customHeight="true" outlineLevel="0" collapsed="false">
      <c r="A633" s="7" t="s">
        <v>3497</v>
      </c>
      <c r="B633" s="7" t="s">
        <v>3498</v>
      </c>
      <c r="C633" s="7" t="s">
        <v>3415</v>
      </c>
      <c r="D633" s="7" t="s">
        <v>3499</v>
      </c>
      <c r="E633" s="7" t="s">
        <v>104</v>
      </c>
      <c r="F633" s="7" t="s">
        <v>1274</v>
      </c>
      <c r="G633" s="7" t="s">
        <v>1336</v>
      </c>
      <c r="H633" s="7" t="s">
        <v>1337</v>
      </c>
      <c r="I633" s="7" t="s">
        <v>3500</v>
      </c>
      <c r="J633" s="9" t="s">
        <v>3501</v>
      </c>
      <c r="K633" s="7" t="s">
        <v>1375</v>
      </c>
      <c r="L633" s="12" t="s">
        <v>186</v>
      </c>
    </row>
    <row r="634" customFormat="false" ht="35.25" hidden="false" customHeight="true" outlineLevel="0" collapsed="false">
      <c r="A634" s="7" t="s">
        <v>3502</v>
      </c>
      <c r="B634" s="7" t="s">
        <v>3503</v>
      </c>
      <c r="C634" s="7" t="s">
        <v>3415</v>
      </c>
      <c r="D634" s="7" t="s">
        <v>3504</v>
      </c>
      <c r="E634" s="7" t="s">
        <v>104</v>
      </c>
      <c r="F634" s="7" t="s">
        <v>1274</v>
      </c>
      <c r="G634" s="7" t="s">
        <v>1336</v>
      </c>
      <c r="H634" s="7" t="s">
        <v>1337</v>
      </c>
      <c r="I634" s="7" t="s">
        <v>3505</v>
      </c>
      <c r="J634" s="9" t="s">
        <v>3506</v>
      </c>
      <c r="K634" s="7" t="s">
        <v>169</v>
      </c>
      <c r="L634" s="10" t="s">
        <v>170</v>
      </c>
    </row>
    <row r="635" customFormat="false" ht="35.25" hidden="false" customHeight="true" outlineLevel="0" collapsed="false">
      <c r="A635" s="7" t="s">
        <v>3507</v>
      </c>
      <c r="B635" s="7" t="s">
        <v>3508</v>
      </c>
      <c r="C635" s="7" t="s">
        <v>3415</v>
      </c>
      <c r="D635" s="7" t="s">
        <v>3509</v>
      </c>
      <c r="E635" s="7" t="s">
        <v>104</v>
      </c>
      <c r="F635" s="7" t="s">
        <v>1274</v>
      </c>
      <c r="G635" s="7" t="s">
        <v>1275</v>
      </c>
      <c r="H635" s="7" t="s">
        <v>1276</v>
      </c>
      <c r="I635" s="7" t="s">
        <v>3510</v>
      </c>
      <c r="J635" s="9" t="s">
        <v>3511</v>
      </c>
      <c r="K635" s="7" t="s">
        <v>1279</v>
      </c>
      <c r="L635" s="10" t="s">
        <v>170</v>
      </c>
    </row>
    <row r="636" customFormat="false" ht="35.25" hidden="false" customHeight="true" outlineLevel="0" collapsed="false">
      <c r="A636" s="7" t="s">
        <v>3512</v>
      </c>
      <c r="B636" s="7" t="s">
        <v>3513</v>
      </c>
      <c r="C636" s="7" t="s">
        <v>3415</v>
      </c>
      <c r="D636" s="7" t="s">
        <v>3514</v>
      </c>
      <c r="E636" s="7" t="s">
        <v>104</v>
      </c>
      <c r="F636" s="7" t="s">
        <v>1274</v>
      </c>
      <c r="G636" s="7" t="s">
        <v>3515</v>
      </c>
      <c r="H636" s="7" t="s">
        <v>3516</v>
      </c>
      <c r="I636" s="7" t="s">
        <v>3517</v>
      </c>
      <c r="J636" s="9" t="s">
        <v>3518</v>
      </c>
      <c r="K636" s="7" t="s">
        <v>169</v>
      </c>
      <c r="L636" s="10" t="s">
        <v>170</v>
      </c>
    </row>
    <row r="637" customFormat="false" ht="35.25" hidden="false" customHeight="true" outlineLevel="0" collapsed="false">
      <c r="A637" s="7" t="s">
        <v>3519</v>
      </c>
      <c r="B637" s="7" t="s">
        <v>3520</v>
      </c>
      <c r="C637" s="7" t="s">
        <v>3415</v>
      </c>
      <c r="D637" s="7" t="s">
        <v>3521</v>
      </c>
      <c r="E637" s="7" t="s">
        <v>104</v>
      </c>
      <c r="F637" s="7" t="s">
        <v>1556</v>
      </c>
      <c r="G637" s="7" t="s">
        <v>3421</v>
      </c>
      <c r="H637" s="7" t="s">
        <v>3422</v>
      </c>
      <c r="I637" s="7" t="s">
        <v>3522</v>
      </c>
      <c r="J637" s="9" t="s">
        <v>3523</v>
      </c>
      <c r="K637" s="7" t="s">
        <v>1279</v>
      </c>
      <c r="L637" s="10" t="s">
        <v>170</v>
      </c>
    </row>
    <row r="638" customFormat="false" ht="35.25" hidden="false" customHeight="true" outlineLevel="0" collapsed="false">
      <c r="A638" s="7" t="s">
        <v>3524</v>
      </c>
      <c r="B638" s="7" t="s">
        <v>3525</v>
      </c>
      <c r="C638" s="7" t="s">
        <v>3415</v>
      </c>
      <c r="D638" s="7" t="s">
        <v>3526</v>
      </c>
      <c r="E638" s="7" t="s">
        <v>112</v>
      </c>
      <c r="F638" s="7" t="s">
        <v>1001</v>
      </c>
      <c r="G638" s="7" t="s">
        <v>1002</v>
      </c>
      <c r="H638" s="7" t="s">
        <v>1003</v>
      </c>
      <c r="I638" s="7" t="s">
        <v>3527</v>
      </c>
      <c r="J638" s="9" t="s">
        <v>3528</v>
      </c>
      <c r="K638" s="7" t="s">
        <v>2990</v>
      </c>
      <c r="L638" s="12" t="s">
        <v>186</v>
      </c>
    </row>
    <row r="639" customFormat="false" ht="52.5" hidden="false" customHeight="true" outlineLevel="0" collapsed="false">
      <c r="A639" s="7" t="s">
        <v>3529</v>
      </c>
      <c r="B639" s="7" t="s">
        <v>3530</v>
      </c>
      <c r="C639" s="7" t="s">
        <v>3531</v>
      </c>
      <c r="D639" s="7" t="s">
        <v>163</v>
      </c>
      <c r="E639" s="7" t="s">
        <v>100</v>
      </c>
      <c r="F639" s="7" t="s">
        <v>164</v>
      </c>
      <c r="G639" s="7" t="s">
        <v>165</v>
      </c>
      <c r="H639" s="7" t="s">
        <v>166</v>
      </c>
      <c r="I639" s="7" t="s">
        <v>3532</v>
      </c>
      <c r="J639" s="9" t="s">
        <v>3533</v>
      </c>
      <c r="K639" s="7" t="s">
        <v>169</v>
      </c>
      <c r="L639" s="10" t="s">
        <v>170</v>
      </c>
    </row>
    <row r="640" customFormat="false" ht="35.25" hidden="false" customHeight="true" outlineLevel="0" collapsed="false">
      <c r="A640" s="7" t="s">
        <v>3534</v>
      </c>
      <c r="B640" s="7" t="s">
        <v>3535</v>
      </c>
      <c r="C640" s="7" t="s">
        <v>3531</v>
      </c>
      <c r="D640" s="7" t="s">
        <v>3536</v>
      </c>
      <c r="E640" s="7" t="s">
        <v>100</v>
      </c>
      <c r="F640" s="7" t="s">
        <v>3010</v>
      </c>
      <c r="G640" s="7" t="s">
        <v>3018</v>
      </c>
      <c r="H640" s="7" t="s">
        <v>3019</v>
      </c>
      <c r="I640" s="7" t="s">
        <v>3537</v>
      </c>
      <c r="J640" s="9" t="s">
        <v>3538</v>
      </c>
      <c r="K640" s="7" t="s">
        <v>603</v>
      </c>
      <c r="L640" s="10" t="s">
        <v>170</v>
      </c>
    </row>
    <row r="641" customFormat="false" ht="35.25" hidden="false" customHeight="true" outlineLevel="0" collapsed="false">
      <c r="A641" s="7" t="s">
        <v>3539</v>
      </c>
      <c r="B641" s="7" t="s">
        <v>3540</v>
      </c>
      <c r="C641" s="7" t="s">
        <v>3531</v>
      </c>
      <c r="D641" s="7" t="s">
        <v>3541</v>
      </c>
      <c r="E641" s="7" t="s">
        <v>108</v>
      </c>
      <c r="F641" s="7" t="s">
        <v>748</v>
      </c>
      <c r="G641" s="7" t="s">
        <v>3542</v>
      </c>
      <c r="H641" s="7" t="s">
        <v>3543</v>
      </c>
      <c r="I641" s="7" t="s">
        <v>3544</v>
      </c>
      <c r="J641" s="9" t="s">
        <v>3545</v>
      </c>
      <c r="K641" s="7" t="s">
        <v>808</v>
      </c>
      <c r="L641" s="10" t="s">
        <v>170</v>
      </c>
    </row>
    <row r="642" customFormat="false" ht="52.5" hidden="false" customHeight="true" outlineLevel="0" collapsed="false">
      <c r="A642" s="7" t="s">
        <v>3546</v>
      </c>
      <c r="B642" s="7" t="s">
        <v>3547</v>
      </c>
      <c r="C642" s="7" t="s">
        <v>3531</v>
      </c>
      <c r="D642" s="7" t="s">
        <v>3548</v>
      </c>
      <c r="E642" s="7" t="s">
        <v>108</v>
      </c>
      <c r="F642" s="7" t="s">
        <v>748</v>
      </c>
      <c r="G642" s="7" t="s">
        <v>3542</v>
      </c>
      <c r="H642" s="7" t="s">
        <v>3543</v>
      </c>
      <c r="I642" s="7" t="s">
        <v>3549</v>
      </c>
      <c r="J642" s="9" t="s">
        <v>3550</v>
      </c>
      <c r="K642" s="7" t="s">
        <v>808</v>
      </c>
      <c r="L642" s="10" t="s">
        <v>170</v>
      </c>
    </row>
    <row r="643" customFormat="false" ht="52.5" hidden="false" customHeight="true" outlineLevel="0" collapsed="false">
      <c r="A643" s="7" t="s">
        <v>3551</v>
      </c>
      <c r="B643" s="7" t="s">
        <v>3552</v>
      </c>
      <c r="C643" s="7" t="s">
        <v>3531</v>
      </c>
      <c r="D643" s="7" t="s">
        <v>3553</v>
      </c>
      <c r="E643" s="7" t="s">
        <v>108</v>
      </c>
      <c r="F643" s="7" t="s">
        <v>748</v>
      </c>
      <c r="G643" s="7" t="s">
        <v>3542</v>
      </c>
      <c r="H643" s="7" t="s">
        <v>3543</v>
      </c>
      <c r="I643" s="7" t="s">
        <v>3554</v>
      </c>
      <c r="J643" s="9" t="s">
        <v>3555</v>
      </c>
      <c r="K643" s="7" t="s">
        <v>808</v>
      </c>
      <c r="L643" s="10" t="s">
        <v>170</v>
      </c>
    </row>
    <row r="644" customFormat="false" ht="52.5" hidden="false" customHeight="true" outlineLevel="0" collapsed="false">
      <c r="A644" s="7" t="s">
        <v>3556</v>
      </c>
      <c r="B644" s="7" t="s">
        <v>3557</v>
      </c>
      <c r="C644" s="7" t="s">
        <v>3531</v>
      </c>
      <c r="D644" s="7" t="s">
        <v>3558</v>
      </c>
      <c r="E644" s="7" t="s">
        <v>108</v>
      </c>
      <c r="F644" s="7" t="s">
        <v>748</v>
      </c>
      <c r="G644" s="7" t="s">
        <v>3542</v>
      </c>
      <c r="H644" s="7" t="s">
        <v>3543</v>
      </c>
      <c r="I644" s="7" t="s">
        <v>3559</v>
      </c>
      <c r="J644" s="9" t="s">
        <v>3560</v>
      </c>
      <c r="K644" s="7" t="s">
        <v>808</v>
      </c>
      <c r="L644" s="10" t="s">
        <v>170</v>
      </c>
    </row>
    <row r="645" customFormat="false" ht="52.5" hidden="false" customHeight="true" outlineLevel="0" collapsed="false">
      <c r="A645" s="7" t="s">
        <v>3561</v>
      </c>
      <c r="B645" s="7" t="s">
        <v>3562</v>
      </c>
      <c r="C645" s="7" t="s">
        <v>3531</v>
      </c>
      <c r="D645" s="7" t="s">
        <v>3563</v>
      </c>
      <c r="E645" s="7" t="s">
        <v>100</v>
      </c>
      <c r="F645" s="7" t="s">
        <v>3125</v>
      </c>
      <c r="G645" s="7" t="s">
        <v>3126</v>
      </c>
      <c r="H645" s="7" t="s">
        <v>3127</v>
      </c>
      <c r="I645" s="7" t="s">
        <v>3564</v>
      </c>
      <c r="J645" s="9" t="s">
        <v>3565</v>
      </c>
      <c r="K645" s="7" t="s">
        <v>808</v>
      </c>
      <c r="L645" s="10" t="s">
        <v>170</v>
      </c>
    </row>
    <row r="646" customFormat="false" ht="52.5" hidden="false" customHeight="true" outlineLevel="0" collapsed="false">
      <c r="A646" s="7" t="s">
        <v>3566</v>
      </c>
      <c r="B646" s="7" t="s">
        <v>3567</v>
      </c>
      <c r="C646" s="7" t="s">
        <v>3531</v>
      </c>
      <c r="D646" s="7" t="s">
        <v>3568</v>
      </c>
      <c r="E646" s="7" t="s">
        <v>100</v>
      </c>
      <c r="F646" s="7" t="s">
        <v>3125</v>
      </c>
      <c r="G646" s="7" t="s">
        <v>3126</v>
      </c>
      <c r="H646" s="7" t="s">
        <v>3127</v>
      </c>
      <c r="I646" s="7" t="s">
        <v>3569</v>
      </c>
      <c r="J646" s="9" t="s">
        <v>3570</v>
      </c>
      <c r="K646" s="7" t="s">
        <v>808</v>
      </c>
      <c r="L646" s="10" t="s">
        <v>170</v>
      </c>
    </row>
    <row r="647" customFormat="false" ht="52.5" hidden="false" customHeight="true" outlineLevel="0" collapsed="false">
      <c r="A647" s="7" t="s">
        <v>3571</v>
      </c>
      <c r="B647" s="7" t="s">
        <v>3572</v>
      </c>
      <c r="C647" s="7" t="s">
        <v>3531</v>
      </c>
      <c r="D647" s="7" t="s">
        <v>3573</v>
      </c>
      <c r="E647" s="7" t="s">
        <v>100</v>
      </c>
      <c r="F647" s="7" t="s">
        <v>3125</v>
      </c>
      <c r="G647" s="7" t="s">
        <v>3126</v>
      </c>
      <c r="H647" s="7" t="s">
        <v>3127</v>
      </c>
      <c r="I647" s="7" t="s">
        <v>3574</v>
      </c>
      <c r="J647" s="9" t="s">
        <v>3575</v>
      </c>
      <c r="K647" s="7" t="s">
        <v>808</v>
      </c>
      <c r="L647" s="10" t="s">
        <v>170</v>
      </c>
    </row>
    <row r="648" customFormat="false" ht="52.5" hidden="false" customHeight="true" outlineLevel="0" collapsed="false">
      <c r="A648" s="7" t="s">
        <v>3576</v>
      </c>
      <c r="B648" s="7" t="s">
        <v>3577</v>
      </c>
      <c r="C648" s="7" t="s">
        <v>3531</v>
      </c>
      <c r="D648" s="7" t="s">
        <v>3578</v>
      </c>
      <c r="E648" s="7" t="s">
        <v>100</v>
      </c>
      <c r="F648" s="7" t="s">
        <v>3125</v>
      </c>
      <c r="G648" s="7" t="s">
        <v>3126</v>
      </c>
      <c r="H648" s="7" t="s">
        <v>3127</v>
      </c>
      <c r="I648" s="7" t="s">
        <v>3579</v>
      </c>
      <c r="J648" s="9" t="s">
        <v>3580</v>
      </c>
      <c r="K648" s="7" t="s">
        <v>808</v>
      </c>
      <c r="L648" s="10" t="s">
        <v>170</v>
      </c>
    </row>
    <row r="649" customFormat="false" ht="52.5" hidden="false" customHeight="true" outlineLevel="0" collapsed="false">
      <c r="A649" s="7" t="s">
        <v>3581</v>
      </c>
      <c r="B649" s="7" t="s">
        <v>3582</v>
      </c>
      <c r="C649" s="7" t="s">
        <v>3531</v>
      </c>
      <c r="D649" s="7" t="s">
        <v>3583</v>
      </c>
      <c r="E649" s="7" t="s">
        <v>100</v>
      </c>
      <c r="F649" s="7" t="s">
        <v>3125</v>
      </c>
      <c r="G649" s="7" t="s">
        <v>3126</v>
      </c>
      <c r="H649" s="7" t="s">
        <v>3127</v>
      </c>
      <c r="I649" s="7" t="s">
        <v>3584</v>
      </c>
      <c r="J649" s="9" t="s">
        <v>3585</v>
      </c>
      <c r="K649" s="7" t="s">
        <v>808</v>
      </c>
      <c r="L649" s="10" t="s">
        <v>170</v>
      </c>
    </row>
    <row r="650" customFormat="false" ht="52.5" hidden="false" customHeight="true" outlineLevel="0" collapsed="false">
      <c r="A650" s="7" t="s">
        <v>3586</v>
      </c>
      <c r="B650" s="7" t="s">
        <v>3587</v>
      </c>
      <c r="C650" s="7" t="s">
        <v>3531</v>
      </c>
      <c r="D650" s="7" t="s">
        <v>3588</v>
      </c>
      <c r="E650" s="7" t="s">
        <v>100</v>
      </c>
      <c r="F650" s="7" t="s">
        <v>3125</v>
      </c>
      <c r="G650" s="7" t="s">
        <v>3126</v>
      </c>
      <c r="H650" s="7" t="s">
        <v>3127</v>
      </c>
      <c r="I650" s="7" t="s">
        <v>3589</v>
      </c>
      <c r="J650" s="9" t="s">
        <v>3590</v>
      </c>
      <c r="K650" s="7" t="s">
        <v>808</v>
      </c>
      <c r="L650" s="10" t="s">
        <v>170</v>
      </c>
    </row>
    <row r="651" customFormat="false" ht="52.5" hidden="false" customHeight="true" outlineLevel="0" collapsed="false">
      <c r="A651" s="7" t="s">
        <v>3591</v>
      </c>
      <c r="B651" s="7" t="s">
        <v>3592</v>
      </c>
      <c r="C651" s="7" t="s">
        <v>3531</v>
      </c>
      <c r="D651" s="7" t="s">
        <v>3593</v>
      </c>
      <c r="E651" s="7" t="s">
        <v>100</v>
      </c>
      <c r="F651" s="7" t="s">
        <v>3125</v>
      </c>
      <c r="G651" s="7" t="s">
        <v>3126</v>
      </c>
      <c r="H651" s="7" t="s">
        <v>3127</v>
      </c>
      <c r="I651" s="7" t="s">
        <v>3594</v>
      </c>
      <c r="J651" s="9" t="s">
        <v>3595</v>
      </c>
      <c r="K651" s="7" t="s">
        <v>808</v>
      </c>
      <c r="L651" s="10" t="s">
        <v>170</v>
      </c>
    </row>
    <row r="652" customFormat="false" ht="52.5" hidden="false" customHeight="true" outlineLevel="0" collapsed="false">
      <c r="A652" s="7" t="s">
        <v>3596</v>
      </c>
      <c r="B652" s="7" t="s">
        <v>3597</v>
      </c>
      <c r="C652" s="7" t="s">
        <v>3531</v>
      </c>
      <c r="D652" s="7" t="s">
        <v>3598</v>
      </c>
      <c r="E652" s="7" t="s">
        <v>100</v>
      </c>
      <c r="F652" s="7" t="s">
        <v>3125</v>
      </c>
      <c r="G652" s="7" t="s">
        <v>3126</v>
      </c>
      <c r="H652" s="7" t="s">
        <v>3127</v>
      </c>
      <c r="I652" s="7" t="s">
        <v>3599</v>
      </c>
      <c r="J652" s="9" t="s">
        <v>3600</v>
      </c>
      <c r="K652" s="7" t="s">
        <v>808</v>
      </c>
      <c r="L652" s="10" t="s">
        <v>170</v>
      </c>
    </row>
    <row r="653" customFormat="false" ht="52.5" hidden="false" customHeight="true" outlineLevel="0" collapsed="false">
      <c r="A653" s="7" t="s">
        <v>3601</v>
      </c>
      <c r="B653" s="7" t="s">
        <v>3602</v>
      </c>
      <c r="C653" s="7" t="s">
        <v>3531</v>
      </c>
      <c r="D653" s="7" t="s">
        <v>3603</v>
      </c>
      <c r="E653" s="7" t="s">
        <v>100</v>
      </c>
      <c r="F653" s="7" t="s">
        <v>3125</v>
      </c>
      <c r="G653" s="7" t="s">
        <v>3126</v>
      </c>
      <c r="H653" s="7" t="s">
        <v>3127</v>
      </c>
      <c r="I653" s="7" t="s">
        <v>3604</v>
      </c>
      <c r="J653" s="9" t="s">
        <v>3605</v>
      </c>
      <c r="K653" s="7" t="s">
        <v>808</v>
      </c>
      <c r="L653" s="10" t="s">
        <v>170</v>
      </c>
    </row>
    <row r="654" customFormat="false" ht="52.5" hidden="false" customHeight="true" outlineLevel="0" collapsed="false">
      <c r="A654" s="7" t="s">
        <v>3606</v>
      </c>
      <c r="B654" s="7" t="s">
        <v>3607</v>
      </c>
      <c r="C654" s="7" t="s">
        <v>3531</v>
      </c>
      <c r="D654" s="7" t="s">
        <v>3608</v>
      </c>
      <c r="E654" s="7" t="s">
        <v>100</v>
      </c>
      <c r="F654" s="7" t="s">
        <v>3125</v>
      </c>
      <c r="G654" s="7" t="s">
        <v>3126</v>
      </c>
      <c r="H654" s="7" t="s">
        <v>3127</v>
      </c>
      <c r="I654" s="7" t="s">
        <v>3609</v>
      </c>
      <c r="J654" s="9" t="s">
        <v>3610</v>
      </c>
      <c r="K654" s="7" t="s">
        <v>808</v>
      </c>
      <c r="L654" s="10" t="s">
        <v>170</v>
      </c>
    </row>
    <row r="655" customFormat="false" ht="52.5" hidden="false" customHeight="true" outlineLevel="0" collapsed="false">
      <c r="A655" s="7" t="s">
        <v>3611</v>
      </c>
      <c r="B655" s="7" t="s">
        <v>3612</v>
      </c>
      <c r="C655" s="7" t="s">
        <v>3531</v>
      </c>
      <c r="D655" s="7" t="s">
        <v>3613</v>
      </c>
      <c r="E655" s="7" t="s">
        <v>100</v>
      </c>
      <c r="F655" s="7" t="s">
        <v>3125</v>
      </c>
      <c r="G655" s="7" t="s">
        <v>3126</v>
      </c>
      <c r="H655" s="7" t="s">
        <v>3127</v>
      </c>
      <c r="I655" s="7" t="s">
        <v>3614</v>
      </c>
      <c r="J655" s="9" t="s">
        <v>3615</v>
      </c>
      <c r="K655" s="7" t="s">
        <v>808</v>
      </c>
      <c r="L655" s="10" t="s">
        <v>170</v>
      </c>
    </row>
    <row r="656" customFormat="false" ht="52.5" hidden="false" customHeight="true" outlineLevel="0" collapsed="false">
      <c r="A656" s="7" t="s">
        <v>3616</v>
      </c>
      <c r="B656" s="7" t="s">
        <v>3617</v>
      </c>
      <c r="C656" s="7" t="s">
        <v>3531</v>
      </c>
      <c r="D656" s="7" t="s">
        <v>3618</v>
      </c>
      <c r="E656" s="7" t="s">
        <v>100</v>
      </c>
      <c r="F656" s="7" t="s">
        <v>3125</v>
      </c>
      <c r="G656" s="7" t="s">
        <v>3126</v>
      </c>
      <c r="H656" s="7" t="s">
        <v>3127</v>
      </c>
      <c r="I656" s="7" t="s">
        <v>3619</v>
      </c>
      <c r="J656" s="9" t="s">
        <v>3620</v>
      </c>
      <c r="K656" s="7" t="s">
        <v>808</v>
      </c>
      <c r="L656" s="10" t="s">
        <v>170</v>
      </c>
    </row>
    <row r="657" customFormat="false" ht="35.25" hidden="false" customHeight="true" outlineLevel="0" collapsed="false">
      <c r="A657" s="7" t="s">
        <v>3621</v>
      </c>
      <c r="B657" s="7" t="s">
        <v>3622</v>
      </c>
      <c r="C657" s="7" t="s">
        <v>3531</v>
      </c>
      <c r="D657" s="7" t="s">
        <v>3623</v>
      </c>
      <c r="E657" s="7" t="s">
        <v>108</v>
      </c>
      <c r="F657" s="7" t="s">
        <v>748</v>
      </c>
      <c r="G657" s="7" t="s">
        <v>749</v>
      </c>
      <c r="H657" s="7" t="s">
        <v>750</v>
      </c>
      <c r="I657" s="7" t="s">
        <v>3624</v>
      </c>
      <c r="J657" s="9" t="s">
        <v>3625</v>
      </c>
      <c r="K657" s="7" t="s">
        <v>808</v>
      </c>
      <c r="L657" s="10" t="s">
        <v>170</v>
      </c>
    </row>
    <row r="658" customFormat="false" ht="35.25" hidden="false" customHeight="true" outlineLevel="0" collapsed="false">
      <c r="A658" s="7" t="s">
        <v>3626</v>
      </c>
      <c r="B658" s="7" t="s">
        <v>3627</v>
      </c>
      <c r="C658" s="7" t="s">
        <v>3531</v>
      </c>
      <c r="D658" s="7" t="s">
        <v>3628</v>
      </c>
      <c r="E658" s="7" t="s">
        <v>108</v>
      </c>
      <c r="F658" s="7" t="s">
        <v>748</v>
      </c>
      <c r="G658" s="7" t="s">
        <v>3542</v>
      </c>
      <c r="H658" s="7" t="s">
        <v>3543</v>
      </c>
      <c r="I658" s="7" t="s">
        <v>3629</v>
      </c>
      <c r="J658" s="9" t="s">
        <v>3630</v>
      </c>
      <c r="K658" s="7" t="s">
        <v>808</v>
      </c>
      <c r="L658" s="10" t="s">
        <v>170</v>
      </c>
    </row>
    <row r="659" customFormat="false" ht="52.5" hidden="false" customHeight="true" outlineLevel="0" collapsed="false">
      <c r="A659" s="7" t="s">
        <v>3631</v>
      </c>
      <c r="B659" s="7" t="s">
        <v>3632</v>
      </c>
      <c r="C659" s="7" t="s">
        <v>3531</v>
      </c>
      <c r="D659" s="7" t="s">
        <v>3633</v>
      </c>
      <c r="E659" s="7" t="s">
        <v>108</v>
      </c>
      <c r="F659" s="7" t="s">
        <v>748</v>
      </c>
      <c r="G659" s="7" t="s">
        <v>3542</v>
      </c>
      <c r="H659" s="7" t="s">
        <v>3543</v>
      </c>
      <c r="I659" s="7" t="s">
        <v>3634</v>
      </c>
      <c r="J659" s="9" t="s">
        <v>3635</v>
      </c>
      <c r="K659" s="7" t="s">
        <v>808</v>
      </c>
      <c r="L659" s="10" t="s">
        <v>170</v>
      </c>
    </row>
    <row r="660" customFormat="false" ht="52.5" hidden="false" customHeight="true" outlineLevel="0" collapsed="false">
      <c r="A660" s="7" t="s">
        <v>3636</v>
      </c>
      <c r="B660" s="7" t="s">
        <v>3637</v>
      </c>
      <c r="C660" s="7" t="s">
        <v>3531</v>
      </c>
      <c r="D660" s="7" t="s">
        <v>3638</v>
      </c>
      <c r="E660" s="7" t="s">
        <v>108</v>
      </c>
      <c r="F660" s="7" t="s">
        <v>748</v>
      </c>
      <c r="G660" s="7" t="s">
        <v>3542</v>
      </c>
      <c r="H660" s="7" t="s">
        <v>3543</v>
      </c>
      <c r="I660" s="7" t="s">
        <v>3639</v>
      </c>
      <c r="J660" s="9" t="s">
        <v>3640</v>
      </c>
      <c r="K660" s="7" t="s">
        <v>808</v>
      </c>
      <c r="L660" s="10" t="s">
        <v>170</v>
      </c>
    </row>
    <row r="661" customFormat="false" ht="52.5" hidden="false" customHeight="true" outlineLevel="0" collapsed="false">
      <c r="A661" s="7" t="s">
        <v>3641</v>
      </c>
      <c r="B661" s="7" t="s">
        <v>3642</v>
      </c>
      <c r="C661" s="7" t="s">
        <v>3531</v>
      </c>
      <c r="D661" s="7" t="s">
        <v>3643</v>
      </c>
      <c r="E661" s="7" t="s">
        <v>108</v>
      </c>
      <c r="F661" s="7" t="s">
        <v>748</v>
      </c>
      <c r="G661" s="7" t="s">
        <v>3542</v>
      </c>
      <c r="H661" s="7" t="s">
        <v>3543</v>
      </c>
      <c r="I661" s="7" t="s">
        <v>3644</v>
      </c>
      <c r="J661" s="9" t="s">
        <v>3645</v>
      </c>
      <c r="K661" s="7" t="s">
        <v>808</v>
      </c>
      <c r="L661" s="10" t="s">
        <v>170</v>
      </c>
    </row>
    <row r="662" customFormat="false" ht="52.5" hidden="false" customHeight="true" outlineLevel="0" collapsed="false">
      <c r="A662" s="7" t="s">
        <v>3646</v>
      </c>
      <c r="B662" s="7" t="s">
        <v>3647</v>
      </c>
      <c r="C662" s="7" t="s">
        <v>3531</v>
      </c>
      <c r="D662" s="7" t="s">
        <v>3648</v>
      </c>
      <c r="E662" s="7" t="s">
        <v>108</v>
      </c>
      <c r="F662" s="7" t="s">
        <v>748</v>
      </c>
      <c r="G662" s="7" t="s">
        <v>3542</v>
      </c>
      <c r="H662" s="7" t="s">
        <v>3543</v>
      </c>
      <c r="I662" s="7" t="s">
        <v>3649</v>
      </c>
      <c r="J662" s="9" t="s">
        <v>3650</v>
      </c>
      <c r="K662" s="7" t="s">
        <v>808</v>
      </c>
      <c r="L662" s="10" t="s">
        <v>170</v>
      </c>
    </row>
    <row r="663" customFormat="false" ht="52.5" hidden="false" customHeight="true" outlineLevel="0" collapsed="false">
      <c r="A663" s="7" t="s">
        <v>3651</v>
      </c>
      <c r="B663" s="7" t="s">
        <v>3652</v>
      </c>
      <c r="C663" s="7" t="s">
        <v>3531</v>
      </c>
      <c r="D663" s="7" t="s">
        <v>3653</v>
      </c>
      <c r="E663" s="7" t="s">
        <v>108</v>
      </c>
      <c r="F663" s="7" t="s">
        <v>748</v>
      </c>
      <c r="G663" s="7" t="s">
        <v>3542</v>
      </c>
      <c r="H663" s="7" t="s">
        <v>3543</v>
      </c>
      <c r="I663" s="7" t="s">
        <v>3654</v>
      </c>
      <c r="J663" s="9" t="s">
        <v>3655</v>
      </c>
      <c r="K663" s="7" t="s">
        <v>808</v>
      </c>
      <c r="L663" s="10" t="s">
        <v>170</v>
      </c>
    </row>
    <row r="664" customFormat="false" ht="52.5" hidden="false" customHeight="true" outlineLevel="0" collapsed="false">
      <c r="A664" s="7" t="s">
        <v>3656</v>
      </c>
      <c r="B664" s="7" t="s">
        <v>3657</v>
      </c>
      <c r="C664" s="7" t="s">
        <v>3531</v>
      </c>
      <c r="D664" s="7" t="s">
        <v>3658</v>
      </c>
      <c r="E664" s="7" t="s">
        <v>108</v>
      </c>
      <c r="F664" s="7" t="s">
        <v>748</v>
      </c>
      <c r="G664" s="7" t="s">
        <v>3542</v>
      </c>
      <c r="H664" s="7" t="s">
        <v>3543</v>
      </c>
      <c r="I664" s="7" t="s">
        <v>3659</v>
      </c>
      <c r="J664" s="9" t="s">
        <v>3660</v>
      </c>
      <c r="K664" s="7" t="s">
        <v>808</v>
      </c>
      <c r="L664" s="10" t="s">
        <v>170</v>
      </c>
    </row>
    <row r="665" customFormat="false" ht="52.5" hidden="false" customHeight="true" outlineLevel="0" collapsed="false">
      <c r="A665" s="7" t="s">
        <v>3661</v>
      </c>
      <c r="B665" s="7" t="s">
        <v>3662</v>
      </c>
      <c r="C665" s="7" t="s">
        <v>3531</v>
      </c>
      <c r="D665" s="7" t="s">
        <v>3663</v>
      </c>
      <c r="E665" s="7" t="s">
        <v>108</v>
      </c>
      <c r="F665" s="7" t="s">
        <v>748</v>
      </c>
      <c r="G665" s="7" t="s">
        <v>3542</v>
      </c>
      <c r="H665" s="7" t="s">
        <v>3543</v>
      </c>
      <c r="I665" s="7" t="s">
        <v>3664</v>
      </c>
      <c r="J665" s="9" t="s">
        <v>3665</v>
      </c>
      <c r="K665" s="7" t="s">
        <v>808</v>
      </c>
      <c r="L665" s="10" t="s">
        <v>170</v>
      </c>
    </row>
    <row r="666" customFormat="false" ht="52.5" hidden="false" customHeight="true" outlineLevel="0" collapsed="false">
      <c r="A666" s="7" t="s">
        <v>3666</v>
      </c>
      <c r="B666" s="7" t="s">
        <v>3667</v>
      </c>
      <c r="C666" s="7" t="s">
        <v>3531</v>
      </c>
      <c r="D666" s="7" t="s">
        <v>3668</v>
      </c>
      <c r="E666" s="7" t="s">
        <v>108</v>
      </c>
      <c r="F666" s="7" t="s">
        <v>748</v>
      </c>
      <c r="G666" s="7" t="s">
        <v>3542</v>
      </c>
      <c r="H666" s="7" t="s">
        <v>3543</v>
      </c>
      <c r="I666" s="7" t="s">
        <v>3669</v>
      </c>
      <c r="J666" s="9" t="s">
        <v>3670</v>
      </c>
      <c r="K666" s="7" t="s">
        <v>808</v>
      </c>
      <c r="L666" s="10" t="s">
        <v>170</v>
      </c>
    </row>
    <row r="667" customFormat="false" ht="52.5" hidden="false" customHeight="true" outlineLevel="0" collapsed="false">
      <c r="A667" s="7" t="s">
        <v>3671</v>
      </c>
      <c r="B667" s="7" t="s">
        <v>3672</v>
      </c>
      <c r="C667" s="7" t="s">
        <v>3531</v>
      </c>
      <c r="D667" s="7" t="s">
        <v>3673</v>
      </c>
      <c r="E667" s="7" t="s">
        <v>108</v>
      </c>
      <c r="F667" s="7" t="s">
        <v>748</v>
      </c>
      <c r="G667" s="7" t="s">
        <v>3542</v>
      </c>
      <c r="H667" s="7" t="s">
        <v>3543</v>
      </c>
      <c r="I667" s="7" t="s">
        <v>3674</v>
      </c>
      <c r="J667" s="9" t="s">
        <v>3675</v>
      </c>
      <c r="K667" s="7" t="s">
        <v>808</v>
      </c>
      <c r="L667" s="10" t="s">
        <v>170</v>
      </c>
    </row>
    <row r="668" customFormat="false" ht="52.5" hidden="false" customHeight="true" outlineLevel="0" collapsed="false">
      <c r="A668" s="7" t="s">
        <v>3676</v>
      </c>
      <c r="B668" s="7" t="s">
        <v>3677</v>
      </c>
      <c r="C668" s="7" t="s">
        <v>3531</v>
      </c>
      <c r="D668" s="7" t="s">
        <v>3678</v>
      </c>
      <c r="E668" s="7" t="s">
        <v>108</v>
      </c>
      <c r="F668" s="7" t="s">
        <v>748</v>
      </c>
      <c r="G668" s="7" t="s">
        <v>3542</v>
      </c>
      <c r="H668" s="7" t="s">
        <v>3543</v>
      </c>
      <c r="I668" s="7" t="s">
        <v>3679</v>
      </c>
      <c r="J668" s="9" t="s">
        <v>3680</v>
      </c>
      <c r="K668" s="7" t="s">
        <v>808</v>
      </c>
      <c r="L668" s="10" t="s">
        <v>170</v>
      </c>
    </row>
    <row r="669" customFormat="false" ht="52.5" hidden="false" customHeight="true" outlineLevel="0" collapsed="false">
      <c r="A669" s="7" t="s">
        <v>3681</v>
      </c>
      <c r="B669" s="7" t="s">
        <v>3682</v>
      </c>
      <c r="C669" s="7" t="s">
        <v>3531</v>
      </c>
      <c r="D669" s="7" t="s">
        <v>3683</v>
      </c>
      <c r="E669" s="7" t="s">
        <v>108</v>
      </c>
      <c r="F669" s="7" t="s">
        <v>748</v>
      </c>
      <c r="G669" s="7" t="s">
        <v>3542</v>
      </c>
      <c r="H669" s="7" t="s">
        <v>3543</v>
      </c>
      <c r="I669" s="7" t="s">
        <v>3684</v>
      </c>
      <c r="J669" s="9" t="s">
        <v>3685</v>
      </c>
      <c r="K669" s="7" t="s">
        <v>808</v>
      </c>
      <c r="L669" s="10" t="s">
        <v>170</v>
      </c>
    </row>
    <row r="670" customFormat="false" ht="52.5" hidden="false" customHeight="true" outlineLevel="0" collapsed="false">
      <c r="A670" s="7" t="s">
        <v>3686</v>
      </c>
      <c r="B670" s="7" t="s">
        <v>3687</v>
      </c>
      <c r="C670" s="7" t="s">
        <v>3531</v>
      </c>
      <c r="D670" s="7" t="s">
        <v>3688</v>
      </c>
      <c r="E670" s="7" t="s">
        <v>108</v>
      </c>
      <c r="F670" s="7" t="s">
        <v>748</v>
      </c>
      <c r="G670" s="7" t="s">
        <v>3542</v>
      </c>
      <c r="H670" s="7" t="s">
        <v>3543</v>
      </c>
      <c r="I670" s="7" t="s">
        <v>3689</v>
      </c>
      <c r="J670" s="9" t="s">
        <v>3690</v>
      </c>
      <c r="K670" s="7" t="s">
        <v>808</v>
      </c>
      <c r="L670" s="10" t="s">
        <v>170</v>
      </c>
    </row>
    <row r="671" customFormat="false" ht="52.5" hidden="false" customHeight="true" outlineLevel="0" collapsed="false">
      <c r="A671" s="7" t="s">
        <v>3691</v>
      </c>
      <c r="B671" s="7" t="s">
        <v>3692</v>
      </c>
      <c r="C671" s="7" t="s">
        <v>3531</v>
      </c>
      <c r="D671" s="7" t="s">
        <v>3693</v>
      </c>
      <c r="E671" s="7" t="s">
        <v>108</v>
      </c>
      <c r="F671" s="7" t="s">
        <v>748</v>
      </c>
      <c r="G671" s="7" t="s">
        <v>3542</v>
      </c>
      <c r="H671" s="7" t="s">
        <v>3543</v>
      </c>
      <c r="I671" s="7" t="s">
        <v>3694</v>
      </c>
      <c r="J671" s="9" t="s">
        <v>3695</v>
      </c>
      <c r="K671" s="7" t="s">
        <v>808</v>
      </c>
      <c r="L671" s="10" t="s">
        <v>170</v>
      </c>
    </row>
    <row r="672" customFormat="false" ht="52.5" hidden="false" customHeight="true" outlineLevel="0" collapsed="false">
      <c r="A672" s="7" t="s">
        <v>3696</v>
      </c>
      <c r="B672" s="7" t="s">
        <v>3697</v>
      </c>
      <c r="C672" s="7" t="s">
        <v>3531</v>
      </c>
      <c r="D672" s="7" t="s">
        <v>3698</v>
      </c>
      <c r="E672" s="7" t="s">
        <v>108</v>
      </c>
      <c r="F672" s="7" t="s">
        <v>748</v>
      </c>
      <c r="G672" s="7" t="s">
        <v>3542</v>
      </c>
      <c r="H672" s="7" t="s">
        <v>3543</v>
      </c>
      <c r="I672" s="7" t="s">
        <v>3699</v>
      </c>
      <c r="J672" s="9" t="s">
        <v>3700</v>
      </c>
      <c r="K672" s="7" t="s">
        <v>808</v>
      </c>
      <c r="L672" s="10" t="s">
        <v>170</v>
      </c>
    </row>
    <row r="673" customFormat="false" ht="52.5" hidden="false" customHeight="true" outlineLevel="0" collapsed="false">
      <c r="A673" s="7" t="s">
        <v>3701</v>
      </c>
      <c r="B673" s="7" t="s">
        <v>3702</v>
      </c>
      <c r="C673" s="7" t="s">
        <v>3531</v>
      </c>
      <c r="D673" s="7" t="s">
        <v>3703</v>
      </c>
      <c r="E673" s="7" t="s">
        <v>108</v>
      </c>
      <c r="F673" s="7" t="s">
        <v>748</v>
      </c>
      <c r="G673" s="7" t="s">
        <v>3542</v>
      </c>
      <c r="H673" s="7" t="s">
        <v>3543</v>
      </c>
      <c r="I673" s="7" t="s">
        <v>3704</v>
      </c>
      <c r="J673" s="9" t="s">
        <v>3705</v>
      </c>
      <c r="K673" s="7" t="s">
        <v>808</v>
      </c>
      <c r="L673" s="10" t="s">
        <v>170</v>
      </c>
    </row>
    <row r="674" customFormat="false" ht="52.5" hidden="false" customHeight="true" outlineLevel="0" collapsed="false">
      <c r="A674" s="7" t="s">
        <v>3706</v>
      </c>
      <c r="B674" s="7" t="s">
        <v>3707</v>
      </c>
      <c r="C674" s="7" t="s">
        <v>3531</v>
      </c>
      <c r="D674" s="7" t="s">
        <v>3708</v>
      </c>
      <c r="E674" s="7" t="s">
        <v>108</v>
      </c>
      <c r="F674" s="7" t="s">
        <v>748</v>
      </c>
      <c r="G674" s="7" t="s">
        <v>3542</v>
      </c>
      <c r="H674" s="7" t="s">
        <v>3543</v>
      </c>
      <c r="I674" s="7" t="s">
        <v>3709</v>
      </c>
      <c r="J674" s="9" t="s">
        <v>3710</v>
      </c>
      <c r="K674" s="7" t="s">
        <v>808</v>
      </c>
      <c r="L674" s="10" t="s">
        <v>170</v>
      </c>
    </row>
    <row r="675" customFormat="false" ht="52.5" hidden="false" customHeight="true" outlineLevel="0" collapsed="false">
      <c r="A675" s="7" t="s">
        <v>3711</v>
      </c>
      <c r="B675" s="7" t="s">
        <v>3712</v>
      </c>
      <c r="C675" s="7" t="s">
        <v>3531</v>
      </c>
      <c r="D675" s="7" t="s">
        <v>3713</v>
      </c>
      <c r="E675" s="7" t="s">
        <v>108</v>
      </c>
      <c r="F675" s="7" t="s">
        <v>748</v>
      </c>
      <c r="G675" s="7" t="s">
        <v>3542</v>
      </c>
      <c r="H675" s="7" t="s">
        <v>3543</v>
      </c>
      <c r="I675" s="7" t="s">
        <v>3714</v>
      </c>
      <c r="J675" s="9" t="s">
        <v>3715</v>
      </c>
      <c r="K675" s="7" t="s">
        <v>808</v>
      </c>
      <c r="L675" s="10" t="s">
        <v>170</v>
      </c>
    </row>
    <row r="676" customFormat="false" ht="52.5" hidden="false" customHeight="true" outlineLevel="0" collapsed="false">
      <c r="A676" s="7" t="s">
        <v>3716</v>
      </c>
      <c r="B676" s="7" t="s">
        <v>3717</v>
      </c>
      <c r="C676" s="7" t="s">
        <v>3531</v>
      </c>
      <c r="D676" s="7" t="s">
        <v>3718</v>
      </c>
      <c r="E676" s="7" t="s">
        <v>108</v>
      </c>
      <c r="F676" s="7" t="s">
        <v>748</v>
      </c>
      <c r="G676" s="7" t="s">
        <v>3542</v>
      </c>
      <c r="H676" s="7" t="s">
        <v>3543</v>
      </c>
      <c r="I676" s="7" t="s">
        <v>3719</v>
      </c>
      <c r="J676" s="9" t="s">
        <v>3720</v>
      </c>
      <c r="K676" s="7" t="s">
        <v>808</v>
      </c>
      <c r="L676" s="10" t="s">
        <v>170</v>
      </c>
    </row>
    <row r="677" customFormat="false" ht="52.5" hidden="false" customHeight="true" outlineLevel="0" collapsed="false">
      <c r="A677" s="7" t="s">
        <v>3721</v>
      </c>
      <c r="B677" s="7" t="s">
        <v>3722</v>
      </c>
      <c r="C677" s="7" t="s">
        <v>3531</v>
      </c>
      <c r="D677" s="7" t="s">
        <v>3723</v>
      </c>
      <c r="E677" s="7" t="s">
        <v>108</v>
      </c>
      <c r="F677" s="7" t="s">
        <v>748</v>
      </c>
      <c r="G677" s="7" t="s">
        <v>3542</v>
      </c>
      <c r="H677" s="7" t="s">
        <v>3543</v>
      </c>
      <c r="I677" s="7" t="s">
        <v>3724</v>
      </c>
      <c r="J677" s="9" t="s">
        <v>3725</v>
      </c>
      <c r="K677" s="7" t="s">
        <v>808</v>
      </c>
      <c r="L677" s="10" t="s">
        <v>170</v>
      </c>
    </row>
    <row r="678" customFormat="false" ht="52.5" hidden="false" customHeight="true" outlineLevel="0" collapsed="false">
      <c r="A678" s="7" t="s">
        <v>3726</v>
      </c>
      <c r="B678" s="7" t="s">
        <v>3727</v>
      </c>
      <c r="C678" s="7" t="s">
        <v>3531</v>
      </c>
      <c r="D678" s="7" t="s">
        <v>3728</v>
      </c>
      <c r="E678" s="7" t="s">
        <v>108</v>
      </c>
      <c r="F678" s="7" t="s">
        <v>748</v>
      </c>
      <c r="G678" s="7" t="s">
        <v>3542</v>
      </c>
      <c r="H678" s="7" t="s">
        <v>3543</v>
      </c>
      <c r="I678" s="7" t="s">
        <v>3729</v>
      </c>
      <c r="J678" s="9" t="s">
        <v>3730</v>
      </c>
      <c r="K678" s="7" t="s">
        <v>808</v>
      </c>
      <c r="L678" s="10" t="s">
        <v>170</v>
      </c>
    </row>
    <row r="679" customFormat="false" ht="52.5" hidden="false" customHeight="true" outlineLevel="0" collapsed="false">
      <c r="A679" s="7" t="s">
        <v>3731</v>
      </c>
      <c r="B679" s="7" t="s">
        <v>3732</v>
      </c>
      <c r="C679" s="7" t="s">
        <v>3531</v>
      </c>
      <c r="D679" s="7" t="s">
        <v>3733</v>
      </c>
      <c r="E679" s="7" t="s">
        <v>108</v>
      </c>
      <c r="F679" s="7" t="s">
        <v>748</v>
      </c>
      <c r="G679" s="7" t="s">
        <v>3542</v>
      </c>
      <c r="H679" s="7" t="s">
        <v>3543</v>
      </c>
      <c r="I679" s="7" t="s">
        <v>3734</v>
      </c>
      <c r="J679" s="9" t="s">
        <v>3735</v>
      </c>
      <c r="K679" s="7" t="s">
        <v>808</v>
      </c>
      <c r="L679" s="10" t="s">
        <v>170</v>
      </c>
    </row>
    <row r="680" customFormat="false" ht="52.5" hidden="false" customHeight="true" outlineLevel="0" collapsed="false">
      <c r="A680" s="7" t="s">
        <v>3736</v>
      </c>
      <c r="B680" s="7" t="s">
        <v>3737</v>
      </c>
      <c r="C680" s="7" t="s">
        <v>3531</v>
      </c>
      <c r="D680" s="7" t="s">
        <v>3738</v>
      </c>
      <c r="E680" s="7" t="s">
        <v>108</v>
      </c>
      <c r="F680" s="7" t="s">
        <v>748</v>
      </c>
      <c r="G680" s="7" t="s">
        <v>3542</v>
      </c>
      <c r="H680" s="7" t="s">
        <v>3543</v>
      </c>
      <c r="I680" s="7" t="s">
        <v>3739</v>
      </c>
      <c r="J680" s="9" t="s">
        <v>3740</v>
      </c>
      <c r="K680" s="7" t="s">
        <v>808</v>
      </c>
      <c r="L680" s="10" t="s">
        <v>170</v>
      </c>
    </row>
    <row r="681" customFormat="false" ht="52.5" hidden="false" customHeight="true" outlineLevel="0" collapsed="false">
      <c r="A681" s="7" t="s">
        <v>3741</v>
      </c>
      <c r="B681" s="7" t="s">
        <v>3742</v>
      </c>
      <c r="C681" s="7" t="s">
        <v>3531</v>
      </c>
      <c r="D681" s="7" t="s">
        <v>3743</v>
      </c>
      <c r="E681" s="7" t="s">
        <v>108</v>
      </c>
      <c r="F681" s="7" t="s">
        <v>748</v>
      </c>
      <c r="G681" s="7" t="s">
        <v>3542</v>
      </c>
      <c r="H681" s="7" t="s">
        <v>3543</v>
      </c>
      <c r="I681" s="7" t="s">
        <v>3744</v>
      </c>
      <c r="J681" s="9" t="s">
        <v>3745</v>
      </c>
      <c r="K681" s="7" t="s">
        <v>808</v>
      </c>
      <c r="L681" s="10" t="s">
        <v>170</v>
      </c>
    </row>
    <row r="682" customFormat="false" ht="52.5" hidden="false" customHeight="true" outlineLevel="0" collapsed="false">
      <c r="A682" s="7" t="s">
        <v>3746</v>
      </c>
      <c r="B682" s="7" t="s">
        <v>3747</v>
      </c>
      <c r="C682" s="7" t="s">
        <v>3531</v>
      </c>
      <c r="D682" s="7" t="s">
        <v>3748</v>
      </c>
      <c r="E682" s="7" t="s">
        <v>108</v>
      </c>
      <c r="F682" s="7" t="s">
        <v>748</v>
      </c>
      <c r="G682" s="7" t="s">
        <v>3542</v>
      </c>
      <c r="H682" s="7" t="s">
        <v>3543</v>
      </c>
      <c r="I682" s="7" t="s">
        <v>3749</v>
      </c>
      <c r="J682" s="9" t="s">
        <v>3750</v>
      </c>
      <c r="K682" s="7" t="s">
        <v>808</v>
      </c>
      <c r="L682" s="10" t="s">
        <v>170</v>
      </c>
    </row>
    <row r="683" customFormat="false" ht="52.5" hidden="false" customHeight="true" outlineLevel="0" collapsed="false">
      <c r="A683" s="7" t="s">
        <v>3751</v>
      </c>
      <c r="B683" s="7" t="s">
        <v>3752</v>
      </c>
      <c r="C683" s="7" t="s">
        <v>3531</v>
      </c>
      <c r="D683" s="7" t="s">
        <v>3753</v>
      </c>
      <c r="E683" s="7" t="s">
        <v>108</v>
      </c>
      <c r="F683" s="7" t="s">
        <v>748</v>
      </c>
      <c r="G683" s="7" t="s">
        <v>3542</v>
      </c>
      <c r="H683" s="7" t="s">
        <v>3543</v>
      </c>
      <c r="I683" s="7" t="s">
        <v>3754</v>
      </c>
      <c r="J683" s="9" t="s">
        <v>3755</v>
      </c>
      <c r="K683" s="7" t="s">
        <v>808</v>
      </c>
      <c r="L683" s="10" t="s">
        <v>170</v>
      </c>
    </row>
    <row r="684" customFormat="false" ht="52.5" hidden="false" customHeight="true" outlineLevel="0" collapsed="false">
      <c r="A684" s="7" t="s">
        <v>3756</v>
      </c>
      <c r="B684" s="7" t="s">
        <v>3757</v>
      </c>
      <c r="C684" s="7" t="s">
        <v>3531</v>
      </c>
      <c r="D684" s="7" t="s">
        <v>3758</v>
      </c>
      <c r="E684" s="7" t="s">
        <v>108</v>
      </c>
      <c r="F684" s="7" t="s">
        <v>748</v>
      </c>
      <c r="G684" s="7" t="s">
        <v>3542</v>
      </c>
      <c r="H684" s="7" t="s">
        <v>3543</v>
      </c>
      <c r="I684" s="7" t="s">
        <v>3759</v>
      </c>
      <c r="J684" s="9" t="s">
        <v>3760</v>
      </c>
      <c r="K684" s="7" t="s">
        <v>808</v>
      </c>
      <c r="L684" s="10" t="s">
        <v>170</v>
      </c>
    </row>
    <row r="685" customFormat="false" ht="52.5" hidden="false" customHeight="true" outlineLevel="0" collapsed="false">
      <c r="A685" s="7" t="s">
        <v>3761</v>
      </c>
      <c r="B685" s="7" t="s">
        <v>3762</v>
      </c>
      <c r="C685" s="7" t="s">
        <v>3531</v>
      </c>
      <c r="D685" s="7" t="s">
        <v>3763</v>
      </c>
      <c r="E685" s="7" t="s">
        <v>108</v>
      </c>
      <c r="F685" s="7" t="s">
        <v>748</v>
      </c>
      <c r="G685" s="7" t="s">
        <v>3542</v>
      </c>
      <c r="H685" s="7" t="s">
        <v>3543</v>
      </c>
      <c r="I685" s="7" t="s">
        <v>3764</v>
      </c>
      <c r="J685" s="9" t="s">
        <v>3765</v>
      </c>
      <c r="K685" s="7" t="s">
        <v>808</v>
      </c>
      <c r="L685" s="10" t="s">
        <v>170</v>
      </c>
    </row>
    <row r="686" customFormat="false" ht="52.5" hidden="false" customHeight="true" outlineLevel="0" collapsed="false">
      <c r="A686" s="7" t="s">
        <v>3766</v>
      </c>
      <c r="B686" s="7" t="s">
        <v>3767</v>
      </c>
      <c r="C686" s="7" t="s">
        <v>3531</v>
      </c>
      <c r="D686" s="7" t="s">
        <v>3768</v>
      </c>
      <c r="E686" s="7" t="s">
        <v>108</v>
      </c>
      <c r="F686" s="7" t="s">
        <v>748</v>
      </c>
      <c r="G686" s="7" t="s">
        <v>3542</v>
      </c>
      <c r="H686" s="7" t="s">
        <v>3543</v>
      </c>
      <c r="I686" s="7" t="s">
        <v>3769</v>
      </c>
      <c r="J686" s="9" t="s">
        <v>3770</v>
      </c>
      <c r="K686" s="7" t="s">
        <v>808</v>
      </c>
      <c r="L686" s="10" t="s">
        <v>170</v>
      </c>
    </row>
    <row r="687" customFormat="false" ht="52.5" hidden="false" customHeight="true" outlineLevel="0" collapsed="false">
      <c r="A687" s="7" t="s">
        <v>3771</v>
      </c>
      <c r="B687" s="7" t="s">
        <v>3772</v>
      </c>
      <c r="C687" s="7" t="s">
        <v>3531</v>
      </c>
      <c r="D687" s="7" t="s">
        <v>3773</v>
      </c>
      <c r="E687" s="7" t="s">
        <v>108</v>
      </c>
      <c r="F687" s="7" t="s">
        <v>748</v>
      </c>
      <c r="G687" s="7" t="s">
        <v>3542</v>
      </c>
      <c r="H687" s="7" t="s">
        <v>3543</v>
      </c>
      <c r="I687" s="7" t="s">
        <v>3774</v>
      </c>
      <c r="J687" s="9" t="s">
        <v>3775</v>
      </c>
      <c r="K687" s="7" t="s">
        <v>808</v>
      </c>
      <c r="L687" s="10" t="s">
        <v>170</v>
      </c>
    </row>
    <row r="688" customFormat="false" ht="52.5" hidden="false" customHeight="true" outlineLevel="0" collapsed="false">
      <c r="A688" s="7" t="s">
        <v>3776</v>
      </c>
      <c r="B688" s="7" t="s">
        <v>3777</v>
      </c>
      <c r="C688" s="7" t="s">
        <v>3531</v>
      </c>
      <c r="D688" s="7" t="s">
        <v>3778</v>
      </c>
      <c r="E688" s="7" t="s">
        <v>108</v>
      </c>
      <c r="F688" s="7" t="s">
        <v>748</v>
      </c>
      <c r="G688" s="7" t="s">
        <v>3542</v>
      </c>
      <c r="H688" s="7" t="s">
        <v>3543</v>
      </c>
      <c r="I688" s="7" t="s">
        <v>3779</v>
      </c>
      <c r="J688" s="9" t="s">
        <v>3780</v>
      </c>
      <c r="K688" s="7" t="s">
        <v>808</v>
      </c>
      <c r="L688" s="10" t="s">
        <v>170</v>
      </c>
    </row>
    <row r="689" customFormat="false" ht="52.5" hidden="false" customHeight="true" outlineLevel="0" collapsed="false">
      <c r="A689" s="7" t="s">
        <v>3781</v>
      </c>
      <c r="B689" s="7" t="s">
        <v>3782</v>
      </c>
      <c r="C689" s="7" t="s">
        <v>3531</v>
      </c>
      <c r="D689" s="7" t="s">
        <v>3783</v>
      </c>
      <c r="E689" s="7" t="s">
        <v>108</v>
      </c>
      <c r="F689" s="7" t="s">
        <v>748</v>
      </c>
      <c r="G689" s="7" t="s">
        <v>3542</v>
      </c>
      <c r="H689" s="7" t="s">
        <v>3543</v>
      </c>
      <c r="I689" s="7" t="s">
        <v>3784</v>
      </c>
      <c r="J689" s="9" t="s">
        <v>3785</v>
      </c>
      <c r="K689" s="7" t="s">
        <v>808</v>
      </c>
      <c r="L689" s="10" t="s">
        <v>170</v>
      </c>
    </row>
    <row r="690" customFormat="false" ht="52.5" hidden="false" customHeight="true" outlineLevel="0" collapsed="false">
      <c r="A690" s="7" t="s">
        <v>3786</v>
      </c>
      <c r="B690" s="7" t="s">
        <v>3787</v>
      </c>
      <c r="C690" s="7" t="s">
        <v>3531</v>
      </c>
      <c r="D690" s="7" t="s">
        <v>3788</v>
      </c>
      <c r="E690" s="7" t="s">
        <v>108</v>
      </c>
      <c r="F690" s="7" t="s">
        <v>748</v>
      </c>
      <c r="G690" s="7" t="s">
        <v>3542</v>
      </c>
      <c r="H690" s="7" t="s">
        <v>3543</v>
      </c>
      <c r="I690" s="7" t="s">
        <v>3789</v>
      </c>
      <c r="J690" s="9" t="s">
        <v>3790</v>
      </c>
      <c r="K690" s="7" t="s">
        <v>808</v>
      </c>
      <c r="L690" s="10" t="s">
        <v>170</v>
      </c>
    </row>
    <row r="691" customFormat="false" ht="52.5" hidden="false" customHeight="true" outlineLevel="0" collapsed="false">
      <c r="A691" s="7" t="s">
        <v>3791</v>
      </c>
      <c r="B691" s="7" t="s">
        <v>3792</v>
      </c>
      <c r="C691" s="7" t="s">
        <v>3531</v>
      </c>
      <c r="D691" s="7" t="s">
        <v>3793</v>
      </c>
      <c r="E691" s="7" t="s">
        <v>108</v>
      </c>
      <c r="F691" s="7" t="s">
        <v>748</v>
      </c>
      <c r="G691" s="7" t="s">
        <v>3542</v>
      </c>
      <c r="H691" s="7" t="s">
        <v>3543</v>
      </c>
      <c r="I691" s="7" t="s">
        <v>3794</v>
      </c>
      <c r="J691" s="9" t="s">
        <v>3795</v>
      </c>
      <c r="K691" s="7" t="s">
        <v>808</v>
      </c>
      <c r="L691" s="10" t="s">
        <v>170</v>
      </c>
    </row>
    <row r="692" customFormat="false" ht="52.5" hidden="false" customHeight="true" outlineLevel="0" collapsed="false">
      <c r="A692" s="7" t="s">
        <v>3796</v>
      </c>
      <c r="B692" s="7" t="s">
        <v>3797</v>
      </c>
      <c r="C692" s="7" t="s">
        <v>3531</v>
      </c>
      <c r="D692" s="7" t="s">
        <v>3798</v>
      </c>
      <c r="E692" s="7" t="s">
        <v>100</v>
      </c>
      <c r="F692" s="7" t="s">
        <v>3125</v>
      </c>
      <c r="G692" s="7" t="s">
        <v>3799</v>
      </c>
      <c r="H692" s="7" t="s">
        <v>3800</v>
      </c>
      <c r="I692" s="7" t="s">
        <v>3801</v>
      </c>
      <c r="J692" s="9" t="s">
        <v>3802</v>
      </c>
      <c r="K692" s="7" t="s">
        <v>3803</v>
      </c>
      <c r="L692" s="12" t="s">
        <v>186</v>
      </c>
    </row>
    <row r="693" customFormat="false" ht="87" hidden="false" customHeight="true" outlineLevel="0" collapsed="false">
      <c r="A693" s="7" t="s">
        <v>3804</v>
      </c>
      <c r="B693" s="7" t="s">
        <v>3805</v>
      </c>
      <c r="C693" s="7" t="s">
        <v>3531</v>
      </c>
      <c r="D693" s="7" t="s">
        <v>3806</v>
      </c>
      <c r="E693" s="7" t="s">
        <v>100</v>
      </c>
      <c r="F693" s="7" t="s">
        <v>3125</v>
      </c>
      <c r="G693" s="7" t="s">
        <v>3799</v>
      </c>
      <c r="H693" s="7" t="s">
        <v>3800</v>
      </c>
      <c r="I693" s="7" t="s">
        <v>3807</v>
      </c>
      <c r="J693" s="9" t="s">
        <v>3808</v>
      </c>
      <c r="K693" s="7" t="s">
        <v>3803</v>
      </c>
      <c r="L693" s="10" t="s">
        <v>572</v>
      </c>
    </row>
    <row r="694" customFormat="false" ht="87" hidden="false" customHeight="true" outlineLevel="0" collapsed="false">
      <c r="A694" s="7" t="s">
        <v>3809</v>
      </c>
      <c r="B694" s="7" t="s">
        <v>3810</v>
      </c>
      <c r="C694" s="7" t="s">
        <v>3531</v>
      </c>
      <c r="D694" s="7" t="s">
        <v>3811</v>
      </c>
      <c r="E694" s="7" t="s">
        <v>100</v>
      </c>
      <c r="F694" s="7" t="s">
        <v>3125</v>
      </c>
      <c r="G694" s="7" t="s">
        <v>3799</v>
      </c>
      <c r="H694" s="7" t="s">
        <v>3800</v>
      </c>
      <c r="I694" s="7" t="s">
        <v>3812</v>
      </c>
      <c r="J694" s="9" t="s">
        <v>3813</v>
      </c>
      <c r="K694" s="7" t="s">
        <v>3803</v>
      </c>
      <c r="L694" s="10" t="s">
        <v>572</v>
      </c>
    </row>
    <row r="695" customFormat="false" ht="87" hidden="false" customHeight="true" outlineLevel="0" collapsed="false">
      <c r="A695" s="7" t="s">
        <v>3814</v>
      </c>
      <c r="B695" s="7" t="s">
        <v>3815</v>
      </c>
      <c r="C695" s="7" t="s">
        <v>3531</v>
      </c>
      <c r="D695" s="7" t="s">
        <v>3816</v>
      </c>
      <c r="E695" s="7" t="s">
        <v>100</v>
      </c>
      <c r="F695" s="7" t="s">
        <v>3125</v>
      </c>
      <c r="G695" s="7" t="s">
        <v>3799</v>
      </c>
      <c r="H695" s="7" t="s">
        <v>3800</v>
      </c>
      <c r="I695" s="7" t="s">
        <v>3817</v>
      </c>
      <c r="J695" s="9" t="s">
        <v>3818</v>
      </c>
      <c r="K695" s="7" t="s">
        <v>3803</v>
      </c>
      <c r="L695" s="10" t="s">
        <v>572</v>
      </c>
    </row>
    <row r="696" customFormat="false" ht="87" hidden="false" customHeight="true" outlineLevel="0" collapsed="false">
      <c r="A696" s="7" t="s">
        <v>3819</v>
      </c>
      <c r="B696" s="7" t="s">
        <v>3820</v>
      </c>
      <c r="C696" s="7" t="s">
        <v>3531</v>
      </c>
      <c r="D696" s="7" t="s">
        <v>3821</v>
      </c>
      <c r="E696" s="7" t="s">
        <v>100</v>
      </c>
      <c r="F696" s="7" t="s">
        <v>3125</v>
      </c>
      <c r="G696" s="7" t="s">
        <v>3799</v>
      </c>
      <c r="H696" s="7" t="s">
        <v>3800</v>
      </c>
      <c r="I696" s="7" t="s">
        <v>3822</v>
      </c>
      <c r="J696" s="9" t="s">
        <v>3823</v>
      </c>
      <c r="K696" s="7" t="s">
        <v>3803</v>
      </c>
      <c r="L696" s="10" t="s">
        <v>572</v>
      </c>
    </row>
    <row r="697" customFormat="false" ht="87" hidden="false" customHeight="true" outlineLevel="0" collapsed="false">
      <c r="A697" s="7" t="s">
        <v>3824</v>
      </c>
      <c r="B697" s="7" t="s">
        <v>3825</v>
      </c>
      <c r="C697" s="7" t="s">
        <v>3531</v>
      </c>
      <c r="D697" s="7" t="s">
        <v>3826</v>
      </c>
      <c r="E697" s="7" t="s">
        <v>100</v>
      </c>
      <c r="F697" s="7" t="s">
        <v>3125</v>
      </c>
      <c r="G697" s="7" t="s">
        <v>3799</v>
      </c>
      <c r="H697" s="7" t="s">
        <v>3800</v>
      </c>
      <c r="I697" s="7" t="s">
        <v>3827</v>
      </c>
      <c r="J697" s="9" t="s">
        <v>3828</v>
      </c>
      <c r="K697" s="7" t="s">
        <v>3803</v>
      </c>
      <c r="L697" s="10" t="s">
        <v>572</v>
      </c>
    </row>
    <row r="698" customFormat="false" ht="87" hidden="false" customHeight="true" outlineLevel="0" collapsed="false">
      <c r="A698" s="7" t="s">
        <v>3829</v>
      </c>
      <c r="B698" s="7" t="s">
        <v>3830</v>
      </c>
      <c r="C698" s="7" t="s">
        <v>3531</v>
      </c>
      <c r="D698" s="7" t="s">
        <v>3831</v>
      </c>
      <c r="E698" s="7" t="s">
        <v>100</v>
      </c>
      <c r="F698" s="7" t="s">
        <v>3125</v>
      </c>
      <c r="G698" s="7" t="s">
        <v>3799</v>
      </c>
      <c r="H698" s="7" t="s">
        <v>3800</v>
      </c>
      <c r="I698" s="7" t="s">
        <v>3832</v>
      </c>
      <c r="J698" s="9" t="s">
        <v>3833</v>
      </c>
      <c r="K698" s="7" t="s">
        <v>3803</v>
      </c>
      <c r="L698" s="12" t="s">
        <v>186</v>
      </c>
    </row>
    <row r="699" customFormat="false" ht="87" hidden="false" customHeight="true" outlineLevel="0" collapsed="false">
      <c r="A699" s="7" t="s">
        <v>3834</v>
      </c>
      <c r="B699" s="7" t="s">
        <v>3835</v>
      </c>
      <c r="C699" s="7" t="s">
        <v>3531</v>
      </c>
      <c r="D699" s="7" t="s">
        <v>3836</v>
      </c>
      <c r="E699" s="7" t="s">
        <v>100</v>
      </c>
      <c r="F699" s="7" t="s">
        <v>3125</v>
      </c>
      <c r="G699" s="7" t="s">
        <v>3799</v>
      </c>
      <c r="H699" s="7" t="s">
        <v>3800</v>
      </c>
      <c r="I699" s="7" t="s">
        <v>3837</v>
      </c>
      <c r="J699" s="9" t="s">
        <v>3838</v>
      </c>
      <c r="K699" s="7" t="s">
        <v>3803</v>
      </c>
      <c r="L699" s="12" t="s">
        <v>186</v>
      </c>
    </row>
    <row r="700" customFormat="false" ht="87" hidden="false" customHeight="true" outlineLevel="0" collapsed="false">
      <c r="A700" s="7" t="s">
        <v>3839</v>
      </c>
      <c r="B700" s="7" t="s">
        <v>3840</v>
      </c>
      <c r="C700" s="7" t="s">
        <v>3531</v>
      </c>
      <c r="D700" s="7" t="s">
        <v>3841</v>
      </c>
      <c r="E700" s="7" t="s">
        <v>100</v>
      </c>
      <c r="F700" s="7" t="s">
        <v>3125</v>
      </c>
      <c r="G700" s="7" t="s">
        <v>3799</v>
      </c>
      <c r="H700" s="7" t="s">
        <v>3800</v>
      </c>
      <c r="I700" s="7" t="s">
        <v>3842</v>
      </c>
      <c r="J700" s="9" t="s">
        <v>3843</v>
      </c>
      <c r="K700" s="7" t="s">
        <v>3803</v>
      </c>
      <c r="L700" s="10" t="s">
        <v>572</v>
      </c>
    </row>
    <row r="701" customFormat="false" ht="35.25" hidden="false" customHeight="true" outlineLevel="0" collapsed="false">
      <c r="A701" s="7" t="s">
        <v>3844</v>
      </c>
      <c r="B701" s="7" t="s">
        <v>3845</v>
      </c>
      <c r="C701" s="7" t="s">
        <v>3531</v>
      </c>
      <c r="D701" s="7" t="s">
        <v>3846</v>
      </c>
      <c r="E701" s="7" t="s">
        <v>108</v>
      </c>
      <c r="F701" s="7" t="s">
        <v>748</v>
      </c>
      <c r="G701" s="7" t="s">
        <v>3542</v>
      </c>
      <c r="H701" s="7" t="s">
        <v>3543</v>
      </c>
      <c r="I701" s="7" t="s">
        <v>3847</v>
      </c>
      <c r="J701" s="9" t="s">
        <v>3848</v>
      </c>
      <c r="K701" s="7" t="s">
        <v>808</v>
      </c>
      <c r="L701" s="12" t="s">
        <v>186</v>
      </c>
    </row>
    <row r="702" customFormat="false" ht="87" hidden="false" customHeight="true" outlineLevel="0" collapsed="false">
      <c r="A702" s="7" t="s">
        <v>3849</v>
      </c>
      <c r="B702" s="7" t="s">
        <v>3850</v>
      </c>
      <c r="C702" s="7" t="s">
        <v>3531</v>
      </c>
      <c r="D702" s="7" t="s">
        <v>3851</v>
      </c>
      <c r="E702" s="7" t="s">
        <v>108</v>
      </c>
      <c r="F702" s="7" t="s">
        <v>748</v>
      </c>
      <c r="G702" s="7" t="s">
        <v>3542</v>
      </c>
      <c r="H702" s="7" t="s">
        <v>3543</v>
      </c>
      <c r="I702" s="7" t="s">
        <v>3852</v>
      </c>
      <c r="J702" s="9" t="s">
        <v>3853</v>
      </c>
      <c r="K702" s="7" t="s">
        <v>808</v>
      </c>
      <c r="L702" s="12" t="s">
        <v>186</v>
      </c>
    </row>
    <row r="703" customFormat="false" ht="87" hidden="false" customHeight="true" outlineLevel="0" collapsed="false">
      <c r="A703" s="7" t="s">
        <v>3854</v>
      </c>
      <c r="B703" s="7" t="s">
        <v>3855</v>
      </c>
      <c r="C703" s="7" t="s">
        <v>3531</v>
      </c>
      <c r="D703" s="7" t="s">
        <v>3856</v>
      </c>
      <c r="E703" s="7" t="s">
        <v>108</v>
      </c>
      <c r="F703" s="7" t="s">
        <v>748</v>
      </c>
      <c r="G703" s="7" t="s">
        <v>3542</v>
      </c>
      <c r="H703" s="7" t="s">
        <v>3543</v>
      </c>
      <c r="I703" s="7" t="s">
        <v>3857</v>
      </c>
      <c r="J703" s="9" t="s">
        <v>3858</v>
      </c>
      <c r="K703" s="7" t="s">
        <v>808</v>
      </c>
      <c r="L703" s="10" t="s">
        <v>572</v>
      </c>
    </row>
    <row r="704" customFormat="false" ht="87" hidden="false" customHeight="true" outlineLevel="0" collapsed="false">
      <c r="A704" s="7" t="s">
        <v>3859</v>
      </c>
      <c r="B704" s="7" t="s">
        <v>3860</v>
      </c>
      <c r="C704" s="7" t="s">
        <v>3531</v>
      </c>
      <c r="D704" s="7" t="s">
        <v>3861</v>
      </c>
      <c r="E704" s="7" t="s">
        <v>108</v>
      </c>
      <c r="F704" s="7" t="s">
        <v>748</v>
      </c>
      <c r="G704" s="7" t="s">
        <v>3542</v>
      </c>
      <c r="H704" s="7" t="s">
        <v>3543</v>
      </c>
      <c r="I704" s="7" t="s">
        <v>3862</v>
      </c>
      <c r="J704" s="9" t="s">
        <v>3863</v>
      </c>
      <c r="K704" s="7" t="s">
        <v>808</v>
      </c>
      <c r="L704" s="12" t="s">
        <v>186</v>
      </c>
    </row>
    <row r="705" customFormat="false" ht="69.75" hidden="false" customHeight="true" outlineLevel="0" collapsed="false">
      <c r="A705" s="7" t="s">
        <v>3864</v>
      </c>
      <c r="B705" s="7" t="s">
        <v>3865</v>
      </c>
      <c r="C705" s="7" t="s">
        <v>3531</v>
      </c>
      <c r="D705" s="7" t="s">
        <v>3866</v>
      </c>
      <c r="E705" s="7" t="s">
        <v>108</v>
      </c>
      <c r="F705" s="7" t="s">
        <v>748</v>
      </c>
      <c r="G705" s="7" t="s">
        <v>3542</v>
      </c>
      <c r="H705" s="7" t="s">
        <v>3543</v>
      </c>
      <c r="I705" s="7" t="s">
        <v>3867</v>
      </c>
      <c r="J705" s="9" t="s">
        <v>3868</v>
      </c>
      <c r="K705" s="7" t="s">
        <v>808</v>
      </c>
      <c r="L705" s="10" t="s">
        <v>572</v>
      </c>
    </row>
    <row r="706" customFormat="false" ht="87" hidden="false" customHeight="true" outlineLevel="0" collapsed="false">
      <c r="A706" s="7" t="s">
        <v>3869</v>
      </c>
      <c r="B706" s="7" t="s">
        <v>3870</v>
      </c>
      <c r="C706" s="7" t="s">
        <v>3531</v>
      </c>
      <c r="D706" s="7" t="s">
        <v>3871</v>
      </c>
      <c r="E706" s="7" t="s">
        <v>108</v>
      </c>
      <c r="F706" s="7" t="s">
        <v>748</v>
      </c>
      <c r="G706" s="7" t="s">
        <v>3542</v>
      </c>
      <c r="H706" s="7" t="s">
        <v>3543</v>
      </c>
      <c r="I706" s="7" t="s">
        <v>3872</v>
      </c>
      <c r="J706" s="9" t="s">
        <v>3873</v>
      </c>
      <c r="K706" s="7" t="s">
        <v>808</v>
      </c>
      <c r="L706" s="12" t="s">
        <v>186</v>
      </c>
    </row>
    <row r="707" customFormat="false" ht="87" hidden="false" customHeight="true" outlineLevel="0" collapsed="false">
      <c r="A707" s="7" t="s">
        <v>3874</v>
      </c>
      <c r="B707" s="7" t="s">
        <v>3875</v>
      </c>
      <c r="C707" s="7" t="s">
        <v>3531</v>
      </c>
      <c r="D707" s="7" t="s">
        <v>3876</v>
      </c>
      <c r="E707" s="7" t="s">
        <v>108</v>
      </c>
      <c r="F707" s="7" t="s">
        <v>748</v>
      </c>
      <c r="G707" s="7" t="s">
        <v>3542</v>
      </c>
      <c r="H707" s="7" t="s">
        <v>3543</v>
      </c>
      <c r="I707" s="7" t="s">
        <v>3877</v>
      </c>
      <c r="J707" s="9" t="s">
        <v>3878</v>
      </c>
      <c r="K707" s="7" t="s">
        <v>808</v>
      </c>
      <c r="L707" s="10" t="s">
        <v>572</v>
      </c>
    </row>
    <row r="708" customFormat="false" ht="87" hidden="false" customHeight="true" outlineLevel="0" collapsed="false">
      <c r="A708" s="7" t="s">
        <v>3879</v>
      </c>
      <c r="B708" s="7" t="s">
        <v>3880</v>
      </c>
      <c r="C708" s="7" t="s">
        <v>3531</v>
      </c>
      <c r="D708" s="7" t="s">
        <v>3881</v>
      </c>
      <c r="E708" s="7" t="s">
        <v>108</v>
      </c>
      <c r="F708" s="7" t="s">
        <v>748</v>
      </c>
      <c r="G708" s="7" t="s">
        <v>3542</v>
      </c>
      <c r="H708" s="7" t="s">
        <v>3543</v>
      </c>
      <c r="I708" s="7" t="s">
        <v>3882</v>
      </c>
      <c r="J708" s="9" t="s">
        <v>3883</v>
      </c>
      <c r="K708" s="7" t="s">
        <v>808</v>
      </c>
      <c r="L708" s="10" t="s">
        <v>572</v>
      </c>
    </row>
    <row r="709" customFormat="false" ht="35.25" hidden="false" customHeight="true" outlineLevel="0" collapsed="false">
      <c r="A709" s="7" t="s">
        <v>3884</v>
      </c>
      <c r="B709" s="7" t="s">
        <v>3885</v>
      </c>
      <c r="C709" s="7" t="s">
        <v>3531</v>
      </c>
      <c r="D709" s="7" t="s">
        <v>3886</v>
      </c>
      <c r="E709" s="7" t="s">
        <v>108</v>
      </c>
      <c r="F709" s="7" t="s">
        <v>748</v>
      </c>
      <c r="G709" s="7" t="s">
        <v>3542</v>
      </c>
      <c r="H709" s="7" t="s">
        <v>3543</v>
      </c>
      <c r="I709" s="7" t="s">
        <v>3887</v>
      </c>
      <c r="J709" s="9" t="s">
        <v>3888</v>
      </c>
      <c r="K709" s="7" t="s">
        <v>808</v>
      </c>
      <c r="L709" s="10" t="s">
        <v>572</v>
      </c>
    </row>
    <row r="710" customFormat="false" ht="69.75" hidden="false" customHeight="true" outlineLevel="0" collapsed="false">
      <c r="A710" s="7" t="s">
        <v>3889</v>
      </c>
      <c r="B710" s="7" t="s">
        <v>3890</v>
      </c>
      <c r="C710" s="7" t="s">
        <v>3531</v>
      </c>
      <c r="D710" s="7" t="s">
        <v>3891</v>
      </c>
      <c r="E710" s="7" t="s">
        <v>108</v>
      </c>
      <c r="F710" s="7" t="s">
        <v>748</v>
      </c>
      <c r="G710" s="7" t="s">
        <v>3542</v>
      </c>
      <c r="H710" s="7" t="s">
        <v>3543</v>
      </c>
      <c r="I710" s="7" t="s">
        <v>3892</v>
      </c>
      <c r="J710" s="9" t="s">
        <v>3893</v>
      </c>
      <c r="K710" s="7" t="s">
        <v>808</v>
      </c>
      <c r="L710" s="10" t="s">
        <v>572</v>
      </c>
    </row>
    <row r="711" customFormat="false" ht="69.75" hidden="false" customHeight="true" outlineLevel="0" collapsed="false">
      <c r="A711" s="7" t="s">
        <v>3894</v>
      </c>
      <c r="B711" s="7" t="s">
        <v>3895</v>
      </c>
      <c r="C711" s="7" t="s">
        <v>3531</v>
      </c>
      <c r="D711" s="7" t="s">
        <v>3896</v>
      </c>
      <c r="E711" s="7" t="s">
        <v>108</v>
      </c>
      <c r="F711" s="7" t="s">
        <v>748</v>
      </c>
      <c r="G711" s="7" t="s">
        <v>3542</v>
      </c>
      <c r="H711" s="7" t="s">
        <v>3543</v>
      </c>
      <c r="I711" s="7" t="s">
        <v>3897</v>
      </c>
      <c r="J711" s="9" t="s">
        <v>3898</v>
      </c>
      <c r="K711" s="7" t="s">
        <v>808</v>
      </c>
      <c r="L711" s="10" t="s">
        <v>572</v>
      </c>
    </row>
    <row r="712" customFormat="false" ht="87" hidden="false" customHeight="true" outlineLevel="0" collapsed="false">
      <c r="A712" s="7" t="s">
        <v>3899</v>
      </c>
      <c r="B712" s="7" t="s">
        <v>3900</v>
      </c>
      <c r="C712" s="7" t="s">
        <v>3531</v>
      </c>
      <c r="D712" s="7" t="s">
        <v>3901</v>
      </c>
      <c r="E712" s="7" t="s">
        <v>108</v>
      </c>
      <c r="F712" s="7" t="s">
        <v>748</v>
      </c>
      <c r="G712" s="7" t="s">
        <v>3542</v>
      </c>
      <c r="H712" s="7" t="s">
        <v>3543</v>
      </c>
      <c r="I712" s="7" t="s">
        <v>3902</v>
      </c>
      <c r="J712" s="9" t="s">
        <v>3903</v>
      </c>
      <c r="K712" s="7" t="s">
        <v>808</v>
      </c>
      <c r="L712" s="10" t="s">
        <v>572</v>
      </c>
    </row>
    <row r="713" customFormat="false" ht="69.75" hidden="false" customHeight="true" outlineLevel="0" collapsed="false">
      <c r="A713" s="7" t="s">
        <v>3904</v>
      </c>
      <c r="B713" s="7" t="s">
        <v>3905</v>
      </c>
      <c r="C713" s="7" t="s">
        <v>3531</v>
      </c>
      <c r="D713" s="7" t="s">
        <v>3906</v>
      </c>
      <c r="E713" s="7" t="s">
        <v>108</v>
      </c>
      <c r="F713" s="7" t="s">
        <v>748</v>
      </c>
      <c r="G713" s="7" t="s">
        <v>3542</v>
      </c>
      <c r="H713" s="7" t="s">
        <v>3543</v>
      </c>
      <c r="I713" s="7" t="s">
        <v>3907</v>
      </c>
      <c r="J713" s="9" t="s">
        <v>3908</v>
      </c>
      <c r="K713" s="7" t="s">
        <v>808</v>
      </c>
      <c r="L713" s="10" t="s">
        <v>572</v>
      </c>
    </row>
    <row r="714" customFormat="false" ht="69.75" hidden="false" customHeight="true" outlineLevel="0" collapsed="false">
      <c r="A714" s="7" t="s">
        <v>3909</v>
      </c>
      <c r="B714" s="7" t="s">
        <v>3910</v>
      </c>
      <c r="C714" s="7" t="s">
        <v>3531</v>
      </c>
      <c r="D714" s="7" t="s">
        <v>3911</v>
      </c>
      <c r="E714" s="7" t="s">
        <v>108</v>
      </c>
      <c r="F714" s="7" t="s">
        <v>748</v>
      </c>
      <c r="G714" s="7" t="s">
        <v>3542</v>
      </c>
      <c r="H714" s="7" t="s">
        <v>3543</v>
      </c>
      <c r="I714" s="7" t="s">
        <v>3912</v>
      </c>
      <c r="J714" s="9" t="s">
        <v>3913</v>
      </c>
      <c r="K714" s="7" t="s">
        <v>808</v>
      </c>
      <c r="L714" s="10" t="s">
        <v>572</v>
      </c>
    </row>
    <row r="715" customFormat="false" ht="69.75" hidden="false" customHeight="true" outlineLevel="0" collapsed="false">
      <c r="A715" s="7" t="s">
        <v>3914</v>
      </c>
      <c r="B715" s="7" t="s">
        <v>3915</v>
      </c>
      <c r="C715" s="7" t="s">
        <v>3531</v>
      </c>
      <c r="D715" s="7" t="s">
        <v>3916</v>
      </c>
      <c r="E715" s="7" t="s">
        <v>108</v>
      </c>
      <c r="F715" s="7" t="s">
        <v>748</v>
      </c>
      <c r="G715" s="7" t="s">
        <v>3542</v>
      </c>
      <c r="H715" s="7" t="s">
        <v>3543</v>
      </c>
      <c r="I715" s="7" t="s">
        <v>3917</v>
      </c>
      <c r="J715" s="9" t="s">
        <v>3918</v>
      </c>
      <c r="K715" s="7" t="s">
        <v>808</v>
      </c>
      <c r="L715" s="10" t="s">
        <v>572</v>
      </c>
    </row>
    <row r="716" customFormat="false" ht="69.75" hidden="false" customHeight="true" outlineLevel="0" collapsed="false">
      <c r="A716" s="7" t="s">
        <v>3919</v>
      </c>
      <c r="B716" s="7" t="s">
        <v>3920</v>
      </c>
      <c r="C716" s="7" t="s">
        <v>3531</v>
      </c>
      <c r="D716" s="7" t="s">
        <v>3921</v>
      </c>
      <c r="E716" s="7" t="s">
        <v>108</v>
      </c>
      <c r="F716" s="7" t="s">
        <v>748</v>
      </c>
      <c r="G716" s="7" t="s">
        <v>3542</v>
      </c>
      <c r="H716" s="7" t="s">
        <v>3543</v>
      </c>
      <c r="I716" s="7" t="s">
        <v>3922</v>
      </c>
      <c r="J716" s="9" t="s">
        <v>3923</v>
      </c>
      <c r="K716" s="7" t="s">
        <v>808</v>
      </c>
      <c r="L716" s="10" t="s">
        <v>572</v>
      </c>
    </row>
    <row r="717" customFormat="false" ht="69.75" hidden="false" customHeight="true" outlineLevel="0" collapsed="false">
      <c r="A717" s="7" t="s">
        <v>3924</v>
      </c>
      <c r="B717" s="7" t="s">
        <v>3925</v>
      </c>
      <c r="C717" s="7" t="s">
        <v>3531</v>
      </c>
      <c r="D717" s="7" t="s">
        <v>3926</v>
      </c>
      <c r="E717" s="7" t="s">
        <v>108</v>
      </c>
      <c r="F717" s="7" t="s">
        <v>748</v>
      </c>
      <c r="G717" s="7" t="s">
        <v>3542</v>
      </c>
      <c r="H717" s="7" t="s">
        <v>3543</v>
      </c>
      <c r="I717" s="7" t="s">
        <v>3927</v>
      </c>
      <c r="J717" s="9" t="s">
        <v>3928</v>
      </c>
      <c r="K717" s="7" t="s">
        <v>808</v>
      </c>
      <c r="L717" s="10" t="s">
        <v>572</v>
      </c>
    </row>
    <row r="718" customFormat="false" ht="69.75" hidden="false" customHeight="true" outlineLevel="0" collapsed="false">
      <c r="A718" s="7" t="s">
        <v>3929</v>
      </c>
      <c r="B718" s="7" t="s">
        <v>3930</v>
      </c>
      <c r="C718" s="7" t="s">
        <v>3531</v>
      </c>
      <c r="D718" s="7" t="s">
        <v>3931</v>
      </c>
      <c r="E718" s="7" t="s">
        <v>108</v>
      </c>
      <c r="F718" s="7" t="s">
        <v>748</v>
      </c>
      <c r="G718" s="7" t="s">
        <v>3542</v>
      </c>
      <c r="H718" s="7" t="s">
        <v>3543</v>
      </c>
      <c r="I718" s="7" t="s">
        <v>3932</v>
      </c>
      <c r="J718" s="9" t="s">
        <v>3933</v>
      </c>
      <c r="K718" s="7" t="s">
        <v>808</v>
      </c>
      <c r="L718" s="10" t="s">
        <v>572</v>
      </c>
    </row>
    <row r="719" customFormat="false" ht="35.25" hidden="false" customHeight="true" outlineLevel="0" collapsed="false">
      <c r="A719" s="7" t="s">
        <v>3934</v>
      </c>
      <c r="B719" s="7" t="s">
        <v>3935</v>
      </c>
      <c r="C719" s="7" t="s">
        <v>3531</v>
      </c>
      <c r="D719" s="7" t="s">
        <v>3936</v>
      </c>
      <c r="E719" s="7" t="s">
        <v>108</v>
      </c>
      <c r="F719" s="7" t="s">
        <v>748</v>
      </c>
      <c r="G719" s="7" t="s">
        <v>3542</v>
      </c>
      <c r="H719" s="7" t="s">
        <v>3543</v>
      </c>
      <c r="I719" s="7" t="s">
        <v>3937</v>
      </c>
      <c r="J719" s="9" t="s">
        <v>3938</v>
      </c>
      <c r="K719" s="7" t="s">
        <v>808</v>
      </c>
      <c r="L719" s="10" t="s">
        <v>170</v>
      </c>
    </row>
    <row r="720" customFormat="false" ht="52.5" hidden="false" customHeight="true" outlineLevel="0" collapsed="false">
      <c r="A720" s="7" t="s">
        <v>3939</v>
      </c>
      <c r="B720" s="7" t="s">
        <v>3940</v>
      </c>
      <c r="C720" s="7" t="s">
        <v>3531</v>
      </c>
      <c r="D720" s="7" t="s">
        <v>3941</v>
      </c>
      <c r="E720" s="7" t="s">
        <v>108</v>
      </c>
      <c r="F720" s="7" t="s">
        <v>748</v>
      </c>
      <c r="G720" s="7" t="s">
        <v>3542</v>
      </c>
      <c r="H720" s="7" t="s">
        <v>3543</v>
      </c>
      <c r="I720" s="7" t="s">
        <v>3942</v>
      </c>
      <c r="J720" s="9" t="s">
        <v>3943</v>
      </c>
      <c r="K720" s="7" t="s">
        <v>808</v>
      </c>
      <c r="L720" s="10" t="s">
        <v>170</v>
      </c>
    </row>
    <row r="721" customFormat="false" ht="52.5" hidden="false" customHeight="true" outlineLevel="0" collapsed="false">
      <c r="A721" s="7" t="s">
        <v>3944</v>
      </c>
      <c r="B721" s="7" t="s">
        <v>3945</v>
      </c>
      <c r="C721" s="7" t="s">
        <v>3531</v>
      </c>
      <c r="D721" s="7" t="s">
        <v>3946</v>
      </c>
      <c r="E721" s="7" t="s">
        <v>108</v>
      </c>
      <c r="F721" s="7" t="s">
        <v>748</v>
      </c>
      <c r="G721" s="7" t="s">
        <v>3542</v>
      </c>
      <c r="H721" s="7" t="s">
        <v>3543</v>
      </c>
      <c r="I721" s="7" t="s">
        <v>3947</v>
      </c>
      <c r="J721" s="9" t="s">
        <v>3948</v>
      </c>
      <c r="K721" s="7" t="s">
        <v>808</v>
      </c>
      <c r="L721" s="10" t="s">
        <v>170</v>
      </c>
    </row>
    <row r="722" customFormat="false" ht="52.5" hidden="false" customHeight="true" outlineLevel="0" collapsed="false">
      <c r="A722" s="7" t="s">
        <v>3949</v>
      </c>
      <c r="B722" s="7" t="s">
        <v>3950</v>
      </c>
      <c r="C722" s="7" t="s">
        <v>3531</v>
      </c>
      <c r="D722" s="7" t="s">
        <v>3951</v>
      </c>
      <c r="E722" s="7" t="s">
        <v>108</v>
      </c>
      <c r="F722" s="7" t="s">
        <v>748</v>
      </c>
      <c r="G722" s="7" t="s">
        <v>3542</v>
      </c>
      <c r="H722" s="7" t="s">
        <v>3543</v>
      </c>
      <c r="I722" s="7" t="s">
        <v>3952</v>
      </c>
      <c r="J722" s="9" t="s">
        <v>3953</v>
      </c>
      <c r="K722" s="7" t="s">
        <v>808</v>
      </c>
      <c r="L722" s="10" t="s">
        <v>170</v>
      </c>
    </row>
    <row r="723" customFormat="false" ht="52.5" hidden="false" customHeight="true" outlineLevel="0" collapsed="false">
      <c r="A723" s="7" t="s">
        <v>3954</v>
      </c>
      <c r="B723" s="7" t="s">
        <v>3955</v>
      </c>
      <c r="C723" s="7" t="s">
        <v>3531</v>
      </c>
      <c r="D723" s="7" t="s">
        <v>3956</v>
      </c>
      <c r="E723" s="7" t="s">
        <v>108</v>
      </c>
      <c r="F723" s="7" t="s">
        <v>748</v>
      </c>
      <c r="G723" s="7" t="s">
        <v>3542</v>
      </c>
      <c r="H723" s="7" t="s">
        <v>3543</v>
      </c>
      <c r="I723" s="7" t="s">
        <v>3957</v>
      </c>
      <c r="J723" s="9" t="s">
        <v>3958</v>
      </c>
      <c r="K723" s="7" t="s">
        <v>808</v>
      </c>
      <c r="L723" s="10" t="s">
        <v>170</v>
      </c>
    </row>
    <row r="724" customFormat="false" ht="52.5" hidden="false" customHeight="true" outlineLevel="0" collapsed="false">
      <c r="A724" s="7" t="s">
        <v>3959</v>
      </c>
      <c r="B724" s="7" t="s">
        <v>3960</v>
      </c>
      <c r="C724" s="7" t="s">
        <v>3531</v>
      </c>
      <c r="D724" s="7" t="s">
        <v>3961</v>
      </c>
      <c r="E724" s="7" t="s">
        <v>108</v>
      </c>
      <c r="F724" s="7" t="s">
        <v>748</v>
      </c>
      <c r="G724" s="7" t="s">
        <v>3542</v>
      </c>
      <c r="H724" s="7" t="s">
        <v>3543</v>
      </c>
      <c r="I724" s="7" t="s">
        <v>3962</v>
      </c>
      <c r="J724" s="9" t="s">
        <v>3963</v>
      </c>
      <c r="K724" s="7" t="s">
        <v>808</v>
      </c>
      <c r="L724" s="10" t="s">
        <v>170</v>
      </c>
    </row>
    <row r="725" customFormat="false" ht="52.5" hidden="false" customHeight="true" outlineLevel="0" collapsed="false">
      <c r="A725" s="7" t="s">
        <v>3964</v>
      </c>
      <c r="B725" s="7" t="s">
        <v>3965</v>
      </c>
      <c r="C725" s="7" t="s">
        <v>3531</v>
      </c>
      <c r="D725" s="7" t="s">
        <v>3966</v>
      </c>
      <c r="E725" s="7" t="s">
        <v>108</v>
      </c>
      <c r="F725" s="7" t="s">
        <v>748</v>
      </c>
      <c r="G725" s="7" t="s">
        <v>3542</v>
      </c>
      <c r="H725" s="7" t="s">
        <v>3543</v>
      </c>
      <c r="I725" s="7" t="s">
        <v>3967</v>
      </c>
      <c r="J725" s="9" t="s">
        <v>3968</v>
      </c>
      <c r="K725" s="7" t="s">
        <v>808</v>
      </c>
      <c r="L725" s="10" t="s">
        <v>170</v>
      </c>
    </row>
    <row r="726" customFormat="false" ht="52.5" hidden="false" customHeight="true" outlineLevel="0" collapsed="false">
      <c r="A726" s="7" t="s">
        <v>3969</v>
      </c>
      <c r="B726" s="7" t="s">
        <v>3970</v>
      </c>
      <c r="C726" s="7" t="s">
        <v>3531</v>
      </c>
      <c r="D726" s="7" t="s">
        <v>3971</v>
      </c>
      <c r="E726" s="7" t="s">
        <v>108</v>
      </c>
      <c r="F726" s="7" t="s">
        <v>748</v>
      </c>
      <c r="G726" s="7" t="s">
        <v>3542</v>
      </c>
      <c r="H726" s="7" t="s">
        <v>3543</v>
      </c>
      <c r="I726" s="7" t="s">
        <v>3972</v>
      </c>
      <c r="J726" s="9" t="s">
        <v>3973</v>
      </c>
      <c r="K726" s="7" t="s">
        <v>808</v>
      </c>
      <c r="L726" s="10" t="s">
        <v>170</v>
      </c>
    </row>
    <row r="727" customFormat="false" ht="52.5" hidden="false" customHeight="true" outlineLevel="0" collapsed="false">
      <c r="A727" s="7" t="s">
        <v>3974</v>
      </c>
      <c r="B727" s="7" t="s">
        <v>3975</v>
      </c>
      <c r="C727" s="7" t="s">
        <v>3531</v>
      </c>
      <c r="D727" s="7" t="s">
        <v>3976</v>
      </c>
      <c r="E727" s="7" t="s">
        <v>108</v>
      </c>
      <c r="F727" s="7" t="s">
        <v>748</v>
      </c>
      <c r="G727" s="7" t="s">
        <v>3542</v>
      </c>
      <c r="H727" s="7" t="s">
        <v>3543</v>
      </c>
      <c r="I727" s="7" t="s">
        <v>3977</v>
      </c>
      <c r="J727" s="9" t="s">
        <v>3978</v>
      </c>
      <c r="K727" s="7" t="s">
        <v>808</v>
      </c>
      <c r="L727" s="10" t="s">
        <v>170</v>
      </c>
    </row>
    <row r="728" customFormat="false" ht="52.5" hidden="false" customHeight="true" outlineLevel="0" collapsed="false">
      <c r="A728" s="7" t="s">
        <v>3979</v>
      </c>
      <c r="B728" s="7" t="s">
        <v>3980</v>
      </c>
      <c r="C728" s="7" t="s">
        <v>3531</v>
      </c>
      <c r="D728" s="7" t="s">
        <v>3981</v>
      </c>
      <c r="E728" s="7" t="s">
        <v>108</v>
      </c>
      <c r="F728" s="7" t="s">
        <v>748</v>
      </c>
      <c r="G728" s="7" t="s">
        <v>3542</v>
      </c>
      <c r="H728" s="7" t="s">
        <v>3543</v>
      </c>
      <c r="I728" s="7" t="s">
        <v>3982</v>
      </c>
      <c r="J728" s="9" t="s">
        <v>3983</v>
      </c>
      <c r="K728" s="7" t="s">
        <v>808</v>
      </c>
      <c r="L728" s="10" t="s">
        <v>170</v>
      </c>
    </row>
    <row r="729" customFormat="false" ht="52.5" hidden="false" customHeight="true" outlineLevel="0" collapsed="false">
      <c r="A729" s="7" t="s">
        <v>3984</v>
      </c>
      <c r="B729" s="7" t="s">
        <v>3985</v>
      </c>
      <c r="C729" s="7" t="s">
        <v>3531</v>
      </c>
      <c r="D729" s="7" t="s">
        <v>3986</v>
      </c>
      <c r="E729" s="7" t="s">
        <v>108</v>
      </c>
      <c r="F729" s="7" t="s">
        <v>748</v>
      </c>
      <c r="G729" s="7" t="s">
        <v>3542</v>
      </c>
      <c r="H729" s="7" t="s">
        <v>3543</v>
      </c>
      <c r="I729" s="7" t="s">
        <v>3987</v>
      </c>
      <c r="J729" s="9" t="s">
        <v>3988</v>
      </c>
      <c r="K729" s="7" t="s">
        <v>808</v>
      </c>
      <c r="L729" s="10" t="s">
        <v>170</v>
      </c>
    </row>
    <row r="730" customFormat="false" ht="52.5" hidden="false" customHeight="true" outlineLevel="0" collapsed="false">
      <c r="A730" s="7" t="s">
        <v>3989</v>
      </c>
      <c r="B730" s="7" t="s">
        <v>3990</v>
      </c>
      <c r="C730" s="7" t="s">
        <v>3531</v>
      </c>
      <c r="D730" s="7" t="s">
        <v>3991</v>
      </c>
      <c r="E730" s="7" t="s">
        <v>108</v>
      </c>
      <c r="F730" s="7" t="s">
        <v>844</v>
      </c>
      <c r="G730" s="7" t="s">
        <v>882</v>
      </c>
      <c r="H730" s="7" t="s">
        <v>883</v>
      </c>
      <c r="I730" s="7" t="s">
        <v>3992</v>
      </c>
      <c r="J730" s="9" t="s">
        <v>3993</v>
      </c>
      <c r="K730" s="7" t="s">
        <v>603</v>
      </c>
      <c r="L730" s="10" t="s">
        <v>170</v>
      </c>
    </row>
    <row r="731" customFormat="false" ht="35.25" hidden="false" customHeight="true" outlineLevel="0" collapsed="false">
      <c r="A731" s="7" t="s">
        <v>3994</v>
      </c>
      <c r="B731" s="7" t="s">
        <v>3995</v>
      </c>
      <c r="C731" s="7" t="s">
        <v>3531</v>
      </c>
      <c r="D731" s="7" t="s">
        <v>3996</v>
      </c>
      <c r="E731" s="7" t="s">
        <v>108</v>
      </c>
      <c r="F731" s="7" t="s">
        <v>748</v>
      </c>
      <c r="G731" s="7" t="s">
        <v>3542</v>
      </c>
      <c r="H731" s="7" t="s">
        <v>3543</v>
      </c>
      <c r="I731" s="7" t="s">
        <v>3997</v>
      </c>
      <c r="J731" s="9" t="s">
        <v>3998</v>
      </c>
      <c r="K731" s="7" t="s">
        <v>603</v>
      </c>
      <c r="L731" s="10" t="s">
        <v>170</v>
      </c>
    </row>
    <row r="732" customFormat="false" ht="52.5" hidden="false" customHeight="true" outlineLevel="0" collapsed="false">
      <c r="A732" s="7" t="s">
        <v>3999</v>
      </c>
      <c r="B732" s="7" t="s">
        <v>4000</v>
      </c>
      <c r="C732" s="7" t="s">
        <v>3531</v>
      </c>
      <c r="D732" s="7" t="s">
        <v>4001</v>
      </c>
      <c r="E732" s="7" t="s">
        <v>108</v>
      </c>
      <c r="F732" s="7" t="s">
        <v>748</v>
      </c>
      <c r="G732" s="7" t="s">
        <v>3542</v>
      </c>
      <c r="H732" s="7" t="s">
        <v>3543</v>
      </c>
      <c r="I732" s="7" t="s">
        <v>4002</v>
      </c>
      <c r="J732" s="9" t="s">
        <v>4003</v>
      </c>
      <c r="K732" s="7" t="s">
        <v>603</v>
      </c>
      <c r="L732" s="10" t="s">
        <v>170</v>
      </c>
    </row>
    <row r="733" customFormat="false" ht="52.5" hidden="false" customHeight="true" outlineLevel="0" collapsed="false">
      <c r="A733" s="7" t="s">
        <v>4004</v>
      </c>
      <c r="B733" s="7" t="s">
        <v>4005</v>
      </c>
      <c r="C733" s="7" t="s">
        <v>3531</v>
      </c>
      <c r="D733" s="7" t="s">
        <v>4006</v>
      </c>
      <c r="E733" s="7" t="s">
        <v>108</v>
      </c>
      <c r="F733" s="7" t="s">
        <v>748</v>
      </c>
      <c r="G733" s="7" t="s">
        <v>3542</v>
      </c>
      <c r="H733" s="7" t="s">
        <v>3543</v>
      </c>
      <c r="I733" s="7" t="s">
        <v>4007</v>
      </c>
      <c r="J733" s="9" t="s">
        <v>4008</v>
      </c>
      <c r="K733" s="7" t="s">
        <v>603</v>
      </c>
      <c r="L733" s="10" t="s">
        <v>170</v>
      </c>
    </row>
    <row r="734" customFormat="false" ht="52.5" hidden="false" customHeight="true" outlineLevel="0" collapsed="false">
      <c r="A734" s="7" t="s">
        <v>4009</v>
      </c>
      <c r="B734" s="7" t="s">
        <v>4010</v>
      </c>
      <c r="C734" s="7" t="s">
        <v>3531</v>
      </c>
      <c r="D734" s="7" t="s">
        <v>4011</v>
      </c>
      <c r="E734" s="7" t="s">
        <v>108</v>
      </c>
      <c r="F734" s="7" t="s">
        <v>748</v>
      </c>
      <c r="G734" s="7" t="s">
        <v>3542</v>
      </c>
      <c r="H734" s="7" t="s">
        <v>3543</v>
      </c>
      <c r="I734" s="7" t="s">
        <v>4012</v>
      </c>
      <c r="J734" s="9" t="s">
        <v>4013</v>
      </c>
      <c r="K734" s="7" t="s">
        <v>603</v>
      </c>
      <c r="L734" s="10" t="s">
        <v>170</v>
      </c>
    </row>
    <row r="735" customFormat="false" ht="52.5" hidden="false" customHeight="true" outlineLevel="0" collapsed="false">
      <c r="A735" s="7" t="s">
        <v>4014</v>
      </c>
      <c r="B735" s="7" t="s">
        <v>4015</v>
      </c>
      <c r="C735" s="7" t="s">
        <v>3531</v>
      </c>
      <c r="D735" s="7" t="s">
        <v>4016</v>
      </c>
      <c r="E735" s="7" t="s">
        <v>108</v>
      </c>
      <c r="F735" s="7" t="s">
        <v>748</v>
      </c>
      <c r="G735" s="7" t="s">
        <v>3542</v>
      </c>
      <c r="H735" s="7" t="s">
        <v>3543</v>
      </c>
      <c r="I735" s="7" t="s">
        <v>4017</v>
      </c>
      <c r="J735" s="9" t="s">
        <v>4018</v>
      </c>
      <c r="K735" s="7" t="s">
        <v>603</v>
      </c>
      <c r="L735" s="10" t="s">
        <v>170</v>
      </c>
    </row>
    <row r="736" customFormat="false" ht="52.5" hidden="false" customHeight="true" outlineLevel="0" collapsed="false">
      <c r="A736" s="7" t="s">
        <v>4019</v>
      </c>
      <c r="B736" s="7" t="s">
        <v>4020</v>
      </c>
      <c r="C736" s="7" t="s">
        <v>3531</v>
      </c>
      <c r="D736" s="7" t="s">
        <v>4021</v>
      </c>
      <c r="E736" s="7" t="s">
        <v>108</v>
      </c>
      <c r="F736" s="7" t="s">
        <v>748</v>
      </c>
      <c r="G736" s="7" t="s">
        <v>3542</v>
      </c>
      <c r="H736" s="7" t="s">
        <v>3543</v>
      </c>
      <c r="I736" s="7" t="s">
        <v>4022</v>
      </c>
      <c r="J736" s="9" t="s">
        <v>4023</v>
      </c>
      <c r="K736" s="7" t="s">
        <v>603</v>
      </c>
      <c r="L736" s="10" t="s">
        <v>170</v>
      </c>
    </row>
    <row r="737" customFormat="false" ht="52.5" hidden="false" customHeight="true" outlineLevel="0" collapsed="false">
      <c r="A737" s="7" t="s">
        <v>4024</v>
      </c>
      <c r="B737" s="7" t="s">
        <v>4025</v>
      </c>
      <c r="C737" s="7" t="s">
        <v>3531</v>
      </c>
      <c r="D737" s="7" t="s">
        <v>4026</v>
      </c>
      <c r="E737" s="7" t="s">
        <v>108</v>
      </c>
      <c r="F737" s="7" t="s">
        <v>748</v>
      </c>
      <c r="G737" s="7" t="s">
        <v>3542</v>
      </c>
      <c r="H737" s="7" t="s">
        <v>3543</v>
      </c>
      <c r="I737" s="7" t="s">
        <v>4027</v>
      </c>
      <c r="J737" s="9" t="s">
        <v>4028</v>
      </c>
      <c r="K737" s="7" t="s">
        <v>603</v>
      </c>
      <c r="L737" s="10" t="s">
        <v>170</v>
      </c>
    </row>
    <row r="738" customFormat="false" ht="52.5" hidden="false" customHeight="true" outlineLevel="0" collapsed="false">
      <c r="A738" s="7" t="s">
        <v>4029</v>
      </c>
      <c r="B738" s="7" t="s">
        <v>4030</v>
      </c>
      <c r="C738" s="7" t="s">
        <v>3531</v>
      </c>
      <c r="D738" s="7" t="s">
        <v>4031</v>
      </c>
      <c r="E738" s="7" t="s">
        <v>108</v>
      </c>
      <c r="F738" s="7" t="s">
        <v>748</v>
      </c>
      <c r="G738" s="7" t="s">
        <v>3542</v>
      </c>
      <c r="H738" s="7" t="s">
        <v>3543</v>
      </c>
      <c r="I738" s="7" t="s">
        <v>4032</v>
      </c>
      <c r="J738" s="9" t="s">
        <v>4033</v>
      </c>
      <c r="K738" s="7" t="s">
        <v>603</v>
      </c>
      <c r="L738" s="10" t="s">
        <v>170</v>
      </c>
    </row>
    <row r="739" customFormat="false" ht="52.5" hidden="false" customHeight="true" outlineLevel="0" collapsed="false">
      <c r="A739" s="7" t="s">
        <v>4034</v>
      </c>
      <c r="B739" s="7" t="s">
        <v>4035</v>
      </c>
      <c r="C739" s="7" t="s">
        <v>3531</v>
      </c>
      <c r="D739" s="7" t="s">
        <v>4036</v>
      </c>
      <c r="E739" s="7" t="s">
        <v>108</v>
      </c>
      <c r="F739" s="7" t="s">
        <v>748</v>
      </c>
      <c r="G739" s="7" t="s">
        <v>3542</v>
      </c>
      <c r="H739" s="7" t="s">
        <v>3543</v>
      </c>
      <c r="I739" s="7" t="s">
        <v>4037</v>
      </c>
      <c r="J739" s="9" t="s">
        <v>4038</v>
      </c>
      <c r="K739" s="7" t="s">
        <v>603</v>
      </c>
      <c r="L739" s="10" t="s">
        <v>170</v>
      </c>
    </row>
    <row r="740" customFormat="false" ht="52.5" hidden="false" customHeight="true" outlineLevel="0" collapsed="false">
      <c r="A740" s="7" t="s">
        <v>4039</v>
      </c>
      <c r="B740" s="7" t="s">
        <v>4040</v>
      </c>
      <c r="C740" s="7" t="s">
        <v>3531</v>
      </c>
      <c r="D740" s="7" t="s">
        <v>4041</v>
      </c>
      <c r="E740" s="7" t="s">
        <v>108</v>
      </c>
      <c r="F740" s="7" t="s">
        <v>748</v>
      </c>
      <c r="G740" s="7" t="s">
        <v>3542</v>
      </c>
      <c r="H740" s="7" t="s">
        <v>3543</v>
      </c>
      <c r="I740" s="7" t="s">
        <v>4042</v>
      </c>
      <c r="J740" s="9" t="s">
        <v>4043</v>
      </c>
      <c r="K740" s="7" t="s">
        <v>603</v>
      </c>
      <c r="L740" s="10" t="s">
        <v>170</v>
      </c>
    </row>
    <row r="741" customFormat="false" ht="35.25" hidden="false" customHeight="true" outlineLevel="0" collapsed="false">
      <c r="A741" s="7" t="s">
        <v>4044</v>
      </c>
      <c r="B741" s="7" t="s">
        <v>4045</v>
      </c>
      <c r="C741" s="7" t="s">
        <v>3531</v>
      </c>
      <c r="D741" s="7" t="s">
        <v>4046</v>
      </c>
      <c r="E741" s="7" t="s">
        <v>108</v>
      </c>
      <c r="F741" s="7" t="s">
        <v>748</v>
      </c>
      <c r="G741" s="7" t="s">
        <v>3542</v>
      </c>
      <c r="H741" s="7" t="s">
        <v>3543</v>
      </c>
      <c r="I741" s="7" t="s">
        <v>4047</v>
      </c>
      <c r="J741" s="9" t="s">
        <v>4048</v>
      </c>
      <c r="K741" s="7" t="s">
        <v>603</v>
      </c>
      <c r="L741" s="10" t="s">
        <v>170</v>
      </c>
    </row>
    <row r="742" customFormat="false" ht="35.25" hidden="false" customHeight="true" outlineLevel="0" collapsed="false">
      <c r="A742" s="7" t="s">
        <v>4049</v>
      </c>
      <c r="B742" s="7" t="s">
        <v>4050</v>
      </c>
      <c r="C742" s="7" t="s">
        <v>3531</v>
      </c>
      <c r="D742" s="7" t="s">
        <v>4051</v>
      </c>
      <c r="E742" s="7" t="s">
        <v>100</v>
      </c>
      <c r="F742" s="7" t="s">
        <v>3010</v>
      </c>
      <c r="G742" s="7" t="s">
        <v>3091</v>
      </c>
      <c r="H742" s="7" t="s">
        <v>3092</v>
      </c>
      <c r="I742" s="7" t="s">
        <v>4052</v>
      </c>
      <c r="J742" s="9" t="s">
        <v>4053</v>
      </c>
      <c r="K742" s="7" t="s">
        <v>603</v>
      </c>
      <c r="L742" s="10" t="s">
        <v>170</v>
      </c>
    </row>
    <row r="743" customFormat="false" ht="35.25" hidden="false" customHeight="true" outlineLevel="0" collapsed="false">
      <c r="A743" s="7" t="s">
        <v>4054</v>
      </c>
      <c r="B743" s="7" t="s">
        <v>4055</v>
      </c>
      <c r="C743" s="7" t="s">
        <v>3531</v>
      </c>
      <c r="D743" s="7" t="s">
        <v>4056</v>
      </c>
      <c r="E743" s="7" t="s">
        <v>100</v>
      </c>
      <c r="F743" s="7" t="s">
        <v>3010</v>
      </c>
      <c r="G743" s="7" t="s">
        <v>3091</v>
      </c>
      <c r="H743" s="7" t="s">
        <v>3092</v>
      </c>
      <c r="I743" s="7" t="s">
        <v>4057</v>
      </c>
      <c r="J743" s="9" t="s">
        <v>4058</v>
      </c>
      <c r="K743" s="7" t="s">
        <v>603</v>
      </c>
      <c r="L743" s="10" t="s">
        <v>170</v>
      </c>
    </row>
    <row r="744" customFormat="false" ht="35.25" hidden="false" customHeight="true" outlineLevel="0" collapsed="false">
      <c r="A744" s="7" t="s">
        <v>4059</v>
      </c>
      <c r="B744" s="7" t="s">
        <v>4060</v>
      </c>
      <c r="C744" s="7" t="s">
        <v>3531</v>
      </c>
      <c r="D744" s="7" t="s">
        <v>4061</v>
      </c>
      <c r="E744" s="7" t="s">
        <v>108</v>
      </c>
      <c r="F744" s="7" t="s">
        <v>748</v>
      </c>
      <c r="G744" s="7" t="s">
        <v>1609</v>
      </c>
      <c r="H744" s="7" t="s">
        <v>1610</v>
      </c>
      <c r="I744" s="7" t="s">
        <v>4062</v>
      </c>
      <c r="J744" s="9" t="s">
        <v>4063</v>
      </c>
      <c r="K744" s="7" t="s">
        <v>624</v>
      </c>
      <c r="L744" s="12" t="s">
        <v>186</v>
      </c>
    </row>
    <row r="745" customFormat="false" ht="69.75" hidden="false" customHeight="true" outlineLevel="0" collapsed="false">
      <c r="A745" s="7" t="s">
        <v>4064</v>
      </c>
      <c r="B745" s="7" t="s">
        <v>4065</v>
      </c>
      <c r="C745" s="7" t="s">
        <v>3531</v>
      </c>
      <c r="D745" s="7" t="s">
        <v>4066</v>
      </c>
      <c r="E745" s="7" t="s">
        <v>108</v>
      </c>
      <c r="F745" s="7" t="s">
        <v>748</v>
      </c>
      <c r="G745" s="7" t="s">
        <v>1609</v>
      </c>
      <c r="H745" s="7" t="s">
        <v>1610</v>
      </c>
      <c r="I745" s="7" t="s">
        <v>4067</v>
      </c>
      <c r="J745" s="9" t="s">
        <v>4068</v>
      </c>
      <c r="K745" s="7" t="s">
        <v>624</v>
      </c>
      <c r="L745" s="10" t="s">
        <v>572</v>
      </c>
    </row>
    <row r="746" customFormat="false" ht="35.25" hidden="false" customHeight="true" outlineLevel="0" collapsed="false">
      <c r="A746" s="7" t="s">
        <v>4069</v>
      </c>
      <c r="B746" s="7" t="s">
        <v>4070</v>
      </c>
      <c r="C746" s="7" t="s">
        <v>3531</v>
      </c>
      <c r="D746" s="7" t="s">
        <v>4071</v>
      </c>
      <c r="E746" s="7" t="s">
        <v>108</v>
      </c>
      <c r="F746" s="7" t="s">
        <v>748</v>
      </c>
      <c r="G746" s="7" t="s">
        <v>3542</v>
      </c>
      <c r="H746" s="7" t="s">
        <v>3543</v>
      </c>
      <c r="I746" s="7" t="s">
        <v>4072</v>
      </c>
      <c r="J746" s="9" t="s">
        <v>4073</v>
      </c>
      <c r="K746" s="7" t="s">
        <v>603</v>
      </c>
      <c r="L746" s="10" t="s">
        <v>170</v>
      </c>
    </row>
    <row r="747" customFormat="false" ht="35.25" hidden="false" customHeight="true" outlineLevel="0" collapsed="false">
      <c r="A747" s="7" t="s">
        <v>4074</v>
      </c>
      <c r="B747" s="7" t="s">
        <v>4075</v>
      </c>
      <c r="C747" s="7" t="s">
        <v>3531</v>
      </c>
      <c r="D747" s="7" t="s">
        <v>4076</v>
      </c>
      <c r="E747" s="7" t="s">
        <v>108</v>
      </c>
      <c r="F747" s="7" t="s">
        <v>318</v>
      </c>
      <c r="G747" s="7" t="s">
        <v>1671</v>
      </c>
      <c r="H747" s="7" t="s">
        <v>1672</v>
      </c>
      <c r="I747" s="7" t="s">
        <v>4077</v>
      </c>
      <c r="J747" s="9" t="s">
        <v>4078</v>
      </c>
      <c r="K747" s="7" t="s">
        <v>603</v>
      </c>
      <c r="L747" s="10" t="s">
        <v>170</v>
      </c>
    </row>
    <row r="748" customFormat="false" ht="52.5" hidden="false" customHeight="true" outlineLevel="0" collapsed="false">
      <c r="A748" s="7" t="s">
        <v>4079</v>
      </c>
      <c r="B748" s="7" t="s">
        <v>4080</v>
      </c>
      <c r="C748" s="7" t="s">
        <v>4081</v>
      </c>
      <c r="D748" s="7" t="s">
        <v>163</v>
      </c>
      <c r="E748" s="7" t="s">
        <v>100</v>
      </c>
      <c r="F748" s="7" t="s">
        <v>164</v>
      </c>
      <c r="G748" s="7" t="s">
        <v>165</v>
      </c>
      <c r="H748" s="7" t="s">
        <v>166</v>
      </c>
      <c r="I748" s="7" t="s">
        <v>4082</v>
      </c>
      <c r="J748" s="9" t="s">
        <v>4083</v>
      </c>
      <c r="K748" s="7" t="s">
        <v>169</v>
      </c>
      <c r="L748" s="10" t="s">
        <v>170</v>
      </c>
    </row>
    <row r="749" customFormat="false" ht="35.25" hidden="false" customHeight="true" outlineLevel="0" collapsed="false">
      <c r="A749" s="7" t="s">
        <v>4084</v>
      </c>
      <c r="B749" s="7" t="s">
        <v>4085</v>
      </c>
      <c r="C749" s="7" t="s">
        <v>4081</v>
      </c>
      <c r="D749" s="7" t="s">
        <v>4086</v>
      </c>
      <c r="E749" s="7" t="s">
        <v>108</v>
      </c>
      <c r="F749" s="7" t="s">
        <v>318</v>
      </c>
      <c r="G749" s="7" t="s">
        <v>319</v>
      </c>
      <c r="H749" s="7" t="s">
        <v>320</v>
      </c>
      <c r="I749" s="7" t="s">
        <v>4087</v>
      </c>
      <c r="J749" s="9" t="s">
        <v>4088</v>
      </c>
      <c r="K749" s="7" t="s">
        <v>624</v>
      </c>
      <c r="L749" s="12" t="s">
        <v>186</v>
      </c>
    </row>
    <row r="750" customFormat="false" ht="87" hidden="false" customHeight="true" outlineLevel="0" collapsed="false">
      <c r="A750" s="7" t="s">
        <v>4089</v>
      </c>
      <c r="B750" s="7" t="s">
        <v>4090</v>
      </c>
      <c r="C750" s="7" t="s">
        <v>4081</v>
      </c>
      <c r="D750" s="7" t="s">
        <v>4091</v>
      </c>
      <c r="E750" s="7" t="s">
        <v>108</v>
      </c>
      <c r="F750" s="7" t="s">
        <v>318</v>
      </c>
      <c r="G750" s="7" t="s">
        <v>319</v>
      </c>
      <c r="H750" s="7" t="s">
        <v>320</v>
      </c>
      <c r="I750" s="7" t="s">
        <v>4092</v>
      </c>
      <c r="J750" s="9" t="s">
        <v>4093</v>
      </c>
      <c r="K750" s="7" t="s">
        <v>624</v>
      </c>
      <c r="L750" s="10" t="s">
        <v>572</v>
      </c>
    </row>
    <row r="751" customFormat="false" ht="35.25" hidden="false" customHeight="true" outlineLevel="0" collapsed="false">
      <c r="A751" s="7" t="s">
        <v>4094</v>
      </c>
      <c r="B751" s="7" t="s">
        <v>4095</v>
      </c>
      <c r="C751" s="7" t="s">
        <v>4081</v>
      </c>
      <c r="D751" s="7" t="s">
        <v>4096</v>
      </c>
      <c r="E751" s="7" t="s">
        <v>108</v>
      </c>
      <c r="F751" s="7" t="s">
        <v>318</v>
      </c>
      <c r="G751" s="7" t="s">
        <v>319</v>
      </c>
      <c r="H751" s="7" t="s">
        <v>320</v>
      </c>
      <c r="I751" s="7" t="s">
        <v>4097</v>
      </c>
      <c r="J751" s="9" t="s">
        <v>4098</v>
      </c>
      <c r="K751" s="7" t="s">
        <v>603</v>
      </c>
      <c r="L751" s="10" t="s">
        <v>572</v>
      </c>
    </row>
    <row r="752" customFormat="false" ht="69.75" hidden="false" customHeight="true" outlineLevel="0" collapsed="false">
      <c r="A752" s="7" t="s">
        <v>4099</v>
      </c>
      <c r="B752" s="7" t="s">
        <v>4100</v>
      </c>
      <c r="C752" s="7" t="s">
        <v>4081</v>
      </c>
      <c r="D752" s="7" t="s">
        <v>4101</v>
      </c>
      <c r="E752" s="7" t="s">
        <v>108</v>
      </c>
      <c r="F752" s="7" t="s">
        <v>318</v>
      </c>
      <c r="G752" s="7" t="s">
        <v>319</v>
      </c>
      <c r="H752" s="7" t="s">
        <v>320</v>
      </c>
      <c r="I752" s="7" t="s">
        <v>4102</v>
      </c>
      <c r="J752" s="9" t="s">
        <v>4103</v>
      </c>
      <c r="K752" s="7" t="s">
        <v>603</v>
      </c>
      <c r="L752" s="10" t="s">
        <v>572</v>
      </c>
    </row>
    <row r="753" customFormat="false" ht="69.75" hidden="false" customHeight="true" outlineLevel="0" collapsed="false">
      <c r="A753" s="7" t="s">
        <v>4104</v>
      </c>
      <c r="B753" s="7" t="s">
        <v>4105</v>
      </c>
      <c r="C753" s="7" t="s">
        <v>4081</v>
      </c>
      <c r="D753" s="7" t="s">
        <v>4106</v>
      </c>
      <c r="E753" s="7" t="s">
        <v>108</v>
      </c>
      <c r="F753" s="7" t="s">
        <v>318</v>
      </c>
      <c r="G753" s="7" t="s">
        <v>319</v>
      </c>
      <c r="H753" s="7" t="s">
        <v>320</v>
      </c>
      <c r="I753" s="7" t="s">
        <v>4107</v>
      </c>
      <c r="J753" s="9" t="s">
        <v>4108</v>
      </c>
      <c r="K753" s="7" t="s">
        <v>603</v>
      </c>
      <c r="L753" s="10" t="s">
        <v>572</v>
      </c>
    </row>
    <row r="754" customFormat="false" ht="69.75" hidden="false" customHeight="true" outlineLevel="0" collapsed="false">
      <c r="A754" s="7" t="s">
        <v>4109</v>
      </c>
      <c r="B754" s="7" t="s">
        <v>4110</v>
      </c>
      <c r="C754" s="7" t="s">
        <v>4081</v>
      </c>
      <c r="D754" s="7" t="s">
        <v>4111</v>
      </c>
      <c r="E754" s="7" t="s">
        <v>108</v>
      </c>
      <c r="F754" s="7" t="s">
        <v>318</v>
      </c>
      <c r="G754" s="7" t="s">
        <v>319</v>
      </c>
      <c r="H754" s="7" t="s">
        <v>320</v>
      </c>
      <c r="I754" s="7" t="s">
        <v>4112</v>
      </c>
      <c r="J754" s="9" t="s">
        <v>4113</v>
      </c>
      <c r="K754" s="7" t="s">
        <v>603</v>
      </c>
      <c r="L754" s="10" t="s">
        <v>572</v>
      </c>
    </row>
    <row r="755" customFormat="false" ht="69.75" hidden="false" customHeight="true" outlineLevel="0" collapsed="false">
      <c r="A755" s="7" t="s">
        <v>4114</v>
      </c>
      <c r="B755" s="7" t="s">
        <v>4115</v>
      </c>
      <c r="C755" s="7" t="s">
        <v>4081</v>
      </c>
      <c r="D755" s="7" t="s">
        <v>4116</v>
      </c>
      <c r="E755" s="7" t="s">
        <v>108</v>
      </c>
      <c r="F755" s="7" t="s">
        <v>318</v>
      </c>
      <c r="G755" s="7" t="s">
        <v>319</v>
      </c>
      <c r="H755" s="7" t="s">
        <v>320</v>
      </c>
      <c r="I755" s="7" t="s">
        <v>4117</v>
      </c>
      <c r="J755" s="9" t="s">
        <v>4118</v>
      </c>
      <c r="K755" s="7" t="s">
        <v>603</v>
      </c>
      <c r="L755" s="10" t="s">
        <v>572</v>
      </c>
    </row>
    <row r="756" customFormat="false" ht="69.75" hidden="false" customHeight="true" outlineLevel="0" collapsed="false">
      <c r="A756" s="7" t="s">
        <v>4119</v>
      </c>
      <c r="B756" s="7" t="s">
        <v>4120</v>
      </c>
      <c r="C756" s="7" t="s">
        <v>4081</v>
      </c>
      <c r="D756" s="7" t="s">
        <v>4121</v>
      </c>
      <c r="E756" s="7" t="s">
        <v>108</v>
      </c>
      <c r="F756" s="7" t="s">
        <v>318</v>
      </c>
      <c r="G756" s="7" t="s">
        <v>319</v>
      </c>
      <c r="H756" s="7" t="s">
        <v>320</v>
      </c>
      <c r="I756" s="7" t="s">
        <v>4122</v>
      </c>
      <c r="J756" s="9" t="s">
        <v>4123</v>
      </c>
      <c r="K756" s="7" t="s">
        <v>603</v>
      </c>
      <c r="L756" s="10" t="s">
        <v>572</v>
      </c>
    </row>
    <row r="757" customFormat="false" ht="35.25" hidden="false" customHeight="true" outlineLevel="0" collapsed="false">
      <c r="A757" s="7" t="s">
        <v>4124</v>
      </c>
      <c r="B757" s="7" t="s">
        <v>4125</v>
      </c>
      <c r="C757" s="7" t="s">
        <v>4081</v>
      </c>
      <c r="D757" s="7" t="s">
        <v>4126</v>
      </c>
      <c r="E757" s="7" t="s">
        <v>108</v>
      </c>
      <c r="F757" s="7" t="s">
        <v>628</v>
      </c>
      <c r="G757" s="7" t="s">
        <v>629</v>
      </c>
      <c r="H757" s="7" t="s">
        <v>630</v>
      </c>
      <c r="I757" s="7" t="s">
        <v>4127</v>
      </c>
      <c r="J757" s="9" t="s">
        <v>4128</v>
      </c>
      <c r="K757" s="7" t="s">
        <v>808</v>
      </c>
      <c r="L757" s="12" t="s">
        <v>186</v>
      </c>
    </row>
    <row r="758" customFormat="false" ht="69.75" hidden="false" customHeight="true" outlineLevel="0" collapsed="false">
      <c r="A758" s="7" t="s">
        <v>4129</v>
      </c>
      <c r="B758" s="7" t="s">
        <v>4130</v>
      </c>
      <c r="C758" s="7" t="s">
        <v>4081</v>
      </c>
      <c r="D758" s="7" t="s">
        <v>4131</v>
      </c>
      <c r="E758" s="7" t="s">
        <v>108</v>
      </c>
      <c r="F758" s="7" t="s">
        <v>628</v>
      </c>
      <c r="G758" s="7" t="s">
        <v>629</v>
      </c>
      <c r="H758" s="7" t="s">
        <v>630</v>
      </c>
      <c r="I758" s="7" t="s">
        <v>4132</v>
      </c>
      <c r="J758" s="9" t="s">
        <v>4133</v>
      </c>
      <c r="K758" s="7" t="s">
        <v>808</v>
      </c>
      <c r="L758" s="10" t="s">
        <v>572</v>
      </c>
    </row>
    <row r="759" customFormat="false" ht="35.25" hidden="false" customHeight="true" outlineLevel="0" collapsed="false">
      <c r="A759" s="7" t="s">
        <v>4134</v>
      </c>
      <c r="B759" s="7" t="s">
        <v>4135</v>
      </c>
      <c r="C759" s="7" t="s">
        <v>4081</v>
      </c>
      <c r="D759" s="7" t="s">
        <v>4136</v>
      </c>
      <c r="E759" s="7" t="s">
        <v>108</v>
      </c>
      <c r="F759" s="7" t="s">
        <v>318</v>
      </c>
      <c r="G759" s="7" t="s">
        <v>957</v>
      </c>
      <c r="H759" s="7" t="s">
        <v>958</v>
      </c>
      <c r="I759" s="7" t="s">
        <v>4137</v>
      </c>
      <c r="J759" s="9" t="s">
        <v>4138</v>
      </c>
      <c r="K759" s="7" t="s">
        <v>323</v>
      </c>
      <c r="L759" s="11" t="s">
        <v>180</v>
      </c>
    </row>
    <row r="760" customFormat="false" ht="69.75" hidden="false" customHeight="true" outlineLevel="0" collapsed="false">
      <c r="A760" s="7" t="s">
        <v>4139</v>
      </c>
      <c r="B760" s="7" t="s">
        <v>4140</v>
      </c>
      <c r="C760" s="7" t="s">
        <v>4081</v>
      </c>
      <c r="D760" s="7" t="s">
        <v>4141</v>
      </c>
      <c r="E760" s="7" t="s">
        <v>108</v>
      </c>
      <c r="F760" s="7" t="s">
        <v>318</v>
      </c>
      <c r="G760" s="7" t="s">
        <v>957</v>
      </c>
      <c r="H760" s="7" t="s">
        <v>958</v>
      </c>
      <c r="I760" s="7" t="s">
        <v>4142</v>
      </c>
      <c r="J760" s="9" t="s">
        <v>4143</v>
      </c>
      <c r="K760" s="7" t="s">
        <v>323</v>
      </c>
      <c r="L760" s="12" t="s">
        <v>186</v>
      </c>
    </row>
    <row r="761" customFormat="false" ht="69.75" hidden="false" customHeight="true" outlineLevel="0" collapsed="false">
      <c r="A761" s="7" t="s">
        <v>4144</v>
      </c>
      <c r="B761" s="7" t="s">
        <v>4145</v>
      </c>
      <c r="C761" s="7" t="s">
        <v>4081</v>
      </c>
      <c r="D761" s="7" t="s">
        <v>4146</v>
      </c>
      <c r="E761" s="7" t="s">
        <v>108</v>
      </c>
      <c r="F761" s="7" t="s">
        <v>318</v>
      </c>
      <c r="G761" s="7" t="s">
        <v>957</v>
      </c>
      <c r="H761" s="7" t="s">
        <v>958</v>
      </c>
      <c r="I761" s="7" t="s">
        <v>4147</v>
      </c>
      <c r="J761" s="9" t="s">
        <v>4148</v>
      </c>
      <c r="K761" s="7" t="s">
        <v>323</v>
      </c>
      <c r="L761" s="12" t="s">
        <v>186</v>
      </c>
    </row>
    <row r="762" customFormat="false" ht="69.75" hidden="false" customHeight="true" outlineLevel="0" collapsed="false">
      <c r="A762" s="7" t="s">
        <v>4149</v>
      </c>
      <c r="B762" s="7" t="s">
        <v>4150</v>
      </c>
      <c r="C762" s="7" t="s">
        <v>4081</v>
      </c>
      <c r="D762" s="7" t="s">
        <v>4151</v>
      </c>
      <c r="E762" s="7" t="s">
        <v>108</v>
      </c>
      <c r="F762" s="7" t="s">
        <v>318</v>
      </c>
      <c r="G762" s="7" t="s">
        <v>957</v>
      </c>
      <c r="H762" s="7" t="s">
        <v>958</v>
      </c>
      <c r="I762" s="7" t="s">
        <v>4152</v>
      </c>
      <c r="J762" s="9" t="s">
        <v>4153</v>
      </c>
      <c r="K762" s="7" t="s">
        <v>323</v>
      </c>
      <c r="L762" s="12" t="s">
        <v>186</v>
      </c>
    </row>
    <row r="763" customFormat="false" ht="35.25" hidden="false" customHeight="true" outlineLevel="0" collapsed="false">
      <c r="A763" s="7" t="s">
        <v>4154</v>
      </c>
      <c r="B763" s="7" t="s">
        <v>4155</v>
      </c>
      <c r="C763" s="7" t="s">
        <v>4081</v>
      </c>
      <c r="D763" s="7" t="s">
        <v>4156</v>
      </c>
      <c r="E763" s="7" t="s">
        <v>108</v>
      </c>
      <c r="F763" s="7" t="s">
        <v>318</v>
      </c>
      <c r="G763" s="7" t="s">
        <v>957</v>
      </c>
      <c r="H763" s="7" t="s">
        <v>958</v>
      </c>
      <c r="I763" s="7" t="s">
        <v>4157</v>
      </c>
      <c r="J763" s="9" t="s">
        <v>4158</v>
      </c>
      <c r="K763" s="7" t="s">
        <v>808</v>
      </c>
      <c r="L763" s="12" t="s">
        <v>186</v>
      </c>
    </row>
    <row r="764" customFormat="false" ht="35.25" hidden="false" customHeight="true" outlineLevel="0" collapsed="false">
      <c r="A764" s="7" t="s">
        <v>4159</v>
      </c>
      <c r="B764" s="7" t="s">
        <v>4160</v>
      </c>
      <c r="C764" s="7" t="s">
        <v>4081</v>
      </c>
      <c r="D764" s="7" t="s">
        <v>4161</v>
      </c>
      <c r="E764" s="7" t="s">
        <v>108</v>
      </c>
      <c r="F764" s="7" t="s">
        <v>318</v>
      </c>
      <c r="G764" s="7" t="s">
        <v>319</v>
      </c>
      <c r="H764" s="7" t="s">
        <v>320</v>
      </c>
      <c r="I764" s="7" t="s">
        <v>4162</v>
      </c>
      <c r="J764" s="9" t="s">
        <v>4163</v>
      </c>
      <c r="K764" s="7" t="s">
        <v>323</v>
      </c>
      <c r="L764" s="11" t="s">
        <v>180</v>
      </c>
    </row>
    <row r="765" customFormat="false" ht="69.75" hidden="false" customHeight="true" outlineLevel="0" collapsed="false">
      <c r="A765" s="7" t="s">
        <v>4164</v>
      </c>
      <c r="B765" s="7" t="s">
        <v>4165</v>
      </c>
      <c r="C765" s="7" t="s">
        <v>4081</v>
      </c>
      <c r="D765" s="7" t="s">
        <v>4166</v>
      </c>
      <c r="E765" s="7" t="s">
        <v>108</v>
      </c>
      <c r="F765" s="7" t="s">
        <v>318</v>
      </c>
      <c r="G765" s="7" t="s">
        <v>319</v>
      </c>
      <c r="H765" s="7" t="s">
        <v>320</v>
      </c>
      <c r="I765" s="7" t="s">
        <v>4167</v>
      </c>
      <c r="J765" s="9" t="s">
        <v>4168</v>
      </c>
      <c r="K765" s="7" t="s">
        <v>323</v>
      </c>
      <c r="L765" s="12" t="s">
        <v>186</v>
      </c>
    </row>
    <row r="766" customFormat="false" ht="87" hidden="false" customHeight="true" outlineLevel="0" collapsed="false">
      <c r="A766" s="7" t="s">
        <v>4169</v>
      </c>
      <c r="B766" s="7" t="s">
        <v>4170</v>
      </c>
      <c r="C766" s="7" t="s">
        <v>4081</v>
      </c>
      <c r="D766" s="7" t="s">
        <v>4171</v>
      </c>
      <c r="E766" s="7" t="s">
        <v>108</v>
      </c>
      <c r="F766" s="7" t="s">
        <v>318</v>
      </c>
      <c r="G766" s="7" t="s">
        <v>319</v>
      </c>
      <c r="H766" s="7" t="s">
        <v>320</v>
      </c>
      <c r="I766" s="7" t="s">
        <v>4172</v>
      </c>
      <c r="J766" s="9" t="s">
        <v>4173</v>
      </c>
      <c r="K766" s="7" t="s">
        <v>323</v>
      </c>
      <c r="L766" s="12" t="s">
        <v>186</v>
      </c>
    </row>
    <row r="767" customFormat="false" ht="87" hidden="false" customHeight="true" outlineLevel="0" collapsed="false">
      <c r="A767" s="7" t="s">
        <v>4174</v>
      </c>
      <c r="B767" s="7" t="s">
        <v>4175</v>
      </c>
      <c r="C767" s="7" t="s">
        <v>4081</v>
      </c>
      <c r="D767" s="7" t="s">
        <v>4176</v>
      </c>
      <c r="E767" s="7" t="s">
        <v>108</v>
      </c>
      <c r="F767" s="7" t="s">
        <v>318</v>
      </c>
      <c r="G767" s="7" t="s">
        <v>319</v>
      </c>
      <c r="H767" s="7" t="s">
        <v>320</v>
      </c>
      <c r="I767" s="7" t="s">
        <v>4177</v>
      </c>
      <c r="J767" s="9" t="s">
        <v>4178</v>
      </c>
      <c r="K767" s="7" t="s">
        <v>323</v>
      </c>
      <c r="L767" s="11" t="s">
        <v>180</v>
      </c>
    </row>
    <row r="768" customFormat="false" ht="87" hidden="false" customHeight="true" outlineLevel="0" collapsed="false">
      <c r="A768" s="7" t="s">
        <v>4179</v>
      </c>
      <c r="B768" s="7" t="s">
        <v>4180</v>
      </c>
      <c r="C768" s="7" t="s">
        <v>4081</v>
      </c>
      <c r="D768" s="7" t="s">
        <v>4181</v>
      </c>
      <c r="E768" s="7" t="s">
        <v>108</v>
      </c>
      <c r="F768" s="7" t="s">
        <v>318</v>
      </c>
      <c r="G768" s="7" t="s">
        <v>319</v>
      </c>
      <c r="H768" s="7" t="s">
        <v>320</v>
      </c>
      <c r="I768" s="7" t="s">
        <v>4182</v>
      </c>
      <c r="J768" s="9" t="s">
        <v>4183</v>
      </c>
      <c r="K768" s="7" t="s">
        <v>323</v>
      </c>
      <c r="L768" s="12" t="s">
        <v>186</v>
      </c>
    </row>
    <row r="769" customFormat="false" ht="87" hidden="false" customHeight="true" outlineLevel="0" collapsed="false">
      <c r="A769" s="7" t="s">
        <v>4184</v>
      </c>
      <c r="B769" s="7" t="s">
        <v>4185</v>
      </c>
      <c r="C769" s="7" t="s">
        <v>4081</v>
      </c>
      <c r="D769" s="7" t="s">
        <v>4186</v>
      </c>
      <c r="E769" s="7" t="s">
        <v>108</v>
      </c>
      <c r="F769" s="7" t="s">
        <v>318</v>
      </c>
      <c r="G769" s="7" t="s">
        <v>319</v>
      </c>
      <c r="H769" s="7" t="s">
        <v>320</v>
      </c>
      <c r="I769" s="7" t="s">
        <v>4187</v>
      </c>
      <c r="J769" s="9" t="s">
        <v>4188</v>
      </c>
      <c r="K769" s="7" t="s">
        <v>323</v>
      </c>
      <c r="L769" s="12" t="s">
        <v>186</v>
      </c>
    </row>
    <row r="770" customFormat="false" ht="87" hidden="false" customHeight="true" outlineLevel="0" collapsed="false">
      <c r="A770" s="7" t="s">
        <v>4189</v>
      </c>
      <c r="B770" s="7" t="s">
        <v>4190</v>
      </c>
      <c r="C770" s="7" t="s">
        <v>4081</v>
      </c>
      <c r="D770" s="7" t="s">
        <v>4191</v>
      </c>
      <c r="E770" s="7" t="s">
        <v>108</v>
      </c>
      <c r="F770" s="7" t="s">
        <v>318</v>
      </c>
      <c r="G770" s="7" t="s">
        <v>319</v>
      </c>
      <c r="H770" s="7" t="s">
        <v>320</v>
      </c>
      <c r="I770" s="7" t="s">
        <v>4192</v>
      </c>
      <c r="J770" s="9" t="s">
        <v>4193</v>
      </c>
      <c r="K770" s="7" t="s">
        <v>323</v>
      </c>
      <c r="L770" s="12" t="s">
        <v>186</v>
      </c>
    </row>
    <row r="771" customFormat="false" ht="69.75" hidden="false" customHeight="true" outlineLevel="0" collapsed="false">
      <c r="A771" s="7" t="s">
        <v>4194</v>
      </c>
      <c r="B771" s="7" t="s">
        <v>4195</v>
      </c>
      <c r="C771" s="7" t="s">
        <v>4081</v>
      </c>
      <c r="D771" s="7" t="s">
        <v>4196</v>
      </c>
      <c r="E771" s="7" t="s">
        <v>108</v>
      </c>
      <c r="F771" s="7" t="s">
        <v>318</v>
      </c>
      <c r="G771" s="7" t="s">
        <v>319</v>
      </c>
      <c r="H771" s="7" t="s">
        <v>320</v>
      </c>
      <c r="I771" s="7" t="s">
        <v>4197</v>
      </c>
      <c r="J771" s="9" t="s">
        <v>4198</v>
      </c>
      <c r="K771" s="7" t="s">
        <v>323</v>
      </c>
      <c r="L771" s="12" t="s">
        <v>186</v>
      </c>
    </row>
    <row r="772" customFormat="false" ht="87" hidden="false" customHeight="true" outlineLevel="0" collapsed="false">
      <c r="A772" s="7" t="s">
        <v>4199</v>
      </c>
      <c r="B772" s="7" t="s">
        <v>4200</v>
      </c>
      <c r="C772" s="7" t="s">
        <v>4081</v>
      </c>
      <c r="D772" s="7" t="s">
        <v>4201</v>
      </c>
      <c r="E772" s="7" t="s">
        <v>108</v>
      </c>
      <c r="F772" s="7" t="s">
        <v>318</v>
      </c>
      <c r="G772" s="7" t="s">
        <v>319</v>
      </c>
      <c r="H772" s="7" t="s">
        <v>320</v>
      </c>
      <c r="I772" s="7" t="s">
        <v>4202</v>
      </c>
      <c r="J772" s="9" t="s">
        <v>4203</v>
      </c>
      <c r="K772" s="7" t="s">
        <v>323</v>
      </c>
      <c r="L772" s="12" t="s">
        <v>186</v>
      </c>
    </row>
    <row r="773" customFormat="false" ht="69.75" hidden="false" customHeight="true" outlineLevel="0" collapsed="false">
      <c r="A773" s="7" t="s">
        <v>4204</v>
      </c>
      <c r="B773" s="7" t="s">
        <v>4205</v>
      </c>
      <c r="C773" s="7" t="s">
        <v>4081</v>
      </c>
      <c r="D773" s="7" t="s">
        <v>4206</v>
      </c>
      <c r="E773" s="7" t="s">
        <v>108</v>
      </c>
      <c r="F773" s="7" t="s">
        <v>318</v>
      </c>
      <c r="G773" s="7" t="s">
        <v>319</v>
      </c>
      <c r="H773" s="7" t="s">
        <v>320</v>
      </c>
      <c r="I773" s="7" t="s">
        <v>4207</v>
      </c>
      <c r="J773" s="9" t="s">
        <v>4208</v>
      </c>
      <c r="K773" s="7" t="s">
        <v>323</v>
      </c>
      <c r="L773" s="12" t="s">
        <v>186</v>
      </c>
    </row>
    <row r="774" customFormat="false" ht="87" hidden="false" customHeight="true" outlineLevel="0" collapsed="false">
      <c r="A774" s="7" t="s">
        <v>4209</v>
      </c>
      <c r="B774" s="7" t="s">
        <v>4210</v>
      </c>
      <c r="C774" s="7" t="s">
        <v>4081</v>
      </c>
      <c r="D774" s="7" t="s">
        <v>4211</v>
      </c>
      <c r="E774" s="7" t="s">
        <v>108</v>
      </c>
      <c r="F774" s="7" t="s">
        <v>318</v>
      </c>
      <c r="G774" s="7" t="s">
        <v>319</v>
      </c>
      <c r="H774" s="7" t="s">
        <v>320</v>
      </c>
      <c r="I774" s="7" t="s">
        <v>4212</v>
      </c>
      <c r="J774" s="9" t="s">
        <v>4213</v>
      </c>
      <c r="K774" s="7" t="s">
        <v>323</v>
      </c>
      <c r="L774" s="12" t="s">
        <v>186</v>
      </c>
    </row>
    <row r="775" customFormat="false" ht="87" hidden="false" customHeight="true" outlineLevel="0" collapsed="false">
      <c r="A775" s="7" t="s">
        <v>4214</v>
      </c>
      <c r="B775" s="7" t="s">
        <v>4215</v>
      </c>
      <c r="C775" s="7" t="s">
        <v>4081</v>
      </c>
      <c r="D775" s="7" t="s">
        <v>4216</v>
      </c>
      <c r="E775" s="7" t="s">
        <v>108</v>
      </c>
      <c r="F775" s="7" t="s">
        <v>318</v>
      </c>
      <c r="G775" s="7" t="s">
        <v>319</v>
      </c>
      <c r="H775" s="7" t="s">
        <v>320</v>
      </c>
      <c r="I775" s="7" t="s">
        <v>4217</v>
      </c>
      <c r="J775" s="9" t="s">
        <v>4218</v>
      </c>
      <c r="K775" s="7" t="s">
        <v>323</v>
      </c>
      <c r="L775" s="12" t="s">
        <v>186</v>
      </c>
    </row>
    <row r="776" customFormat="false" ht="69.75" hidden="false" customHeight="true" outlineLevel="0" collapsed="false">
      <c r="A776" s="7" t="s">
        <v>4219</v>
      </c>
      <c r="B776" s="7" t="s">
        <v>4220</v>
      </c>
      <c r="C776" s="7" t="s">
        <v>4081</v>
      </c>
      <c r="D776" s="7" t="s">
        <v>4221</v>
      </c>
      <c r="E776" s="7" t="s">
        <v>108</v>
      </c>
      <c r="F776" s="7" t="s">
        <v>318</v>
      </c>
      <c r="G776" s="7" t="s">
        <v>319</v>
      </c>
      <c r="H776" s="7" t="s">
        <v>320</v>
      </c>
      <c r="I776" s="7" t="s">
        <v>4222</v>
      </c>
      <c r="J776" s="9" t="s">
        <v>4223</v>
      </c>
      <c r="K776" s="7" t="s">
        <v>323</v>
      </c>
      <c r="L776" s="11" t="s">
        <v>180</v>
      </c>
    </row>
    <row r="777" customFormat="false" ht="87" hidden="false" customHeight="true" outlineLevel="0" collapsed="false">
      <c r="A777" s="7" t="s">
        <v>4224</v>
      </c>
      <c r="B777" s="7" t="s">
        <v>4225</v>
      </c>
      <c r="C777" s="7" t="s">
        <v>4081</v>
      </c>
      <c r="D777" s="7" t="s">
        <v>4226</v>
      </c>
      <c r="E777" s="7" t="s">
        <v>108</v>
      </c>
      <c r="F777" s="7" t="s">
        <v>318</v>
      </c>
      <c r="G777" s="7" t="s">
        <v>319</v>
      </c>
      <c r="H777" s="7" t="s">
        <v>320</v>
      </c>
      <c r="I777" s="7" t="s">
        <v>4227</v>
      </c>
      <c r="J777" s="9" t="s">
        <v>4228</v>
      </c>
      <c r="K777" s="7" t="s">
        <v>323</v>
      </c>
      <c r="L777" s="12" t="s">
        <v>186</v>
      </c>
    </row>
    <row r="778" customFormat="false" ht="69.75" hidden="false" customHeight="true" outlineLevel="0" collapsed="false">
      <c r="A778" s="7" t="s">
        <v>4229</v>
      </c>
      <c r="B778" s="7" t="s">
        <v>4230</v>
      </c>
      <c r="C778" s="7" t="s">
        <v>4081</v>
      </c>
      <c r="D778" s="7" t="s">
        <v>4231</v>
      </c>
      <c r="E778" s="7" t="s">
        <v>108</v>
      </c>
      <c r="F778" s="7" t="s">
        <v>318</v>
      </c>
      <c r="G778" s="7" t="s">
        <v>319</v>
      </c>
      <c r="H778" s="7" t="s">
        <v>320</v>
      </c>
      <c r="I778" s="7" t="s">
        <v>4232</v>
      </c>
      <c r="J778" s="9" t="s">
        <v>4233</v>
      </c>
      <c r="K778" s="7" t="s">
        <v>323</v>
      </c>
      <c r="L778" s="12" t="s">
        <v>186</v>
      </c>
    </row>
    <row r="779" customFormat="false" ht="87" hidden="false" customHeight="true" outlineLevel="0" collapsed="false">
      <c r="A779" s="7" t="s">
        <v>4234</v>
      </c>
      <c r="B779" s="7" t="s">
        <v>4235</v>
      </c>
      <c r="C779" s="7" t="s">
        <v>4081</v>
      </c>
      <c r="D779" s="7" t="s">
        <v>4236</v>
      </c>
      <c r="E779" s="7" t="s">
        <v>108</v>
      </c>
      <c r="F779" s="7" t="s">
        <v>318</v>
      </c>
      <c r="G779" s="7" t="s">
        <v>319</v>
      </c>
      <c r="H779" s="7" t="s">
        <v>320</v>
      </c>
      <c r="I779" s="7" t="s">
        <v>4237</v>
      </c>
      <c r="J779" s="9" t="s">
        <v>4238</v>
      </c>
      <c r="K779" s="7" t="s">
        <v>323</v>
      </c>
      <c r="L779" s="12" t="s">
        <v>186</v>
      </c>
    </row>
    <row r="780" customFormat="false" ht="87" hidden="false" customHeight="true" outlineLevel="0" collapsed="false">
      <c r="A780" s="7" t="s">
        <v>4239</v>
      </c>
      <c r="B780" s="7" t="s">
        <v>4240</v>
      </c>
      <c r="C780" s="7" t="s">
        <v>4081</v>
      </c>
      <c r="D780" s="7" t="s">
        <v>4241</v>
      </c>
      <c r="E780" s="7" t="s">
        <v>108</v>
      </c>
      <c r="F780" s="7" t="s">
        <v>318</v>
      </c>
      <c r="G780" s="7" t="s">
        <v>319</v>
      </c>
      <c r="H780" s="7" t="s">
        <v>320</v>
      </c>
      <c r="I780" s="7" t="s">
        <v>4242</v>
      </c>
      <c r="J780" s="9" t="s">
        <v>4243</v>
      </c>
      <c r="K780" s="7" t="s">
        <v>323</v>
      </c>
      <c r="L780" s="12" t="s">
        <v>186</v>
      </c>
    </row>
    <row r="781" customFormat="false" ht="87" hidden="false" customHeight="true" outlineLevel="0" collapsed="false">
      <c r="A781" s="7" t="s">
        <v>4244</v>
      </c>
      <c r="B781" s="7" t="s">
        <v>4245</v>
      </c>
      <c r="C781" s="7" t="s">
        <v>4081</v>
      </c>
      <c r="D781" s="7" t="s">
        <v>4246</v>
      </c>
      <c r="E781" s="7" t="s">
        <v>108</v>
      </c>
      <c r="F781" s="7" t="s">
        <v>318</v>
      </c>
      <c r="G781" s="7" t="s">
        <v>319</v>
      </c>
      <c r="H781" s="7" t="s">
        <v>320</v>
      </c>
      <c r="I781" s="7" t="s">
        <v>4247</v>
      </c>
      <c r="J781" s="9" t="s">
        <v>4248</v>
      </c>
      <c r="K781" s="7" t="s">
        <v>323</v>
      </c>
      <c r="L781" s="12" t="s">
        <v>186</v>
      </c>
    </row>
    <row r="782" customFormat="false" ht="87" hidden="false" customHeight="true" outlineLevel="0" collapsed="false">
      <c r="A782" s="7" t="s">
        <v>4249</v>
      </c>
      <c r="B782" s="7" t="s">
        <v>4250</v>
      </c>
      <c r="C782" s="7" t="s">
        <v>4081</v>
      </c>
      <c r="D782" s="7" t="s">
        <v>4251</v>
      </c>
      <c r="E782" s="7" t="s">
        <v>108</v>
      </c>
      <c r="F782" s="7" t="s">
        <v>318</v>
      </c>
      <c r="G782" s="7" t="s">
        <v>319</v>
      </c>
      <c r="H782" s="7" t="s">
        <v>320</v>
      </c>
      <c r="I782" s="7" t="s">
        <v>4252</v>
      </c>
      <c r="J782" s="9" t="s">
        <v>4253</v>
      </c>
      <c r="K782" s="7" t="s">
        <v>323</v>
      </c>
      <c r="L782" s="12" t="s">
        <v>186</v>
      </c>
    </row>
    <row r="783" customFormat="false" ht="87" hidden="false" customHeight="true" outlineLevel="0" collapsed="false">
      <c r="A783" s="7" t="s">
        <v>4254</v>
      </c>
      <c r="B783" s="7" t="s">
        <v>4255</v>
      </c>
      <c r="C783" s="7" t="s">
        <v>4081</v>
      </c>
      <c r="D783" s="7" t="s">
        <v>4256</v>
      </c>
      <c r="E783" s="7" t="s">
        <v>108</v>
      </c>
      <c r="F783" s="7" t="s">
        <v>318</v>
      </c>
      <c r="G783" s="7" t="s">
        <v>319</v>
      </c>
      <c r="H783" s="7" t="s">
        <v>320</v>
      </c>
      <c r="I783" s="7" t="s">
        <v>4257</v>
      </c>
      <c r="J783" s="9" t="s">
        <v>4258</v>
      </c>
      <c r="K783" s="7" t="s">
        <v>323</v>
      </c>
      <c r="L783" s="12" t="s">
        <v>186</v>
      </c>
    </row>
    <row r="784" customFormat="false" ht="87" hidden="false" customHeight="true" outlineLevel="0" collapsed="false">
      <c r="A784" s="7" t="s">
        <v>4259</v>
      </c>
      <c r="B784" s="7" t="s">
        <v>4260</v>
      </c>
      <c r="C784" s="7" t="s">
        <v>4081</v>
      </c>
      <c r="D784" s="7" t="s">
        <v>4261</v>
      </c>
      <c r="E784" s="7" t="s">
        <v>108</v>
      </c>
      <c r="F784" s="7" t="s">
        <v>318</v>
      </c>
      <c r="G784" s="7" t="s">
        <v>319</v>
      </c>
      <c r="H784" s="7" t="s">
        <v>320</v>
      </c>
      <c r="I784" s="7" t="s">
        <v>4262</v>
      </c>
      <c r="J784" s="9" t="s">
        <v>4263</v>
      </c>
      <c r="K784" s="7" t="s">
        <v>323</v>
      </c>
      <c r="L784" s="12" t="s">
        <v>186</v>
      </c>
    </row>
    <row r="785" customFormat="false" ht="87" hidden="false" customHeight="true" outlineLevel="0" collapsed="false">
      <c r="A785" s="7" t="s">
        <v>4264</v>
      </c>
      <c r="B785" s="7" t="s">
        <v>4265</v>
      </c>
      <c r="C785" s="7" t="s">
        <v>4081</v>
      </c>
      <c r="D785" s="7" t="s">
        <v>4266</v>
      </c>
      <c r="E785" s="7" t="s">
        <v>108</v>
      </c>
      <c r="F785" s="7" t="s">
        <v>318</v>
      </c>
      <c r="G785" s="7" t="s">
        <v>319</v>
      </c>
      <c r="H785" s="7" t="s">
        <v>320</v>
      </c>
      <c r="I785" s="7" t="s">
        <v>4267</v>
      </c>
      <c r="J785" s="9" t="s">
        <v>4268</v>
      </c>
      <c r="K785" s="7" t="s">
        <v>323</v>
      </c>
      <c r="L785" s="12" t="s">
        <v>186</v>
      </c>
    </row>
    <row r="786" customFormat="false" ht="87" hidden="false" customHeight="true" outlineLevel="0" collapsed="false">
      <c r="A786" s="7" t="s">
        <v>4269</v>
      </c>
      <c r="B786" s="7" t="s">
        <v>4270</v>
      </c>
      <c r="C786" s="7" t="s">
        <v>4081</v>
      </c>
      <c r="D786" s="7" t="s">
        <v>4271</v>
      </c>
      <c r="E786" s="7" t="s">
        <v>108</v>
      </c>
      <c r="F786" s="7" t="s">
        <v>318</v>
      </c>
      <c r="G786" s="7" t="s">
        <v>319</v>
      </c>
      <c r="H786" s="7" t="s">
        <v>320</v>
      </c>
      <c r="I786" s="7" t="s">
        <v>4272</v>
      </c>
      <c r="J786" s="9" t="s">
        <v>4273</v>
      </c>
      <c r="K786" s="7" t="s">
        <v>323</v>
      </c>
      <c r="L786" s="12" t="s">
        <v>186</v>
      </c>
    </row>
    <row r="787" customFormat="false" ht="87" hidden="false" customHeight="true" outlineLevel="0" collapsed="false">
      <c r="A787" s="7" t="s">
        <v>4274</v>
      </c>
      <c r="B787" s="7" t="s">
        <v>4275</v>
      </c>
      <c r="C787" s="7" t="s">
        <v>4081</v>
      </c>
      <c r="D787" s="7" t="s">
        <v>4276</v>
      </c>
      <c r="E787" s="7" t="s">
        <v>108</v>
      </c>
      <c r="F787" s="7" t="s">
        <v>318</v>
      </c>
      <c r="G787" s="7" t="s">
        <v>319</v>
      </c>
      <c r="H787" s="7" t="s">
        <v>320</v>
      </c>
      <c r="I787" s="7" t="s">
        <v>4277</v>
      </c>
      <c r="J787" s="9" t="s">
        <v>4278</v>
      </c>
      <c r="K787" s="7" t="s">
        <v>323</v>
      </c>
      <c r="L787" s="12" t="s">
        <v>186</v>
      </c>
    </row>
    <row r="788" customFormat="false" ht="69.75" hidden="false" customHeight="true" outlineLevel="0" collapsed="false">
      <c r="A788" s="7" t="s">
        <v>4279</v>
      </c>
      <c r="B788" s="7" t="s">
        <v>4280</v>
      </c>
      <c r="C788" s="7" t="s">
        <v>4081</v>
      </c>
      <c r="D788" s="7" t="s">
        <v>4281</v>
      </c>
      <c r="E788" s="7" t="s">
        <v>108</v>
      </c>
      <c r="F788" s="7" t="s">
        <v>318</v>
      </c>
      <c r="G788" s="7" t="s">
        <v>319</v>
      </c>
      <c r="H788" s="7" t="s">
        <v>320</v>
      </c>
      <c r="I788" s="7" t="s">
        <v>4282</v>
      </c>
      <c r="J788" s="9" t="s">
        <v>4283</v>
      </c>
      <c r="K788" s="7" t="s">
        <v>323</v>
      </c>
      <c r="L788" s="12" t="s">
        <v>186</v>
      </c>
    </row>
    <row r="789" customFormat="false" ht="87" hidden="false" customHeight="true" outlineLevel="0" collapsed="false">
      <c r="A789" s="7" t="s">
        <v>4284</v>
      </c>
      <c r="B789" s="7" t="s">
        <v>4285</v>
      </c>
      <c r="C789" s="7" t="s">
        <v>4081</v>
      </c>
      <c r="D789" s="7" t="s">
        <v>4286</v>
      </c>
      <c r="E789" s="7" t="s">
        <v>108</v>
      </c>
      <c r="F789" s="7" t="s">
        <v>318</v>
      </c>
      <c r="G789" s="7" t="s">
        <v>319</v>
      </c>
      <c r="H789" s="7" t="s">
        <v>320</v>
      </c>
      <c r="I789" s="7" t="s">
        <v>4287</v>
      </c>
      <c r="J789" s="9" t="s">
        <v>4288</v>
      </c>
      <c r="K789" s="7" t="s">
        <v>323</v>
      </c>
      <c r="L789" s="12" t="s">
        <v>186</v>
      </c>
    </row>
    <row r="790" customFormat="false" ht="35.25" hidden="false" customHeight="true" outlineLevel="0" collapsed="false">
      <c r="A790" s="7" t="s">
        <v>4289</v>
      </c>
      <c r="B790" s="7" t="s">
        <v>4290</v>
      </c>
      <c r="C790" s="7" t="s">
        <v>4081</v>
      </c>
      <c r="D790" s="7" t="s">
        <v>4291</v>
      </c>
      <c r="E790" s="7" t="s">
        <v>108</v>
      </c>
      <c r="F790" s="7" t="s">
        <v>628</v>
      </c>
      <c r="G790" s="7" t="s">
        <v>2611</v>
      </c>
      <c r="H790" s="7" t="s">
        <v>2612</v>
      </c>
      <c r="I790" s="7" t="s">
        <v>4292</v>
      </c>
      <c r="J790" s="9" t="s">
        <v>4293</v>
      </c>
      <c r="K790" s="7" t="s">
        <v>323</v>
      </c>
      <c r="L790" s="11" t="s">
        <v>180</v>
      </c>
    </row>
    <row r="791" customFormat="false" ht="87" hidden="false" customHeight="true" outlineLevel="0" collapsed="false">
      <c r="A791" s="7" t="s">
        <v>4294</v>
      </c>
      <c r="B791" s="7" t="s">
        <v>4295</v>
      </c>
      <c r="C791" s="7" t="s">
        <v>4081</v>
      </c>
      <c r="D791" s="7" t="s">
        <v>4296</v>
      </c>
      <c r="E791" s="7" t="s">
        <v>108</v>
      </c>
      <c r="F791" s="7" t="s">
        <v>628</v>
      </c>
      <c r="G791" s="7" t="s">
        <v>2611</v>
      </c>
      <c r="H791" s="7" t="s">
        <v>2612</v>
      </c>
      <c r="I791" s="7" t="s">
        <v>4297</v>
      </c>
      <c r="J791" s="9" t="s">
        <v>4298</v>
      </c>
      <c r="K791" s="7" t="s">
        <v>323</v>
      </c>
      <c r="L791" s="11" t="s">
        <v>180</v>
      </c>
    </row>
    <row r="792" customFormat="false" ht="87" hidden="false" customHeight="true" outlineLevel="0" collapsed="false">
      <c r="A792" s="7" t="s">
        <v>4299</v>
      </c>
      <c r="B792" s="7" t="s">
        <v>4300</v>
      </c>
      <c r="C792" s="7" t="s">
        <v>4081</v>
      </c>
      <c r="D792" s="7" t="s">
        <v>4301</v>
      </c>
      <c r="E792" s="7" t="s">
        <v>108</v>
      </c>
      <c r="F792" s="7" t="s">
        <v>628</v>
      </c>
      <c r="G792" s="7" t="s">
        <v>2611</v>
      </c>
      <c r="H792" s="7" t="s">
        <v>2612</v>
      </c>
      <c r="I792" s="7" t="s">
        <v>4302</v>
      </c>
      <c r="J792" s="9" t="s">
        <v>4303</v>
      </c>
      <c r="K792" s="7" t="s">
        <v>323</v>
      </c>
      <c r="L792" s="12" t="s">
        <v>186</v>
      </c>
    </row>
    <row r="793" customFormat="false" ht="87" hidden="false" customHeight="true" outlineLevel="0" collapsed="false">
      <c r="A793" s="7" t="s">
        <v>4304</v>
      </c>
      <c r="B793" s="7" t="s">
        <v>4305</v>
      </c>
      <c r="C793" s="7" t="s">
        <v>4081</v>
      </c>
      <c r="D793" s="7" t="s">
        <v>4306</v>
      </c>
      <c r="E793" s="7" t="s">
        <v>108</v>
      </c>
      <c r="F793" s="7" t="s">
        <v>628</v>
      </c>
      <c r="G793" s="7" t="s">
        <v>2611</v>
      </c>
      <c r="H793" s="7" t="s">
        <v>2612</v>
      </c>
      <c r="I793" s="7" t="s">
        <v>4307</v>
      </c>
      <c r="J793" s="9" t="s">
        <v>4308</v>
      </c>
      <c r="K793" s="7" t="s">
        <v>323</v>
      </c>
      <c r="L793" s="11" t="s">
        <v>180</v>
      </c>
    </row>
    <row r="794" customFormat="false" ht="87" hidden="false" customHeight="true" outlineLevel="0" collapsed="false">
      <c r="A794" s="7" t="s">
        <v>4309</v>
      </c>
      <c r="B794" s="7" t="s">
        <v>4310</v>
      </c>
      <c r="C794" s="7" t="s">
        <v>4081</v>
      </c>
      <c r="D794" s="7" t="s">
        <v>4311</v>
      </c>
      <c r="E794" s="7" t="s">
        <v>108</v>
      </c>
      <c r="F794" s="7" t="s">
        <v>628</v>
      </c>
      <c r="G794" s="7" t="s">
        <v>2611</v>
      </c>
      <c r="H794" s="7" t="s">
        <v>2612</v>
      </c>
      <c r="I794" s="7" t="s">
        <v>4312</v>
      </c>
      <c r="J794" s="9" t="s">
        <v>4313</v>
      </c>
      <c r="K794" s="7" t="s">
        <v>323</v>
      </c>
      <c r="L794" s="12" t="s">
        <v>186</v>
      </c>
    </row>
    <row r="795" customFormat="false" ht="87" hidden="false" customHeight="true" outlineLevel="0" collapsed="false">
      <c r="A795" s="7" t="s">
        <v>4314</v>
      </c>
      <c r="B795" s="7" t="s">
        <v>4315</v>
      </c>
      <c r="C795" s="7" t="s">
        <v>4081</v>
      </c>
      <c r="D795" s="7" t="s">
        <v>4316</v>
      </c>
      <c r="E795" s="7" t="s">
        <v>108</v>
      </c>
      <c r="F795" s="7" t="s">
        <v>628</v>
      </c>
      <c r="G795" s="7" t="s">
        <v>2611</v>
      </c>
      <c r="H795" s="7" t="s">
        <v>2612</v>
      </c>
      <c r="I795" s="7" t="s">
        <v>4317</v>
      </c>
      <c r="J795" s="9" t="s">
        <v>4318</v>
      </c>
      <c r="K795" s="7" t="s">
        <v>323</v>
      </c>
      <c r="L795" s="12" t="s">
        <v>186</v>
      </c>
    </row>
    <row r="796" customFormat="false" ht="35.25" hidden="false" customHeight="true" outlineLevel="0" collapsed="false">
      <c r="A796" s="7" t="s">
        <v>4319</v>
      </c>
      <c r="B796" s="7" t="s">
        <v>4320</v>
      </c>
      <c r="C796" s="7" t="s">
        <v>4081</v>
      </c>
      <c r="D796" s="7" t="s">
        <v>4321</v>
      </c>
      <c r="E796" s="7" t="s">
        <v>108</v>
      </c>
      <c r="F796" s="7" t="s">
        <v>174</v>
      </c>
      <c r="G796" s="7" t="s">
        <v>538</v>
      </c>
      <c r="H796" s="7" t="s">
        <v>539</v>
      </c>
      <c r="I796" s="7" t="s">
        <v>4322</v>
      </c>
      <c r="J796" s="9" t="s">
        <v>4323</v>
      </c>
      <c r="K796" s="7" t="s">
        <v>624</v>
      </c>
      <c r="L796" s="11" t="s">
        <v>180</v>
      </c>
    </row>
    <row r="797" customFormat="false" ht="35.25" hidden="false" customHeight="true" outlineLevel="0" collapsed="false">
      <c r="A797" s="7" t="s">
        <v>4324</v>
      </c>
      <c r="B797" s="7" t="s">
        <v>4325</v>
      </c>
      <c r="C797" s="7" t="s">
        <v>4081</v>
      </c>
      <c r="D797" s="7" t="s">
        <v>4326</v>
      </c>
      <c r="E797" s="7" t="s">
        <v>108</v>
      </c>
      <c r="F797" s="7" t="s">
        <v>174</v>
      </c>
      <c r="G797" s="7" t="s">
        <v>538</v>
      </c>
      <c r="H797" s="7" t="s">
        <v>539</v>
      </c>
      <c r="I797" s="7" t="s">
        <v>4327</v>
      </c>
      <c r="J797" s="9" t="s">
        <v>4328</v>
      </c>
      <c r="K797" s="7" t="s">
        <v>603</v>
      </c>
      <c r="L797" s="10" t="s">
        <v>572</v>
      </c>
    </row>
    <row r="798" customFormat="false" ht="69.75" hidden="false" customHeight="true" outlineLevel="0" collapsed="false">
      <c r="A798" s="7" t="s">
        <v>4329</v>
      </c>
      <c r="B798" s="7" t="s">
        <v>4330</v>
      </c>
      <c r="C798" s="7" t="s">
        <v>4081</v>
      </c>
      <c r="D798" s="7" t="s">
        <v>4331</v>
      </c>
      <c r="E798" s="7" t="s">
        <v>108</v>
      </c>
      <c r="F798" s="7" t="s">
        <v>174</v>
      </c>
      <c r="G798" s="7" t="s">
        <v>538</v>
      </c>
      <c r="H798" s="7" t="s">
        <v>539</v>
      </c>
      <c r="I798" s="7" t="s">
        <v>4332</v>
      </c>
      <c r="J798" s="9" t="s">
        <v>4333</v>
      </c>
      <c r="K798" s="7" t="s">
        <v>603</v>
      </c>
      <c r="L798" s="10" t="s">
        <v>572</v>
      </c>
    </row>
    <row r="799" customFormat="false" ht="35.25" hidden="false" customHeight="true" outlineLevel="0" collapsed="false">
      <c r="A799" s="7" t="s">
        <v>4334</v>
      </c>
      <c r="B799" s="7" t="s">
        <v>4335</v>
      </c>
      <c r="C799" s="7" t="s">
        <v>4081</v>
      </c>
      <c r="D799" s="7" t="s">
        <v>4336</v>
      </c>
      <c r="E799" s="7" t="s">
        <v>108</v>
      </c>
      <c r="F799" s="7" t="s">
        <v>628</v>
      </c>
      <c r="G799" s="7" t="s">
        <v>629</v>
      </c>
      <c r="H799" s="7" t="s">
        <v>630</v>
      </c>
      <c r="I799" s="7" t="s">
        <v>4337</v>
      </c>
      <c r="J799" s="9" t="s">
        <v>4338</v>
      </c>
      <c r="K799" s="7" t="s">
        <v>624</v>
      </c>
      <c r="L799" s="11" t="s">
        <v>180</v>
      </c>
    </row>
    <row r="800" customFormat="false" ht="69.75" hidden="false" customHeight="true" outlineLevel="0" collapsed="false">
      <c r="A800" s="7" t="s">
        <v>4339</v>
      </c>
      <c r="B800" s="7" t="s">
        <v>4340</v>
      </c>
      <c r="C800" s="7" t="s">
        <v>4081</v>
      </c>
      <c r="D800" s="7" t="s">
        <v>4341</v>
      </c>
      <c r="E800" s="7" t="s">
        <v>108</v>
      </c>
      <c r="F800" s="7" t="s">
        <v>628</v>
      </c>
      <c r="G800" s="7" t="s">
        <v>629</v>
      </c>
      <c r="H800" s="7" t="s">
        <v>630</v>
      </c>
      <c r="I800" s="7" t="s">
        <v>4342</v>
      </c>
      <c r="J800" s="9" t="s">
        <v>4343</v>
      </c>
      <c r="K800" s="7" t="s">
        <v>624</v>
      </c>
      <c r="L800" s="12" t="s">
        <v>186</v>
      </c>
    </row>
    <row r="801" customFormat="false" ht="69.75" hidden="false" customHeight="true" outlineLevel="0" collapsed="false">
      <c r="A801" s="7" t="s">
        <v>4344</v>
      </c>
      <c r="B801" s="7" t="s">
        <v>4345</v>
      </c>
      <c r="C801" s="7" t="s">
        <v>4081</v>
      </c>
      <c r="D801" s="7" t="s">
        <v>4346</v>
      </c>
      <c r="E801" s="7" t="s">
        <v>108</v>
      </c>
      <c r="F801" s="7" t="s">
        <v>628</v>
      </c>
      <c r="G801" s="7" t="s">
        <v>629</v>
      </c>
      <c r="H801" s="7" t="s">
        <v>630</v>
      </c>
      <c r="I801" s="7" t="s">
        <v>4347</v>
      </c>
      <c r="J801" s="9" t="s">
        <v>4348</v>
      </c>
      <c r="K801" s="7" t="s">
        <v>624</v>
      </c>
      <c r="L801" s="12" t="s">
        <v>186</v>
      </c>
    </row>
    <row r="802" customFormat="false" ht="69.75" hidden="false" customHeight="true" outlineLevel="0" collapsed="false">
      <c r="A802" s="7" t="s">
        <v>4349</v>
      </c>
      <c r="B802" s="7" t="s">
        <v>4350</v>
      </c>
      <c r="C802" s="7" t="s">
        <v>4081</v>
      </c>
      <c r="D802" s="7" t="s">
        <v>4351</v>
      </c>
      <c r="E802" s="7" t="s">
        <v>108</v>
      </c>
      <c r="F802" s="7" t="s">
        <v>628</v>
      </c>
      <c r="G802" s="7" t="s">
        <v>629</v>
      </c>
      <c r="H802" s="7" t="s">
        <v>630</v>
      </c>
      <c r="I802" s="7" t="s">
        <v>4352</v>
      </c>
      <c r="J802" s="9" t="s">
        <v>4353</v>
      </c>
      <c r="K802" s="7" t="s">
        <v>624</v>
      </c>
      <c r="L802" s="12" t="s">
        <v>186</v>
      </c>
    </row>
    <row r="803" customFormat="false" ht="69.75" hidden="false" customHeight="true" outlineLevel="0" collapsed="false">
      <c r="A803" s="7" t="s">
        <v>4354</v>
      </c>
      <c r="B803" s="7" t="s">
        <v>4355</v>
      </c>
      <c r="C803" s="7" t="s">
        <v>4081</v>
      </c>
      <c r="D803" s="7" t="s">
        <v>4356</v>
      </c>
      <c r="E803" s="7" t="s">
        <v>108</v>
      </c>
      <c r="F803" s="7" t="s">
        <v>628</v>
      </c>
      <c r="G803" s="7" t="s">
        <v>629</v>
      </c>
      <c r="H803" s="7" t="s">
        <v>630</v>
      </c>
      <c r="I803" s="7" t="s">
        <v>4357</v>
      </c>
      <c r="J803" s="9" t="s">
        <v>4358</v>
      </c>
      <c r="K803" s="7" t="s">
        <v>624</v>
      </c>
      <c r="L803" s="12" t="s">
        <v>186</v>
      </c>
    </row>
    <row r="804" customFormat="false" ht="35.25" hidden="false" customHeight="true" outlineLevel="0" collapsed="false">
      <c r="A804" s="7" t="s">
        <v>4359</v>
      </c>
      <c r="B804" s="7" t="s">
        <v>4360</v>
      </c>
      <c r="C804" s="7" t="s">
        <v>4081</v>
      </c>
      <c r="D804" s="7" t="s">
        <v>4361</v>
      </c>
      <c r="E804" s="7" t="s">
        <v>108</v>
      </c>
      <c r="F804" s="7" t="s">
        <v>628</v>
      </c>
      <c r="G804" s="7" t="s">
        <v>629</v>
      </c>
      <c r="H804" s="7" t="s">
        <v>630</v>
      </c>
      <c r="I804" s="7" t="s">
        <v>4362</v>
      </c>
      <c r="J804" s="9" t="s">
        <v>4363</v>
      </c>
      <c r="K804" s="7" t="s">
        <v>624</v>
      </c>
      <c r="L804" s="11" t="s">
        <v>180</v>
      </c>
    </row>
    <row r="805" customFormat="false" ht="35.25" hidden="false" customHeight="true" outlineLevel="0" collapsed="false">
      <c r="A805" s="7" t="s">
        <v>4364</v>
      </c>
      <c r="B805" s="7" t="s">
        <v>4365</v>
      </c>
      <c r="C805" s="7" t="s">
        <v>4081</v>
      </c>
      <c r="D805" s="7" t="s">
        <v>4366</v>
      </c>
      <c r="E805" s="7" t="s">
        <v>108</v>
      </c>
      <c r="F805" s="7" t="s">
        <v>748</v>
      </c>
      <c r="G805" s="7" t="s">
        <v>1621</v>
      </c>
      <c r="H805" s="7" t="s">
        <v>1622</v>
      </c>
      <c r="I805" s="7" t="s">
        <v>4367</v>
      </c>
      <c r="J805" s="9" t="s">
        <v>4368</v>
      </c>
      <c r="K805" s="7" t="s">
        <v>603</v>
      </c>
      <c r="L805" s="12" t="s">
        <v>186</v>
      </c>
    </row>
    <row r="806" customFormat="false" ht="87" hidden="false" customHeight="true" outlineLevel="0" collapsed="false">
      <c r="A806" s="7" t="s">
        <v>4369</v>
      </c>
      <c r="B806" s="7" t="s">
        <v>4370</v>
      </c>
      <c r="C806" s="7" t="s">
        <v>4081</v>
      </c>
      <c r="D806" s="7" t="s">
        <v>4371</v>
      </c>
      <c r="E806" s="7" t="s">
        <v>108</v>
      </c>
      <c r="F806" s="7" t="s">
        <v>748</v>
      </c>
      <c r="G806" s="7" t="s">
        <v>1621</v>
      </c>
      <c r="H806" s="7" t="s">
        <v>1622</v>
      </c>
      <c r="I806" s="7" t="s">
        <v>4372</v>
      </c>
      <c r="J806" s="9" t="s">
        <v>4373</v>
      </c>
      <c r="K806" s="7" t="s">
        <v>603</v>
      </c>
      <c r="L806" s="10" t="s">
        <v>572</v>
      </c>
    </row>
    <row r="807" customFormat="false" ht="69.75" hidden="false" customHeight="true" outlineLevel="0" collapsed="false">
      <c r="A807" s="7" t="s">
        <v>4374</v>
      </c>
      <c r="B807" s="7" t="s">
        <v>4375</v>
      </c>
      <c r="C807" s="7" t="s">
        <v>4081</v>
      </c>
      <c r="D807" s="7" t="s">
        <v>4376</v>
      </c>
      <c r="E807" s="7" t="s">
        <v>108</v>
      </c>
      <c r="F807" s="7" t="s">
        <v>748</v>
      </c>
      <c r="G807" s="7" t="s">
        <v>1621</v>
      </c>
      <c r="H807" s="7" t="s">
        <v>1622</v>
      </c>
      <c r="I807" s="7" t="s">
        <v>4377</v>
      </c>
      <c r="J807" s="9" t="s">
        <v>4378</v>
      </c>
      <c r="K807" s="7" t="s">
        <v>603</v>
      </c>
      <c r="L807" s="10" t="s">
        <v>572</v>
      </c>
    </row>
    <row r="808" customFormat="false" ht="35.25" hidden="false" customHeight="true" outlineLevel="0" collapsed="false">
      <c r="A808" s="7" t="s">
        <v>4379</v>
      </c>
      <c r="B808" s="7" t="s">
        <v>4380</v>
      </c>
      <c r="C808" s="7" t="s">
        <v>4081</v>
      </c>
      <c r="D808" s="7" t="s">
        <v>4381</v>
      </c>
      <c r="E808" s="7" t="s">
        <v>108</v>
      </c>
      <c r="F808" s="7" t="s">
        <v>628</v>
      </c>
      <c r="G808" s="7" t="s">
        <v>2611</v>
      </c>
      <c r="H808" s="7" t="s">
        <v>2612</v>
      </c>
      <c r="I808" s="7" t="s">
        <v>4382</v>
      </c>
      <c r="J808" s="9" t="s">
        <v>4383</v>
      </c>
      <c r="K808" s="7" t="s">
        <v>603</v>
      </c>
      <c r="L808" s="10" t="s">
        <v>572</v>
      </c>
    </row>
    <row r="809" customFormat="false" ht="69.75" hidden="false" customHeight="true" outlineLevel="0" collapsed="false">
      <c r="A809" s="7" t="s">
        <v>4384</v>
      </c>
      <c r="B809" s="7" t="s">
        <v>4385</v>
      </c>
      <c r="C809" s="7" t="s">
        <v>4081</v>
      </c>
      <c r="D809" s="7" t="s">
        <v>4386</v>
      </c>
      <c r="E809" s="7" t="s">
        <v>108</v>
      </c>
      <c r="F809" s="7" t="s">
        <v>628</v>
      </c>
      <c r="G809" s="7" t="s">
        <v>2611</v>
      </c>
      <c r="H809" s="7" t="s">
        <v>2612</v>
      </c>
      <c r="I809" s="7" t="s">
        <v>4387</v>
      </c>
      <c r="J809" s="9" t="s">
        <v>4388</v>
      </c>
      <c r="K809" s="7" t="s">
        <v>603</v>
      </c>
      <c r="L809" s="10" t="s">
        <v>572</v>
      </c>
    </row>
    <row r="810" customFormat="false" ht="69.75" hidden="false" customHeight="true" outlineLevel="0" collapsed="false">
      <c r="A810" s="7" t="s">
        <v>4389</v>
      </c>
      <c r="B810" s="7" t="s">
        <v>4390</v>
      </c>
      <c r="C810" s="7" t="s">
        <v>4081</v>
      </c>
      <c r="D810" s="7" t="s">
        <v>4391</v>
      </c>
      <c r="E810" s="7" t="s">
        <v>108</v>
      </c>
      <c r="F810" s="7" t="s">
        <v>628</v>
      </c>
      <c r="G810" s="7" t="s">
        <v>2611</v>
      </c>
      <c r="H810" s="7" t="s">
        <v>2612</v>
      </c>
      <c r="I810" s="7" t="s">
        <v>4392</v>
      </c>
      <c r="J810" s="9" t="s">
        <v>4393</v>
      </c>
      <c r="K810" s="7" t="s">
        <v>603</v>
      </c>
      <c r="L810" s="10" t="s">
        <v>572</v>
      </c>
    </row>
    <row r="811" customFormat="false" ht="69.75" hidden="false" customHeight="true" outlineLevel="0" collapsed="false">
      <c r="A811" s="7" t="s">
        <v>4394</v>
      </c>
      <c r="B811" s="7" t="s">
        <v>4395</v>
      </c>
      <c r="C811" s="7" t="s">
        <v>4081</v>
      </c>
      <c r="D811" s="7" t="s">
        <v>4396</v>
      </c>
      <c r="E811" s="7" t="s">
        <v>108</v>
      </c>
      <c r="F811" s="7" t="s">
        <v>628</v>
      </c>
      <c r="G811" s="7" t="s">
        <v>2611</v>
      </c>
      <c r="H811" s="7" t="s">
        <v>2612</v>
      </c>
      <c r="I811" s="7" t="s">
        <v>4397</v>
      </c>
      <c r="J811" s="9" t="s">
        <v>4398</v>
      </c>
      <c r="K811" s="7" t="s">
        <v>603</v>
      </c>
      <c r="L811" s="10" t="s">
        <v>572</v>
      </c>
    </row>
    <row r="812" customFormat="false" ht="35.25" hidden="false" customHeight="true" outlineLevel="0" collapsed="false">
      <c r="A812" s="7" t="s">
        <v>4399</v>
      </c>
      <c r="B812" s="7" t="s">
        <v>4400</v>
      </c>
      <c r="C812" s="7" t="s">
        <v>4081</v>
      </c>
      <c r="D812" s="7" t="s">
        <v>4401</v>
      </c>
      <c r="E812" s="7" t="s">
        <v>108</v>
      </c>
      <c r="F812" s="7" t="s">
        <v>174</v>
      </c>
      <c r="G812" s="7" t="s">
        <v>2210</v>
      </c>
      <c r="H812" s="7" t="s">
        <v>2211</v>
      </c>
      <c r="I812" s="7" t="s">
        <v>4402</v>
      </c>
      <c r="J812" s="9" t="s">
        <v>4403</v>
      </c>
      <c r="K812" s="7" t="s">
        <v>323</v>
      </c>
      <c r="L812" s="11" t="s">
        <v>180</v>
      </c>
    </row>
    <row r="813" customFormat="false" ht="35.25" hidden="false" customHeight="true" outlineLevel="0" collapsed="false">
      <c r="A813" s="7" t="s">
        <v>4404</v>
      </c>
      <c r="B813" s="7" t="s">
        <v>4405</v>
      </c>
      <c r="C813" s="7" t="s">
        <v>4081</v>
      </c>
      <c r="D813" s="7" t="s">
        <v>4406</v>
      </c>
      <c r="E813" s="7" t="s">
        <v>108</v>
      </c>
      <c r="F813" s="7" t="s">
        <v>748</v>
      </c>
      <c r="G813" s="7" t="s">
        <v>1621</v>
      </c>
      <c r="H813" s="7" t="s">
        <v>1622</v>
      </c>
      <c r="I813" s="7" t="s">
        <v>4407</v>
      </c>
      <c r="J813" s="9" t="s">
        <v>4408</v>
      </c>
      <c r="K813" s="7" t="s">
        <v>603</v>
      </c>
      <c r="L813" s="12" t="s">
        <v>186</v>
      </c>
    </row>
    <row r="814" customFormat="false" ht="69.75" hidden="false" customHeight="true" outlineLevel="0" collapsed="false">
      <c r="A814" s="7" t="s">
        <v>4409</v>
      </c>
      <c r="B814" s="7" t="s">
        <v>4410</v>
      </c>
      <c r="C814" s="7" t="s">
        <v>4081</v>
      </c>
      <c r="D814" s="7" t="s">
        <v>4411</v>
      </c>
      <c r="E814" s="7" t="s">
        <v>108</v>
      </c>
      <c r="F814" s="7" t="s">
        <v>748</v>
      </c>
      <c r="G814" s="7" t="s">
        <v>1621</v>
      </c>
      <c r="H814" s="7" t="s">
        <v>1622</v>
      </c>
      <c r="I814" s="7" t="s">
        <v>4412</v>
      </c>
      <c r="J814" s="9" t="s">
        <v>4413</v>
      </c>
      <c r="K814" s="7" t="s">
        <v>603</v>
      </c>
      <c r="L814" s="10" t="s">
        <v>572</v>
      </c>
    </row>
    <row r="815" customFormat="false" ht="69.75" hidden="false" customHeight="true" outlineLevel="0" collapsed="false">
      <c r="A815" s="7" t="s">
        <v>4414</v>
      </c>
      <c r="B815" s="7" t="s">
        <v>4415</v>
      </c>
      <c r="C815" s="7" t="s">
        <v>4081</v>
      </c>
      <c r="D815" s="7" t="s">
        <v>4416</v>
      </c>
      <c r="E815" s="7" t="s">
        <v>108</v>
      </c>
      <c r="F815" s="7" t="s">
        <v>748</v>
      </c>
      <c r="G815" s="7" t="s">
        <v>1621</v>
      </c>
      <c r="H815" s="7" t="s">
        <v>1622</v>
      </c>
      <c r="I815" s="7" t="s">
        <v>4417</v>
      </c>
      <c r="J815" s="9" t="s">
        <v>4418</v>
      </c>
      <c r="K815" s="7" t="s">
        <v>603</v>
      </c>
      <c r="L815" s="10" t="s">
        <v>572</v>
      </c>
    </row>
    <row r="816" customFormat="false" ht="69.75" hidden="false" customHeight="true" outlineLevel="0" collapsed="false">
      <c r="A816" s="7" t="s">
        <v>4419</v>
      </c>
      <c r="B816" s="7" t="s">
        <v>4420</v>
      </c>
      <c r="C816" s="7" t="s">
        <v>4081</v>
      </c>
      <c r="D816" s="7" t="s">
        <v>4421</v>
      </c>
      <c r="E816" s="7" t="s">
        <v>108</v>
      </c>
      <c r="F816" s="7" t="s">
        <v>748</v>
      </c>
      <c r="G816" s="7" t="s">
        <v>1621</v>
      </c>
      <c r="H816" s="7" t="s">
        <v>1622</v>
      </c>
      <c r="I816" s="7" t="s">
        <v>4422</v>
      </c>
      <c r="J816" s="9" t="s">
        <v>4423</v>
      </c>
      <c r="K816" s="7" t="s">
        <v>603</v>
      </c>
      <c r="L816" s="10" t="s">
        <v>572</v>
      </c>
    </row>
    <row r="817" customFormat="false" ht="69.75" hidden="false" customHeight="true" outlineLevel="0" collapsed="false">
      <c r="A817" s="7" t="s">
        <v>4424</v>
      </c>
      <c r="B817" s="7" t="s">
        <v>4425</v>
      </c>
      <c r="C817" s="7" t="s">
        <v>4081</v>
      </c>
      <c r="D817" s="7" t="s">
        <v>4426</v>
      </c>
      <c r="E817" s="7" t="s">
        <v>108</v>
      </c>
      <c r="F817" s="7" t="s">
        <v>748</v>
      </c>
      <c r="G817" s="7" t="s">
        <v>1621</v>
      </c>
      <c r="H817" s="7" t="s">
        <v>1622</v>
      </c>
      <c r="I817" s="7" t="s">
        <v>4427</v>
      </c>
      <c r="J817" s="9" t="s">
        <v>4428</v>
      </c>
      <c r="K817" s="7" t="s">
        <v>603</v>
      </c>
      <c r="L817" s="10" t="s">
        <v>572</v>
      </c>
    </row>
    <row r="818" customFormat="false" ht="69.75" hidden="false" customHeight="true" outlineLevel="0" collapsed="false">
      <c r="A818" s="7" t="s">
        <v>4429</v>
      </c>
      <c r="B818" s="7" t="s">
        <v>4430</v>
      </c>
      <c r="C818" s="7" t="s">
        <v>4081</v>
      </c>
      <c r="D818" s="7" t="s">
        <v>4431</v>
      </c>
      <c r="E818" s="7" t="s">
        <v>108</v>
      </c>
      <c r="F818" s="7" t="s">
        <v>748</v>
      </c>
      <c r="G818" s="7" t="s">
        <v>1621</v>
      </c>
      <c r="H818" s="7" t="s">
        <v>1622</v>
      </c>
      <c r="I818" s="7" t="s">
        <v>4432</v>
      </c>
      <c r="J818" s="9" t="s">
        <v>4433</v>
      </c>
      <c r="K818" s="7" t="s">
        <v>603</v>
      </c>
      <c r="L818" s="10" t="s">
        <v>572</v>
      </c>
    </row>
    <row r="819" customFormat="false" ht="35.25" hidden="false" customHeight="true" outlineLevel="0" collapsed="false">
      <c r="A819" s="7" t="s">
        <v>4434</v>
      </c>
      <c r="B819" s="7" t="s">
        <v>4435</v>
      </c>
      <c r="C819" s="7" t="s">
        <v>4081</v>
      </c>
      <c r="D819" s="7" t="s">
        <v>4436</v>
      </c>
      <c r="E819" s="7" t="s">
        <v>108</v>
      </c>
      <c r="F819" s="7" t="s">
        <v>318</v>
      </c>
      <c r="G819" s="7" t="s">
        <v>319</v>
      </c>
      <c r="H819" s="7" t="s">
        <v>320</v>
      </c>
      <c r="I819" s="7" t="s">
        <v>4437</v>
      </c>
      <c r="J819" s="9" t="s">
        <v>4438</v>
      </c>
      <c r="K819" s="7" t="s">
        <v>323</v>
      </c>
      <c r="L819" s="12" t="s">
        <v>186</v>
      </c>
    </row>
    <row r="820" customFormat="false" ht="69.75" hidden="false" customHeight="true" outlineLevel="0" collapsed="false">
      <c r="A820" s="7" t="s">
        <v>4439</v>
      </c>
      <c r="B820" s="7" t="s">
        <v>4440</v>
      </c>
      <c r="C820" s="7" t="s">
        <v>4081</v>
      </c>
      <c r="D820" s="7" t="s">
        <v>4441</v>
      </c>
      <c r="E820" s="7" t="s">
        <v>108</v>
      </c>
      <c r="F820" s="7" t="s">
        <v>318</v>
      </c>
      <c r="G820" s="7" t="s">
        <v>319</v>
      </c>
      <c r="H820" s="7" t="s">
        <v>320</v>
      </c>
      <c r="I820" s="7" t="s">
        <v>4442</v>
      </c>
      <c r="J820" s="9" t="s">
        <v>4443</v>
      </c>
      <c r="K820" s="7" t="s">
        <v>323</v>
      </c>
      <c r="L820" s="12" t="s">
        <v>186</v>
      </c>
    </row>
    <row r="821" customFormat="false" ht="35.25" hidden="false" customHeight="true" outlineLevel="0" collapsed="false">
      <c r="A821" s="7" t="s">
        <v>4444</v>
      </c>
      <c r="B821" s="7" t="s">
        <v>4445</v>
      </c>
      <c r="C821" s="7" t="s">
        <v>4081</v>
      </c>
      <c r="D821" s="7" t="s">
        <v>4446</v>
      </c>
      <c r="E821" s="7" t="s">
        <v>108</v>
      </c>
      <c r="F821" s="7" t="s">
        <v>318</v>
      </c>
      <c r="G821" s="7" t="s">
        <v>319</v>
      </c>
      <c r="H821" s="7" t="s">
        <v>320</v>
      </c>
      <c r="I821" s="7" t="s">
        <v>4447</v>
      </c>
      <c r="J821" s="9" t="s">
        <v>4448</v>
      </c>
      <c r="K821" s="7" t="s">
        <v>323</v>
      </c>
      <c r="L821" s="12" t="s">
        <v>186</v>
      </c>
    </row>
    <row r="822" customFormat="false" ht="35.25" hidden="false" customHeight="true" outlineLevel="0" collapsed="false">
      <c r="A822" s="7" t="s">
        <v>4449</v>
      </c>
      <c r="B822" s="7" t="s">
        <v>4450</v>
      </c>
      <c r="C822" s="7" t="s">
        <v>4081</v>
      </c>
      <c r="D822" s="7" t="s">
        <v>4451</v>
      </c>
      <c r="E822" s="7" t="s">
        <v>108</v>
      </c>
      <c r="F822" s="7" t="s">
        <v>318</v>
      </c>
      <c r="G822" s="7" t="s">
        <v>1671</v>
      </c>
      <c r="H822" s="7" t="s">
        <v>1672</v>
      </c>
      <c r="I822" s="7" t="s">
        <v>4452</v>
      </c>
      <c r="J822" s="9" t="s">
        <v>4453</v>
      </c>
      <c r="K822" s="7" t="s">
        <v>323</v>
      </c>
      <c r="L822" s="12" t="s">
        <v>186</v>
      </c>
    </row>
    <row r="823" customFormat="false" ht="35.25" hidden="false" customHeight="true" outlineLevel="0" collapsed="false">
      <c r="A823" s="7" t="s">
        <v>4454</v>
      </c>
      <c r="B823" s="7" t="s">
        <v>4455</v>
      </c>
      <c r="C823" s="7" t="s">
        <v>4081</v>
      </c>
      <c r="D823" s="7" t="s">
        <v>4456</v>
      </c>
      <c r="E823" s="7" t="s">
        <v>108</v>
      </c>
      <c r="F823" s="7" t="s">
        <v>174</v>
      </c>
      <c r="G823" s="7" t="s">
        <v>2210</v>
      </c>
      <c r="H823" s="7" t="s">
        <v>2211</v>
      </c>
      <c r="I823" s="7" t="s">
        <v>4457</v>
      </c>
      <c r="J823" s="9" t="s">
        <v>4458</v>
      </c>
      <c r="K823" s="7" t="s">
        <v>808</v>
      </c>
      <c r="L823" s="11" t="s">
        <v>180</v>
      </c>
    </row>
    <row r="824" customFormat="false" ht="69.75" hidden="false" customHeight="true" outlineLevel="0" collapsed="false">
      <c r="A824" s="7" t="s">
        <v>4459</v>
      </c>
      <c r="B824" s="7" t="s">
        <v>4460</v>
      </c>
      <c r="C824" s="7" t="s">
        <v>4081</v>
      </c>
      <c r="D824" s="7" t="s">
        <v>4461</v>
      </c>
      <c r="E824" s="7" t="s">
        <v>108</v>
      </c>
      <c r="F824" s="7" t="s">
        <v>174</v>
      </c>
      <c r="G824" s="7" t="s">
        <v>2210</v>
      </c>
      <c r="H824" s="7" t="s">
        <v>2211</v>
      </c>
      <c r="I824" s="7" t="s">
        <v>4462</v>
      </c>
      <c r="J824" s="9" t="s">
        <v>4463</v>
      </c>
      <c r="K824" s="7" t="s">
        <v>808</v>
      </c>
      <c r="L824" s="12" t="s">
        <v>186</v>
      </c>
    </row>
    <row r="825" customFormat="false" ht="69.75" hidden="false" customHeight="true" outlineLevel="0" collapsed="false">
      <c r="A825" s="7" t="s">
        <v>4464</v>
      </c>
      <c r="B825" s="7" t="s">
        <v>4465</v>
      </c>
      <c r="C825" s="7" t="s">
        <v>4081</v>
      </c>
      <c r="D825" s="7" t="s">
        <v>4466</v>
      </c>
      <c r="E825" s="7" t="s">
        <v>108</v>
      </c>
      <c r="F825" s="7" t="s">
        <v>174</v>
      </c>
      <c r="G825" s="7" t="s">
        <v>2210</v>
      </c>
      <c r="H825" s="7" t="s">
        <v>2211</v>
      </c>
      <c r="I825" s="7" t="s">
        <v>4467</v>
      </c>
      <c r="J825" s="9" t="s">
        <v>4468</v>
      </c>
      <c r="K825" s="7" t="s">
        <v>808</v>
      </c>
      <c r="L825" s="12" t="s">
        <v>186</v>
      </c>
    </row>
    <row r="826" customFormat="false" ht="69.75" hidden="false" customHeight="true" outlineLevel="0" collapsed="false">
      <c r="A826" s="7" t="s">
        <v>4469</v>
      </c>
      <c r="B826" s="7" t="s">
        <v>4470</v>
      </c>
      <c r="C826" s="7" t="s">
        <v>4081</v>
      </c>
      <c r="D826" s="7" t="s">
        <v>4471</v>
      </c>
      <c r="E826" s="7" t="s">
        <v>108</v>
      </c>
      <c r="F826" s="7" t="s">
        <v>174</v>
      </c>
      <c r="G826" s="7" t="s">
        <v>2210</v>
      </c>
      <c r="H826" s="7" t="s">
        <v>2211</v>
      </c>
      <c r="I826" s="7" t="s">
        <v>4472</v>
      </c>
      <c r="J826" s="9" t="s">
        <v>4473</v>
      </c>
      <c r="K826" s="7" t="s">
        <v>808</v>
      </c>
      <c r="L826" s="12" t="s">
        <v>186</v>
      </c>
    </row>
    <row r="827" customFormat="false" ht="35.25" hidden="false" customHeight="true" outlineLevel="0" collapsed="false">
      <c r="A827" s="7" t="s">
        <v>4474</v>
      </c>
      <c r="B827" s="7" t="s">
        <v>4475</v>
      </c>
      <c r="C827" s="7" t="s">
        <v>4081</v>
      </c>
      <c r="D827" s="7" t="s">
        <v>4476</v>
      </c>
      <c r="E827" s="7" t="s">
        <v>108</v>
      </c>
      <c r="F827" s="7" t="s">
        <v>318</v>
      </c>
      <c r="G827" s="7" t="s">
        <v>1671</v>
      </c>
      <c r="H827" s="7" t="s">
        <v>1672</v>
      </c>
      <c r="I827" s="7" t="s">
        <v>4477</v>
      </c>
      <c r="J827" s="9" t="s">
        <v>4478</v>
      </c>
      <c r="K827" s="7" t="s">
        <v>624</v>
      </c>
      <c r="L827" s="12" t="s">
        <v>186</v>
      </c>
    </row>
    <row r="828" customFormat="false" ht="35.25" hidden="false" customHeight="true" outlineLevel="0" collapsed="false">
      <c r="A828" s="7" t="s">
        <v>4479</v>
      </c>
      <c r="B828" s="7" t="s">
        <v>4480</v>
      </c>
      <c r="C828" s="7" t="s">
        <v>4081</v>
      </c>
      <c r="D828" s="7" t="s">
        <v>4481</v>
      </c>
      <c r="E828" s="7" t="s">
        <v>108</v>
      </c>
      <c r="F828" s="7" t="s">
        <v>748</v>
      </c>
      <c r="G828" s="7" t="s">
        <v>749</v>
      </c>
      <c r="H828" s="7" t="s">
        <v>750</v>
      </c>
      <c r="I828" s="7" t="s">
        <v>4482</v>
      </c>
      <c r="J828" s="9" t="s">
        <v>4483</v>
      </c>
      <c r="K828" s="7" t="s">
        <v>603</v>
      </c>
      <c r="L828" s="10" t="s">
        <v>572</v>
      </c>
    </row>
    <row r="829" customFormat="false" ht="35.25" hidden="false" customHeight="true" outlineLevel="0" collapsed="false">
      <c r="A829" s="7" t="s">
        <v>4484</v>
      </c>
      <c r="B829" s="7" t="s">
        <v>4485</v>
      </c>
      <c r="C829" s="7" t="s">
        <v>4081</v>
      </c>
      <c r="D829" s="7" t="s">
        <v>4486</v>
      </c>
      <c r="E829" s="7" t="s">
        <v>112</v>
      </c>
      <c r="F829" s="7" t="s">
        <v>566</v>
      </c>
      <c r="G829" s="7" t="s">
        <v>4487</v>
      </c>
      <c r="H829" s="7" t="s">
        <v>4488</v>
      </c>
      <c r="I829" s="7" t="s">
        <v>4489</v>
      </c>
      <c r="J829" s="9" t="s">
        <v>4490</v>
      </c>
      <c r="K829" s="7" t="s">
        <v>603</v>
      </c>
      <c r="L829" s="10" t="s">
        <v>572</v>
      </c>
    </row>
    <row r="830" customFormat="false" ht="69.75" hidden="false" customHeight="true" outlineLevel="0" collapsed="false">
      <c r="A830" s="7" t="s">
        <v>4491</v>
      </c>
      <c r="B830" s="7" t="s">
        <v>4492</v>
      </c>
      <c r="C830" s="7" t="s">
        <v>4081</v>
      </c>
      <c r="D830" s="7" t="s">
        <v>4493</v>
      </c>
      <c r="E830" s="7" t="s">
        <v>112</v>
      </c>
      <c r="F830" s="7" t="s">
        <v>566</v>
      </c>
      <c r="G830" s="7" t="s">
        <v>4487</v>
      </c>
      <c r="H830" s="7" t="s">
        <v>4488</v>
      </c>
      <c r="I830" s="7" t="s">
        <v>4494</v>
      </c>
      <c r="J830" s="9" t="s">
        <v>4495</v>
      </c>
      <c r="K830" s="7" t="s">
        <v>603</v>
      </c>
      <c r="L830" s="10" t="s">
        <v>572</v>
      </c>
    </row>
    <row r="831" customFormat="false" ht="35.25" hidden="false" customHeight="true" outlineLevel="0" collapsed="false">
      <c r="A831" s="7" t="s">
        <v>4496</v>
      </c>
      <c r="B831" s="7" t="s">
        <v>4497</v>
      </c>
      <c r="C831" s="7" t="s">
        <v>4081</v>
      </c>
      <c r="D831" s="7" t="s">
        <v>4498</v>
      </c>
      <c r="E831" s="7" t="s">
        <v>108</v>
      </c>
      <c r="F831" s="7" t="s">
        <v>318</v>
      </c>
      <c r="G831" s="7" t="s">
        <v>1671</v>
      </c>
      <c r="H831" s="7" t="s">
        <v>1672</v>
      </c>
      <c r="I831" s="7" t="s">
        <v>4499</v>
      </c>
      <c r="J831" s="9" t="s">
        <v>4500</v>
      </c>
      <c r="K831" s="7" t="s">
        <v>603</v>
      </c>
      <c r="L831" s="10" t="s">
        <v>572</v>
      </c>
    </row>
    <row r="832" customFormat="false" ht="35.25" hidden="false" customHeight="true" outlineLevel="0" collapsed="false">
      <c r="A832" s="7" t="s">
        <v>4501</v>
      </c>
      <c r="B832" s="7" t="s">
        <v>4502</v>
      </c>
      <c r="C832" s="7" t="s">
        <v>4081</v>
      </c>
      <c r="D832" s="7" t="s">
        <v>4503</v>
      </c>
      <c r="E832" s="7" t="s">
        <v>108</v>
      </c>
      <c r="F832" s="7" t="s">
        <v>628</v>
      </c>
      <c r="G832" s="7" t="s">
        <v>629</v>
      </c>
      <c r="H832" s="7" t="s">
        <v>630</v>
      </c>
      <c r="I832" s="7" t="s">
        <v>4504</v>
      </c>
      <c r="J832" s="9" t="s">
        <v>4505</v>
      </c>
      <c r="K832" s="7" t="s">
        <v>4506</v>
      </c>
      <c r="L832" s="11" t="s">
        <v>180</v>
      </c>
    </row>
    <row r="833" customFormat="false" ht="69.75" hidden="false" customHeight="true" outlineLevel="0" collapsed="false">
      <c r="A833" s="7" t="s">
        <v>4507</v>
      </c>
      <c r="B833" s="7" t="s">
        <v>4508</v>
      </c>
      <c r="C833" s="7" t="s">
        <v>4081</v>
      </c>
      <c r="D833" s="7" t="s">
        <v>4509</v>
      </c>
      <c r="E833" s="7" t="s">
        <v>108</v>
      </c>
      <c r="F833" s="7" t="s">
        <v>628</v>
      </c>
      <c r="G833" s="7" t="s">
        <v>629</v>
      </c>
      <c r="H833" s="7" t="s">
        <v>630</v>
      </c>
      <c r="I833" s="7" t="s">
        <v>4510</v>
      </c>
      <c r="J833" s="9" t="s">
        <v>4511</v>
      </c>
      <c r="K833" s="7" t="s">
        <v>4506</v>
      </c>
      <c r="L833" s="11" t="s">
        <v>180</v>
      </c>
    </row>
    <row r="834" customFormat="false" ht="69.75" hidden="false" customHeight="true" outlineLevel="0" collapsed="false">
      <c r="A834" s="7" t="s">
        <v>4512</v>
      </c>
      <c r="B834" s="7" t="s">
        <v>4513</v>
      </c>
      <c r="C834" s="7" t="s">
        <v>4081</v>
      </c>
      <c r="D834" s="7" t="s">
        <v>4514</v>
      </c>
      <c r="E834" s="7" t="s">
        <v>108</v>
      </c>
      <c r="F834" s="7" t="s">
        <v>628</v>
      </c>
      <c r="G834" s="7" t="s">
        <v>629</v>
      </c>
      <c r="H834" s="7" t="s">
        <v>630</v>
      </c>
      <c r="I834" s="7" t="s">
        <v>4515</v>
      </c>
      <c r="J834" s="9" t="s">
        <v>4516</v>
      </c>
      <c r="K834" s="7" t="s">
        <v>4506</v>
      </c>
      <c r="L834" s="12" t="s">
        <v>186</v>
      </c>
    </row>
    <row r="835" customFormat="false" ht="69.75" hidden="false" customHeight="true" outlineLevel="0" collapsed="false">
      <c r="A835" s="7" t="s">
        <v>4517</v>
      </c>
      <c r="B835" s="7" t="s">
        <v>4518</v>
      </c>
      <c r="C835" s="7" t="s">
        <v>4081</v>
      </c>
      <c r="D835" s="7" t="s">
        <v>4519</v>
      </c>
      <c r="E835" s="7" t="s">
        <v>108</v>
      </c>
      <c r="F835" s="7" t="s">
        <v>628</v>
      </c>
      <c r="G835" s="7" t="s">
        <v>629</v>
      </c>
      <c r="H835" s="7" t="s">
        <v>630</v>
      </c>
      <c r="I835" s="7" t="s">
        <v>4520</v>
      </c>
      <c r="J835" s="9" t="s">
        <v>4521</v>
      </c>
      <c r="K835" s="7" t="s">
        <v>4506</v>
      </c>
      <c r="L835" s="11" t="s">
        <v>180</v>
      </c>
    </row>
    <row r="836" customFormat="false" ht="35.25" hidden="false" customHeight="true" outlineLevel="0" collapsed="false">
      <c r="A836" s="7" t="s">
        <v>4522</v>
      </c>
      <c r="B836" s="7" t="s">
        <v>4523</v>
      </c>
      <c r="C836" s="7" t="s">
        <v>4081</v>
      </c>
      <c r="D836" s="7" t="s">
        <v>4524</v>
      </c>
      <c r="E836" s="7" t="s">
        <v>108</v>
      </c>
      <c r="F836" s="7" t="s">
        <v>318</v>
      </c>
      <c r="G836" s="7" t="s">
        <v>1671</v>
      </c>
      <c r="H836" s="7" t="s">
        <v>1672</v>
      </c>
      <c r="I836" s="7" t="s">
        <v>4525</v>
      </c>
      <c r="J836" s="9" t="s">
        <v>4526</v>
      </c>
      <c r="K836" s="7" t="s">
        <v>603</v>
      </c>
      <c r="L836" s="10" t="s">
        <v>572</v>
      </c>
    </row>
    <row r="837" customFormat="false" ht="69.75" hidden="false" customHeight="true" outlineLevel="0" collapsed="false">
      <c r="A837" s="7" t="s">
        <v>4527</v>
      </c>
      <c r="B837" s="7" t="s">
        <v>4528</v>
      </c>
      <c r="C837" s="7" t="s">
        <v>4081</v>
      </c>
      <c r="D837" s="7" t="s">
        <v>4529</v>
      </c>
      <c r="E837" s="7" t="s">
        <v>108</v>
      </c>
      <c r="F837" s="7" t="s">
        <v>318</v>
      </c>
      <c r="G837" s="7" t="s">
        <v>1671</v>
      </c>
      <c r="H837" s="7" t="s">
        <v>1672</v>
      </c>
      <c r="I837" s="7" t="s">
        <v>4530</v>
      </c>
      <c r="J837" s="9" t="s">
        <v>4531</v>
      </c>
      <c r="K837" s="7" t="s">
        <v>603</v>
      </c>
      <c r="L837" s="10" t="s">
        <v>572</v>
      </c>
    </row>
    <row r="838" customFormat="false" ht="35.25" hidden="false" customHeight="true" outlineLevel="0" collapsed="false">
      <c r="A838" s="7" t="s">
        <v>4532</v>
      </c>
      <c r="B838" s="7" t="s">
        <v>4533</v>
      </c>
      <c r="C838" s="7" t="s">
        <v>4081</v>
      </c>
      <c r="D838" s="7" t="s">
        <v>4534</v>
      </c>
      <c r="E838" s="7" t="s">
        <v>108</v>
      </c>
      <c r="F838" s="7" t="s">
        <v>318</v>
      </c>
      <c r="G838" s="7" t="s">
        <v>319</v>
      </c>
      <c r="H838" s="7" t="s">
        <v>320</v>
      </c>
      <c r="I838" s="7" t="s">
        <v>4535</v>
      </c>
      <c r="J838" s="9" t="s">
        <v>4536</v>
      </c>
      <c r="K838" s="7" t="s">
        <v>603</v>
      </c>
      <c r="L838" s="10" t="s">
        <v>572</v>
      </c>
    </row>
    <row r="839" customFormat="false" ht="69.75" hidden="false" customHeight="true" outlineLevel="0" collapsed="false">
      <c r="A839" s="7" t="s">
        <v>4537</v>
      </c>
      <c r="B839" s="7" t="s">
        <v>4538</v>
      </c>
      <c r="C839" s="7" t="s">
        <v>4081</v>
      </c>
      <c r="D839" s="7" t="s">
        <v>4539</v>
      </c>
      <c r="E839" s="7" t="s">
        <v>108</v>
      </c>
      <c r="F839" s="7" t="s">
        <v>318</v>
      </c>
      <c r="G839" s="7" t="s">
        <v>319</v>
      </c>
      <c r="H839" s="7" t="s">
        <v>320</v>
      </c>
      <c r="I839" s="7" t="s">
        <v>4540</v>
      </c>
      <c r="J839" s="9" t="s">
        <v>4541</v>
      </c>
      <c r="K839" s="7" t="s">
        <v>603</v>
      </c>
      <c r="L839" s="10" t="s">
        <v>572</v>
      </c>
    </row>
    <row r="840" customFormat="false" ht="69.75" hidden="false" customHeight="true" outlineLevel="0" collapsed="false">
      <c r="A840" s="7" t="s">
        <v>4542</v>
      </c>
      <c r="B840" s="7" t="s">
        <v>4543</v>
      </c>
      <c r="C840" s="7" t="s">
        <v>4081</v>
      </c>
      <c r="D840" s="7" t="s">
        <v>4544</v>
      </c>
      <c r="E840" s="7" t="s">
        <v>108</v>
      </c>
      <c r="F840" s="7" t="s">
        <v>318</v>
      </c>
      <c r="G840" s="7" t="s">
        <v>319</v>
      </c>
      <c r="H840" s="7" t="s">
        <v>320</v>
      </c>
      <c r="I840" s="7" t="s">
        <v>4545</v>
      </c>
      <c r="J840" s="9" t="s">
        <v>4546</v>
      </c>
      <c r="K840" s="7" t="s">
        <v>603</v>
      </c>
      <c r="L840" s="10" t="s">
        <v>572</v>
      </c>
    </row>
    <row r="841" customFormat="false" ht="69.75" hidden="false" customHeight="true" outlineLevel="0" collapsed="false">
      <c r="A841" s="7" t="s">
        <v>4547</v>
      </c>
      <c r="B841" s="7" t="s">
        <v>4548</v>
      </c>
      <c r="C841" s="7" t="s">
        <v>4081</v>
      </c>
      <c r="D841" s="7" t="s">
        <v>4549</v>
      </c>
      <c r="E841" s="7" t="s">
        <v>108</v>
      </c>
      <c r="F841" s="7" t="s">
        <v>318</v>
      </c>
      <c r="G841" s="7" t="s">
        <v>319</v>
      </c>
      <c r="H841" s="7" t="s">
        <v>320</v>
      </c>
      <c r="I841" s="7" t="s">
        <v>4550</v>
      </c>
      <c r="J841" s="9" t="s">
        <v>4551</v>
      </c>
      <c r="K841" s="7" t="s">
        <v>603</v>
      </c>
      <c r="L841" s="10" t="s">
        <v>572</v>
      </c>
    </row>
    <row r="842" customFormat="false" ht="69.75" hidden="false" customHeight="true" outlineLevel="0" collapsed="false">
      <c r="A842" s="7" t="s">
        <v>4552</v>
      </c>
      <c r="B842" s="7" t="s">
        <v>4553</v>
      </c>
      <c r="C842" s="7" t="s">
        <v>4081</v>
      </c>
      <c r="D842" s="7" t="s">
        <v>4554</v>
      </c>
      <c r="E842" s="7" t="s">
        <v>108</v>
      </c>
      <c r="F842" s="7" t="s">
        <v>318</v>
      </c>
      <c r="G842" s="7" t="s">
        <v>319</v>
      </c>
      <c r="H842" s="7" t="s">
        <v>320</v>
      </c>
      <c r="I842" s="7" t="s">
        <v>4555</v>
      </c>
      <c r="J842" s="9" t="s">
        <v>4556</v>
      </c>
      <c r="K842" s="7" t="s">
        <v>603</v>
      </c>
      <c r="L842" s="10" t="s">
        <v>572</v>
      </c>
    </row>
    <row r="843" customFormat="false" ht="35.25" hidden="false" customHeight="true" outlineLevel="0" collapsed="false">
      <c r="A843" s="7" t="s">
        <v>4557</v>
      </c>
      <c r="B843" s="7" t="s">
        <v>4558</v>
      </c>
      <c r="C843" s="7" t="s">
        <v>4081</v>
      </c>
      <c r="D843" s="7" t="s">
        <v>4559</v>
      </c>
      <c r="E843" s="7" t="s">
        <v>108</v>
      </c>
      <c r="F843" s="7" t="s">
        <v>318</v>
      </c>
      <c r="G843" s="7" t="s">
        <v>319</v>
      </c>
      <c r="H843" s="7" t="s">
        <v>320</v>
      </c>
      <c r="I843" s="7" t="s">
        <v>4560</v>
      </c>
      <c r="J843" s="9" t="s">
        <v>4561</v>
      </c>
      <c r="K843" s="7" t="s">
        <v>603</v>
      </c>
      <c r="L843" s="10" t="s">
        <v>572</v>
      </c>
    </row>
    <row r="844" customFormat="false" ht="69.75" hidden="false" customHeight="true" outlineLevel="0" collapsed="false">
      <c r="A844" s="7" t="s">
        <v>4562</v>
      </c>
      <c r="B844" s="7" t="s">
        <v>4563</v>
      </c>
      <c r="C844" s="7" t="s">
        <v>4081</v>
      </c>
      <c r="D844" s="7" t="s">
        <v>4564</v>
      </c>
      <c r="E844" s="7" t="s">
        <v>108</v>
      </c>
      <c r="F844" s="7" t="s">
        <v>318</v>
      </c>
      <c r="G844" s="7" t="s">
        <v>319</v>
      </c>
      <c r="H844" s="7" t="s">
        <v>320</v>
      </c>
      <c r="I844" s="7" t="s">
        <v>4565</v>
      </c>
      <c r="J844" s="9" t="s">
        <v>4566</v>
      </c>
      <c r="K844" s="7" t="s">
        <v>603</v>
      </c>
      <c r="L844" s="10" t="s">
        <v>572</v>
      </c>
    </row>
    <row r="845" customFormat="false" ht="69.75" hidden="false" customHeight="true" outlineLevel="0" collapsed="false">
      <c r="A845" s="7" t="s">
        <v>4567</v>
      </c>
      <c r="B845" s="7" t="s">
        <v>4568</v>
      </c>
      <c r="C845" s="7" t="s">
        <v>4081</v>
      </c>
      <c r="D845" s="7" t="s">
        <v>4569</v>
      </c>
      <c r="E845" s="7" t="s">
        <v>108</v>
      </c>
      <c r="F845" s="7" t="s">
        <v>318</v>
      </c>
      <c r="G845" s="7" t="s">
        <v>319</v>
      </c>
      <c r="H845" s="7" t="s">
        <v>320</v>
      </c>
      <c r="I845" s="7" t="s">
        <v>4570</v>
      </c>
      <c r="J845" s="9" t="s">
        <v>4571</v>
      </c>
      <c r="K845" s="7" t="s">
        <v>603</v>
      </c>
      <c r="L845" s="10" t="s">
        <v>572</v>
      </c>
    </row>
    <row r="846" customFormat="false" ht="69.75" hidden="false" customHeight="true" outlineLevel="0" collapsed="false">
      <c r="A846" s="7" t="s">
        <v>4572</v>
      </c>
      <c r="B846" s="7" t="s">
        <v>4573</v>
      </c>
      <c r="C846" s="7" t="s">
        <v>4081</v>
      </c>
      <c r="D846" s="7" t="s">
        <v>4574</v>
      </c>
      <c r="E846" s="7" t="s">
        <v>108</v>
      </c>
      <c r="F846" s="7" t="s">
        <v>318</v>
      </c>
      <c r="G846" s="7" t="s">
        <v>319</v>
      </c>
      <c r="H846" s="7" t="s">
        <v>320</v>
      </c>
      <c r="I846" s="7" t="s">
        <v>4575</v>
      </c>
      <c r="J846" s="9" t="s">
        <v>4576</v>
      </c>
      <c r="K846" s="7" t="s">
        <v>603</v>
      </c>
      <c r="L846" s="10" t="s">
        <v>572</v>
      </c>
    </row>
    <row r="847" customFormat="false" ht="35.25" hidden="false" customHeight="true" outlineLevel="0" collapsed="false">
      <c r="A847" s="7" t="s">
        <v>4577</v>
      </c>
      <c r="B847" s="7" t="s">
        <v>4578</v>
      </c>
      <c r="C847" s="7" t="s">
        <v>4081</v>
      </c>
      <c r="D847" s="7" t="s">
        <v>4579</v>
      </c>
      <c r="E847" s="7" t="s">
        <v>108</v>
      </c>
      <c r="F847" s="7" t="s">
        <v>318</v>
      </c>
      <c r="G847" s="7" t="s">
        <v>319</v>
      </c>
      <c r="H847" s="7" t="s">
        <v>320</v>
      </c>
      <c r="I847" s="7" t="s">
        <v>4580</v>
      </c>
      <c r="J847" s="9" t="s">
        <v>4581</v>
      </c>
      <c r="K847" s="7" t="s">
        <v>624</v>
      </c>
      <c r="L847" s="12" t="s">
        <v>186</v>
      </c>
    </row>
    <row r="848" customFormat="false" ht="69.75" hidden="false" customHeight="true" outlineLevel="0" collapsed="false">
      <c r="A848" s="7" t="s">
        <v>4582</v>
      </c>
      <c r="B848" s="7" t="s">
        <v>4583</v>
      </c>
      <c r="C848" s="7" t="s">
        <v>4081</v>
      </c>
      <c r="D848" s="7" t="s">
        <v>4584</v>
      </c>
      <c r="E848" s="7" t="s">
        <v>108</v>
      </c>
      <c r="F848" s="7" t="s">
        <v>318</v>
      </c>
      <c r="G848" s="7" t="s">
        <v>319</v>
      </c>
      <c r="H848" s="7" t="s">
        <v>320</v>
      </c>
      <c r="I848" s="7" t="s">
        <v>4585</v>
      </c>
      <c r="J848" s="9" t="s">
        <v>4586</v>
      </c>
      <c r="K848" s="7" t="s">
        <v>624</v>
      </c>
      <c r="L848" s="12" t="s">
        <v>186</v>
      </c>
    </row>
    <row r="849" customFormat="false" ht="35.25" hidden="false" customHeight="true" outlineLevel="0" collapsed="false">
      <c r="A849" s="7" t="s">
        <v>4587</v>
      </c>
      <c r="B849" s="7" t="s">
        <v>4588</v>
      </c>
      <c r="C849" s="7" t="s">
        <v>4081</v>
      </c>
      <c r="D849" s="7" t="s">
        <v>4589</v>
      </c>
      <c r="E849" s="7" t="s">
        <v>108</v>
      </c>
      <c r="F849" s="7" t="s">
        <v>748</v>
      </c>
      <c r="G849" s="7" t="s">
        <v>1621</v>
      </c>
      <c r="H849" s="7" t="s">
        <v>1622</v>
      </c>
      <c r="I849" s="7" t="s">
        <v>4590</v>
      </c>
      <c r="J849" s="9" t="s">
        <v>4591</v>
      </c>
      <c r="K849" s="7" t="s">
        <v>603</v>
      </c>
      <c r="L849" s="10" t="s">
        <v>572</v>
      </c>
    </row>
    <row r="850" customFormat="false" ht="69.75" hidden="false" customHeight="true" outlineLevel="0" collapsed="false">
      <c r="A850" s="7" t="s">
        <v>4592</v>
      </c>
      <c r="B850" s="7" t="s">
        <v>4593</v>
      </c>
      <c r="C850" s="7" t="s">
        <v>4081</v>
      </c>
      <c r="D850" s="7" t="s">
        <v>4594</v>
      </c>
      <c r="E850" s="7" t="s">
        <v>108</v>
      </c>
      <c r="F850" s="7" t="s">
        <v>748</v>
      </c>
      <c r="G850" s="7" t="s">
        <v>1621</v>
      </c>
      <c r="H850" s="7" t="s">
        <v>1622</v>
      </c>
      <c r="I850" s="7" t="s">
        <v>4595</v>
      </c>
      <c r="J850" s="9" t="s">
        <v>4596</v>
      </c>
      <c r="K850" s="7" t="s">
        <v>603</v>
      </c>
      <c r="L850" s="10" t="s">
        <v>572</v>
      </c>
    </row>
    <row r="851" customFormat="false" ht="69.75" hidden="false" customHeight="true" outlineLevel="0" collapsed="false">
      <c r="A851" s="7" t="s">
        <v>4597</v>
      </c>
      <c r="B851" s="7" t="s">
        <v>4598</v>
      </c>
      <c r="C851" s="7" t="s">
        <v>4081</v>
      </c>
      <c r="D851" s="7" t="s">
        <v>4599</v>
      </c>
      <c r="E851" s="7" t="s">
        <v>108</v>
      </c>
      <c r="F851" s="7" t="s">
        <v>748</v>
      </c>
      <c r="G851" s="7" t="s">
        <v>1621</v>
      </c>
      <c r="H851" s="7" t="s">
        <v>1622</v>
      </c>
      <c r="I851" s="7" t="s">
        <v>4600</v>
      </c>
      <c r="J851" s="9" t="s">
        <v>4601</v>
      </c>
      <c r="K851" s="7" t="s">
        <v>603</v>
      </c>
      <c r="L851" s="10" t="s">
        <v>572</v>
      </c>
    </row>
    <row r="852" customFormat="false" ht="69.75" hidden="false" customHeight="true" outlineLevel="0" collapsed="false">
      <c r="A852" s="7" t="s">
        <v>4602</v>
      </c>
      <c r="B852" s="7" t="s">
        <v>4603</v>
      </c>
      <c r="C852" s="7" t="s">
        <v>4081</v>
      </c>
      <c r="D852" s="7" t="s">
        <v>4604</v>
      </c>
      <c r="E852" s="7" t="s">
        <v>108</v>
      </c>
      <c r="F852" s="7" t="s">
        <v>748</v>
      </c>
      <c r="G852" s="7" t="s">
        <v>1621</v>
      </c>
      <c r="H852" s="7" t="s">
        <v>1622</v>
      </c>
      <c r="I852" s="7" t="s">
        <v>4605</v>
      </c>
      <c r="J852" s="9" t="s">
        <v>4606</v>
      </c>
      <c r="K852" s="7" t="s">
        <v>603</v>
      </c>
      <c r="L852" s="10" t="s">
        <v>572</v>
      </c>
    </row>
    <row r="853" customFormat="false" ht="35.25" hidden="false" customHeight="true" outlineLevel="0" collapsed="false">
      <c r="A853" s="7" t="s">
        <v>4607</v>
      </c>
      <c r="B853" s="7" t="s">
        <v>4608</v>
      </c>
      <c r="C853" s="7" t="s">
        <v>4081</v>
      </c>
      <c r="D853" s="7" t="s">
        <v>4609</v>
      </c>
      <c r="E853" s="7" t="s">
        <v>112</v>
      </c>
      <c r="F853" s="7" t="s">
        <v>566</v>
      </c>
      <c r="G853" s="7" t="s">
        <v>4487</v>
      </c>
      <c r="H853" s="7" t="s">
        <v>4488</v>
      </c>
      <c r="I853" s="7" t="s">
        <v>4610</v>
      </c>
      <c r="J853" s="9" t="s">
        <v>4611</v>
      </c>
      <c r="K853" s="7" t="s">
        <v>724</v>
      </c>
      <c r="L853" s="10" t="s">
        <v>572</v>
      </c>
    </row>
    <row r="854" customFormat="false" ht="35.25" hidden="false" customHeight="true" outlineLevel="0" collapsed="false">
      <c r="A854" s="7" t="s">
        <v>4612</v>
      </c>
      <c r="B854" s="7" t="s">
        <v>4613</v>
      </c>
      <c r="C854" s="7" t="s">
        <v>4081</v>
      </c>
      <c r="D854" s="7" t="s">
        <v>4614</v>
      </c>
      <c r="E854" s="7" t="s">
        <v>108</v>
      </c>
      <c r="F854" s="7" t="s">
        <v>318</v>
      </c>
      <c r="G854" s="7" t="s">
        <v>1671</v>
      </c>
      <c r="H854" s="7" t="s">
        <v>1672</v>
      </c>
      <c r="I854" s="7" t="s">
        <v>4615</v>
      </c>
      <c r="J854" s="9" t="s">
        <v>4616</v>
      </c>
      <c r="K854" s="7" t="s">
        <v>603</v>
      </c>
      <c r="L854" s="10" t="s">
        <v>572</v>
      </c>
    </row>
    <row r="855" customFormat="false" ht="69.75" hidden="false" customHeight="true" outlineLevel="0" collapsed="false">
      <c r="A855" s="7" t="s">
        <v>4617</v>
      </c>
      <c r="B855" s="7" t="s">
        <v>4618</v>
      </c>
      <c r="C855" s="7" t="s">
        <v>4081</v>
      </c>
      <c r="D855" s="7" t="s">
        <v>4619</v>
      </c>
      <c r="E855" s="7" t="s">
        <v>108</v>
      </c>
      <c r="F855" s="7" t="s">
        <v>318</v>
      </c>
      <c r="G855" s="7" t="s">
        <v>1671</v>
      </c>
      <c r="H855" s="7" t="s">
        <v>1672</v>
      </c>
      <c r="I855" s="7" t="s">
        <v>4620</v>
      </c>
      <c r="J855" s="9" t="s">
        <v>4621</v>
      </c>
      <c r="K855" s="7" t="s">
        <v>603</v>
      </c>
      <c r="L855" s="10" t="s">
        <v>572</v>
      </c>
    </row>
    <row r="856" customFormat="false" ht="69.75" hidden="false" customHeight="true" outlineLevel="0" collapsed="false">
      <c r="A856" s="7" t="s">
        <v>4622</v>
      </c>
      <c r="B856" s="7" t="s">
        <v>4623</v>
      </c>
      <c r="C856" s="7" t="s">
        <v>4081</v>
      </c>
      <c r="D856" s="7" t="s">
        <v>4624</v>
      </c>
      <c r="E856" s="7" t="s">
        <v>108</v>
      </c>
      <c r="F856" s="7" t="s">
        <v>318</v>
      </c>
      <c r="G856" s="7" t="s">
        <v>1671</v>
      </c>
      <c r="H856" s="7" t="s">
        <v>1672</v>
      </c>
      <c r="I856" s="7" t="s">
        <v>4625</v>
      </c>
      <c r="J856" s="9" t="s">
        <v>4626</v>
      </c>
      <c r="K856" s="7" t="s">
        <v>603</v>
      </c>
      <c r="L856" s="10" t="s">
        <v>572</v>
      </c>
    </row>
    <row r="857" customFormat="false" ht="35.25" hidden="false" customHeight="true" outlineLevel="0" collapsed="false">
      <c r="A857" s="7" t="s">
        <v>4627</v>
      </c>
      <c r="B857" s="7" t="s">
        <v>4628</v>
      </c>
      <c r="C857" s="7" t="s">
        <v>4081</v>
      </c>
      <c r="D857" s="7" t="s">
        <v>4629</v>
      </c>
      <c r="E857" s="7" t="s">
        <v>108</v>
      </c>
      <c r="F857" s="7" t="s">
        <v>174</v>
      </c>
      <c r="G857" s="7" t="s">
        <v>538</v>
      </c>
      <c r="H857" s="7" t="s">
        <v>539</v>
      </c>
      <c r="I857" s="7" t="s">
        <v>4630</v>
      </c>
      <c r="J857" s="9" t="s">
        <v>4631</v>
      </c>
      <c r="K857" s="7" t="s">
        <v>724</v>
      </c>
      <c r="L857" s="10" t="s">
        <v>572</v>
      </c>
    </row>
    <row r="858" customFormat="false" ht="69.75" hidden="false" customHeight="true" outlineLevel="0" collapsed="false">
      <c r="A858" s="7" t="s">
        <v>4632</v>
      </c>
      <c r="B858" s="7" t="s">
        <v>4633</v>
      </c>
      <c r="C858" s="7" t="s">
        <v>4081</v>
      </c>
      <c r="D858" s="7" t="s">
        <v>4634</v>
      </c>
      <c r="E858" s="7" t="s">
        <v>108</v>
      </c>
      <c r="F858" s="7" t="s">
        <v>174</v>
      </c>
      <c r="G858" s="7" t="s">
        <v>538</v>
      </c>
      <c r="H858" s="7" t="s">
        <v>539</v>
      </c>
      <c r="I858" s="7" t="s">
        <v>4635</v>
      </c>
      <c r="J858" s="9" t="s">
        <v>4636</v>
      </c>
      <c r="K858" s="7" t="s">
        <v>724</v>
      </c>
      <c r="L858" s="10" t="s">
        <v>572</v>
      </c>
    </row>
    <row r="859" customFormat="false" ht="35.25" hidden="false" customHeight="true" outlineLevel="0" collapsed="false">
      <c r="A859" s="7" t="s">
        <v>4637</v>
      </c>
      <c r="B859" s="7" t="s">
        <v>4638</v>
      </c>
      <c r="C859" s="7" t="s">
        <v>4081</v>
      </c>
      <c r="D859" s="7" t="s">
        <v>4639</v>
      </c>
      <c r="E859" s="7" t="s">
        <v>108</v>
      </c>
      <c r="F859" s="7" t="s">
        <v>318</v>
      </c>
      <c r="G859" s="7" t="s">
        <v>319</v>
      </c>
      <c r="H859" s="7" t="s">
        <v>320</v>
      </c>
      <c r="I859" s="7" t="s">
        <v>4640</v>
      </c>
      <c r="J859" s="9" t="s">
        <v>4641</v>
      </c>
      <c r="K859" s="7" t="s">
        <v>724</v>
      </c>
      <c r="L859" s="10" t="s">
        <v>170</v>
      </c>
    </row>
    <row r="860" customFormat="false" ht="35.25" hidden="false" customHeight="true" outlineLevel="0" collapsed="false">
      <c r="A860" s="7" t="s">
        <v>4642</v>
      </c>
      <c r="B860" s="7" t="s">
        <v>4643</v>
      </c>
      <c r="C860" s="7" t="s">
        <v>4081</v>
      </c>
      <c r="D860" s="7" t="s">
        <v>4644</v>
      </c>
      <c r="E860" s="7" t="s">
        <v>108</v>
      </c>
      <c r="F860" s="7" t="s">
        <v>748</v>
      </c>
      <c r="G860" s="7" t="s">
        <v>749</v>
      </c>
      <c r="H860" s="7" t="s">
        <v>750</v>
      </c>
      <c r="I860" s="7" t="s">
        <v>4645</v>
      </c>
      <c r="J860" s="9" t="s">
        <v>4646</v>
      </c>
      <c r="K860" s="7" t="s">
        <v>808</v>
      </c>
      <c r="L860" s="11" t="s">
        <v>180</v>
      </c>
    </row>
    <row r="861" customFormat="false" ht="69.75" hidden="false" customHeight="true" outlineLevel="0" collapsed="false">
      <c r="A861" s="7" t="s">
        <v>4647</v>
      </c>
      <c r="B861" s="7" t="s">
        <v>4648</v>
      </c>
      <c r="C861" s="7" t="s">
        <v>4081</v>
      </c>
      <c r="D861" s="7" t="s">
        <v>4649</v>
      </c>
      <c r="E861" s="7" t="s">
        <v>108</v>
      </c>
      <c r="F861" s="7" t="s">
        <v>748</v>
      </c>
      <c r="G861" s="7" t="s">
        <v>749</v>
      </c>
      <c r="H861" s="7" t="s">
        <v>750</v>
      </c>
      <c r="I861" s="7" t="s">
        <v>4650</v>
      </c>
      <c r="J861" s="9" t="s">
        <v>4651</v>
      </c>
      <c r="K861" s="7" t="s">
        <v>808</v>
      </c>
      <c r="L861" s="12" t="s">
        <v>186</v>
      </c>
    </row>
    <row r="862" customFormat="false" ht="69.75" hidden="false" customHeight="true" outlineLevel="0" collapsed="false">
      <c r="A862" s="7" t="s">
        <v>4652</v>
      </c>
      <c r="B862" s="7" t="s">
        <v>4653</v>
      </c>
      <c r="C862" s="7" t="s">
        <v>4081</v>
      </c>
      <c r="D862" s="7" t="s">
        <v>4654</v>
      </c>
      <c r="E862" s="7" t="s">
        <v>108</v>
      </c>
      <c r="F862" s="7" t="s">
        <v>748</v>
      </c>
      <c r="G862" s="7" t="s">
        <v>749</v>
      </c>
      <c r="H862" s="7" t="s">
        <v>750</v>
      </c>
      <c r="I862" s="7" t="s">
        <v>4655</v>
      </c>
      <c r="J862" s="9" t="s">
        <v>4656</v>
      </c>
      <c r="K862" s="7" t="s">
        <v>808</v>
      </c>
      <c r="L862" s="12" t="s">
        <v>186</v>
      </c>
    </row>
    <row r="863" customFormat="false" ht="35.25" hidden="false" customHeight="true" outlineLevel="0" collapsed="false">
      <c r="A863" s="7" t="s">
        <v>4657</v>
      </c>
      <c r="B863" s="7" t="s">
        <v>4658</v>
      </c>
      <c r="C863" s="7" t="s">
        <v>4081</v>
      </c>
      <c r="D863" s="7" t="s">
        <v>4659</v>
      </c>
      <c r="E863" s="7" t="s">
        <v>108</v>
      </c>
      <c r="F863" s="7" t="s">
        <v>318</v>
      </c>
      <c r="G863" s="7" t="s">
        <v>319</v>
      </c>
      <c r="H863" s="7" t="s">
        <v>320</v>
      </c>
      <c r="I863" s="7" t="s">
        <v>4660</v>
      </c>
      <c r="J863" s="9" t="s">
        <v>4661</v>
      </c>
      <c r="K863" s="7" t="s">
        <v>724</v>
      </c>
      <c r="L863" s="12" t="s">
        <v>186</v>
      </c>
    </row>
    <row r="864" customFormat="false" ht="69.75" hidden="false" customHeight="true" outlineLevel="0" collapsed="false">
      <c r="A864" s="7" t="s">
        <v>4662</v>
      </c>
      <c r="B864" s="7" t="s">
        <v>4663</v>
      </c>
      <c r="C864" s="7" t="s">
        <v>4081</v>
      </c>
      <c r="D864" s="7" t="s">
        <v>4664</v>
      </c>
      <c r="E864" s="7" t="s">
        <v>108</v>
      </c>
      <c r="F864" s="7" t="s">
        <v>318</v>
      </c>
      <c r="G864" s="7" t="s">
        <v>319</v>
      </c>
      <c r="H864" s="7" t="s">
        <v>320</v>
      </c>
      <c r="I864" s="7" t="s">
        <v>4665</v>
      </c>
      <c r="J864" s="9" t="s">
        <v>4666</v>
      </c>
      <c r="K864" s="7" t="s">
        <v>724</v>
      </c>
      <c r="L864" s="10" t="s">
        <v>572</v>
      </c>
    </row>
    <row r="865" customFormat="false" ht="69.75" hidden="false" customHeight="true" outlineLevel="0" collapsed="false">
      <c r="A865" s="7" t="s">
        <v>4667</v>
      </c>
      <c r="B865" s="7" t="s">
        <v>4668</v>
      </c>
      <c r="C865" s="7" t="s">
        <v>4081</v>
      </c>
      <c r="D865" s="7" t="s">
        <v>4669</v>
      </c>
      <c r="E865" s="7" t="s">
        <v>108</v>
      </c>
      <c r="F865" s="7" t="s">
        <v>318</v>
      </c>
      <c r="G865" s="7" t="s">
        <v>319</v>
      </c>
      <c r="H865" s="7" t="s">
        <v>320</v>
      </c>
      <c r="I865" s="7" t="s">
        <v>4670</v>
      </c>
      <c r="J865" s="9" t="s">
        <v>4671</v>
      </c>
      <c r="K865" s="7" t="s">
        <v>724</v>
      </c>
      <c r="L865" s="10" t="s">
        <v>572</v>
      </c>
    </row>
    <row r="866" customFormat="false" ht="69.75" hidden="false" customHeight="true" outlineLevel="0" collapsed="false">
      <c r="A866" s="7" t="s">
        <v>4672</v>
      </c>
      <c r="B866" s="7" t="s">
        <v>4673</v>
      </c>
      <c r="C866" s="7" t="s">
        <v>4081</v>
      </c>
      <c r="D866" s="7" t="s">
        <v>4674</v>
      </c>
      <c r="E866" s="7" t="s">
        <v>108</v>
      </c>
      <c r="F866" s="7" t="s">
        <v>318</v>
      </c>
      <c r="G866" s="7" t="s">
        <v>319</v>
      </c>
      <c r="H866" s="7" t="s">
        <v>320</v>
      </c>
      <c r="I866" s="7" t="s">
        <v>4675</v>
      </c>
      <c r="J866" s="9" t="s">
        <v>4676</v>
      </c>
      <c r="K866" s="7" t="s">
        <v>724</v>
      </c>
      <c r="L866" s="10" t="s">
        <v>572</v>
      </c>
    </row>
    <row r="867" customFormat="false" ht="69.75" hidden="false" customHeight="true" outlineLevel="0" collapsed="false">
      <c r="A867" s="7" t="s">
        <v>4677</v>
      </c>
      <c r="B867" s="7" t="s">
        <v>4678</v>
      </c>
      <c r="C867" s="7" t="s">
        <v>4081</v>
      </c>
      <c r="D867" s="7" t="s">
        <v>4679</v>
      </c>
      <c r="E867" s="7" t="s">
        <v>108</v>
      </c>
      <c r="F867" s="7" t="s">
        <v>318</v>
      </c>
      <c r="G867" s="7" t="s">
        <v>319</v>
      </c>
      <c r="H867" s="7" t="s">
        <v>320</v>
      </c>
      <c r="I867" s="7" t="s">
        <v>4680</v>
      </c>
      <c r="J867" s="9" t="s">
        <v>4681</v>
      </c>
      <c r="K867" s="7" t="s">
        <v>724</v>
      </c>
      <c r="L867" s="10" t="s">
        <v>572</v>
      </c>
    </row>
    <row r="868" customFormat="false" ht="35.25" hidden="false" customHeight="true" outlineLevel="0" collapsed="false">
      <c r="A868" s="7" t="s">
        <v>4682</v>
      </c>
      <c r="B868" s="7" t="s">
        <v>4683</v>
      </c>
      <c r="C868" s="7" t="s">
        <v>4081</v>
      </c>
      <c r="D868" s="7" t="s">
        <v>4684</v>
      </c>
      <c r="E868" s="7" t="s">
        <v>108</v>
      </c>
      <c r="F868" s="7" t="s">
        <v>748</v>
      </c>
      <c r="G868" s="7" t="s">
        <v>1621</v>
      </c>
      <c r="H868" s="7" t="s">
        <v>1622</v>
      </c>
      <c r="I868" s="7" t="s">
        <v>4685</v>
      </c>
      <c r="J868" s="9" t="s">
        <v>4686</v>
      </c>
      <c r="K868" s="7" t="s">
        <v>603</v>
      </c>
      <c r="L868" s="12" t="s">
        <v>186</v>
      </c>
    </row>
    <row r="869" customFormat="false" ht="35.25" hidden="false" customHeight="true" outlineLevel="0" collapsed="false">
      <c r="A869" s="7" t="s">
        <v>4687</v>
      </c>
      <c r="B869" s="7" t="s">
        <v>4688</v>
      </c>
      <c r="C869" s="7" t="s">
        <v>4081</v>
      </c>
      <c r="D869" s="7" t="s">
        <v>4689</v>
      </c>
      <c r="E869" s="7" t="s">
        <v>108</v>
      </c>
      <c r="F869" s="7" t="s">
        <v>748</v>
      </c>
      <c r="G869" s="7" t="s">
        <v>1621</v>
      </c>
      <c r="H869" s="7" t="s">
        <v>1622</v>
      </c>
      <c r="I869" s="7" t="s">
        <v>4690</v>
      </c>
      <c r="J869" s="9" t="s">
        <v>4691</v>
      </c>
      <c r="K869" s="7" t="s">
        <v>603</v>
      </c>
      <c r="L869" s="10" t="s">
        <v>572</v>
      </c>
    </row>
    <row r="870" customFormat="false" ht="69.75" hidden="false" customHeight="true" outlineLevel="0" collapsed="false">
      <c r="A870" s="7" t="s">
        <v>4692</v>
      </c>
      <c r="B870" s="7" t="s">
        <v>4693</v>
      </c>
      <c r="C870" s="7" t="s">
        <v>4081</v>
      </c>
      <c r="D870" s="7" t="s">
        <v>4694</v>
      </c>
      <c r="E870" s="7" t="s">
        <v>108</v>
      </c>
      <c r="F870" s="7" t="s">
        <v>748</v>
      </c>
      <c r="G870" s="7" t="s">
        <v>1621</v>
      </c>
      <c r="H870" s="7" t="s">
        <v>1622</v>
      </c>
      <c r="I870" s="7" t="s">
        <v>4695</v>
      </c>
      <c r="J870" s="9" t="s">
        <v>4696</v>
      </c>
      <c r="K870" s="7" t="s">
        <v>603</v>
      </c>
      <c r="L870" s="10" t="s">
        <v>572</v>
      </c>
    </row>
    <row r="871" customFormat="false" ht="69.75" hidden="false" customHeight="true" outlineLevel="0" collapsed="false">
      <c r="A871" s="7" t="s">
        <v>4697</v>
      </c>
      <c r="B871" s="7" t="s">
        <v>4698</v>
      </c>
      <c r="C871" s="7" t="s">
        <v>4081</v>
      </c>
      <c r="D871" s="7" t="s">
        <v>4699</v>
      </c>
      <c r="E871" s="7" t="s">
        <v>108</v>
      </c>
      <c r="F871" s="7" t="s">
        <v>748</v>
      </c>
      <c r="G871" s="7" t="s">
        <v>1621</v>
      </c>
      <c r="H871" s="7" t="s">
        <v>1622</v>
      </c>
      <c r="I871" s="7" t="s">
        <v>4700</v>
      </c>
      <c r="J871" s="9" t="s">
        <v>4701</v>
      </c>
      <c r="K871" s="7" t="s">
        <v>603</v>
      </c>
      <c r="L871" s="10" t="s">
        <v>572</v>
      </c>
    </row>
    <row r="872" customFormat="false" ht="69.75" hidden="false" customHeight="true" outlineLevel="0" collapsed="false">
      <c r="A872" s="7" t="s">
        <v>4702</v>
      </c>
      <c r="B872" s="7" t="s">
        <v>4703</v>
      </c>
      <c r="C872" s="7" t="s">
        <v>4081</v>
      </c>
      <c r="D872" s="7" t="s">
        <v>4704</v>
      </c>
      <c r="E872" s="7" t="s">
        <v>108</v>
      </c>
      <c r="F872" s="7" t="s">
        <v>748</v>
      </c>
      <c r="G872" s="7" t="s">
        <v>1621</v>
      </c>
      <c r="H872" s="7" t="s">
        <v>1622</v>
      </c>
      <c r="I872" s="7" t="s">
        <v>4705</v>
      </c>
      <c r="J872" s="9" t="s">
        <v>4706</v>
      </c>
      <c r="K872" s="7" t="s">
        <v>603</v>
      </c>
      <c r="L872" s="10" t="s">
        <v>572</v>
      </c>
    </row>
    <row r="873" customFormat="false" ht="69.75" hidden="false" customHeight="true" outlineLevel="0" collapsed="false">
      <c r="A873" s="7" t="s">
        <v>4707</v>
      </c>
      <c r="B873" s="7" t="s">
        <v>4708</v>
      </c>
      <c r="C873" s="7" t="s">
        <v>4081</v>
      </c>
      <c r="D873" s="7" t="s">
        <v>4709</v>
      </c>
      <c r="E873" s="7" t="s">
        <v>108</v>
      </c>
      <c r="F873" s="7" t="s">
        <v>748</v>
      </c>
      <c r="G873" s="7" t="s">
        <v>1621</v>
      </c>
      <c r="H873" s="7" t="s">
        <v>1622</v>
      </c>
      <c r="I873" s="7" t="s">
        <v>4710</v>
      </c>
      <c r="J873" s="9" t="s">
        <v>4711</v>
      </c>
      <c r="K873" s="7" t="s">
        <v>603</v>
      </c>
      <c r="L873" s="10" t="s">
        <v>572</v>
      </c>
    </row>
    <row r="874" customFormat="false" ht="35.25" hidden="false" customHeight="true" outlineLevel="0" collapsed="false">
      <c r="A874" s="7" t="s">
        <v>4712</v>
      </c>
      <c r="B874" s="7" t="s">
        <v>4713</v>
      </c>
      <c r="C874" s="7" t="s">
        <v>4081</v>
      </c>
      <c r="D874" s="7" t="s">
        <v>4714</v>
      </c>
      <c r="E874" s="7" t="s">
        <v>108</v>
      </c>
      <c r="F874" s="7" t="s">
        <v>748</v>
      </c>
      <c r="G874" s="7" t="s">
        <v>1621</v>
      </c>
      <c r="H874" s="7" t="s">
        <v>1622</v>
      </c>
      <c r="I874" s="7" t="s">
        <v>4715</v>
      </c>
      <c r="J874" s="9" t="s">
        <v>4716</v>
      </c>
      <c r="K874" s="7" t="s">
        <v>603</v>
      </c>
      <c r="L874" s="12" t="s">
        <v>186</v>
      </c>
    </row>
    <row r="875" customFormat="false" ht="35.25" hidden="false" customHeight="true" outlineLevel="0" collapsed="false">
      <c r="A875" s="7" t="s">
        <v>4717</v>
      </c>
      <c r="B875" s="7" t="s">
        <v>4718</v>
      </c>
      <c r="C875" s="7" t="s">
        <v>4081</v>
      </c>
      <c r="D875" s="7" t="s">
        <v>4719</v>
      </c>
      <c r="E875" s="7" t="s">
        <v>112</v>
      </c>
      <c r="F875" s="7" t="s">
        <v>566</v>
      </c>
      <c r="G875" s="7" t="s">
        <v>4487</v>
      </c>
      <c r="H875" s="7" t="s">
        <v>4488</v>
      </c>
      <c r="I875" s="7" t="s">
        <v>4720</v>
      </c>
      <c r="J875" s="9" t="s">
        <v>4721</v>
      </c>
      <c r="K875" s="7" t="s">
        <v>724</v>
      </c>
      <c r="L875" s="10" t="s">
        <v>572</v>
      </c>
    </row>
    <row r="876" customFormat="false" ht="35.25" hidden="false" customHeight="true" outlineLevel="0" collapsed="false">
      <c r="A876" s="7" t="s">
        <v>4722</v>
      </c>
      <c r="B876" s="7" t="s">
        <v>4723</v>
      </c>
      <c r="C876" s="7" t="s">
        <v>4081</v>
      </c>
      <c r="D876" s="7" t="s">
        <v>4724</v>
      </c>
      <c r="E876" s="7" t="s">
        <v>108</v>
      </c>
      <c r="F876" s="7" t="s">
        <v>748</v>
      </c>
      <c r="G876" s="7" t="s">
        <v>929</v>
      </c>
      <c r="H876" s="7" t="s">
        <v>930</v>
      </c>
      <c r="I876" s="7" t="s">
        <v>4725</v>
      </c>
      <c r="J876" s="9" t="s">
        <v>4726</v>
      </c>
      <c r="K876" s="7" t="s">
        <v>624</v>
      </c>
      <c r="L876" s="11" t="s">
        <v>180</v>
      </c>
    </row>
    <row r="877" customFormat="false" ht="69.75" hidden="false" customHeight="true" outlineLevel="0" collapsed="false">
      <c r="A877" s="7" t="s">
        <v>4727</v>
      </c>
      <c r="B877" s="7" t="s">
        <v>4728</v>
      </c>
      <c r="C877" s="7" t="s">
        <v>4081</v>
      </c>
      <c r="D877" s="7" t="s">
        <v>4729</v>
      </c>
      <c r="E877" s="7" t="s">
        <v>108</v>
      </c>
      <c r="F877" s="7" t="s">
        <v>748</v>
      </c>
      <c r="G877" s="7" t="s">
        <v>929</v>
      </c>
      <c r="H877" s="7" t="s">
        <v>930</v>
      </c>
      <c r="I877" s="7" t="s">
        <v>4730</v>
      </c>
      <c r="J877" s="9" t="s">
        <v>4731</v>
      </c>
      <c r="K877" s="7" t="s">
        <v>624</v>
      </c>
      <c r="L877" s="12" t="s">
        <v>186</v>
      </c>
    </row>
    <row r="878" customFormat="false" ht="69.75" hidden="false" customHeight="true" outlineLevel="0" collapsed="false">
      <c r="A878" s="7" t="s">
        <v>4732</v>
      </c>
      <c r="B878" s="7" t="s">
        <v>4733</v>
      </c>
      <c r="C878" s="7" t="s">
        <v>4081</v>
      </c>
      <c r="D878" s="7" t="s">
        <v>4734</v>
      </c>
      <c r="E878" s="7" t="s">
        <v>108</v>
      </c>
      <c r="F878" s="7" t="s">
        <v>748</v>
      </c>
      <c r="G878" s="7" t="s">
        <v>929</v>
      </c>
      <c r="H878" s="7" t="s">
        <v>930</v>
      </c>
      <c r="I878" s="7" t="s">
        <v>4735</v>
      </c>
      <c r="J878" s="9" t="s">
        <v>4736</v>
      </c>
      <c r="K878" s="7" t="s">
        <v>624</v>
      </c>
      <c r="L878" s="12" t="s">
        <v>186</v>
      </c>
    </row>
    <row r="879" customFormat="false" ht="35.25" hidden="false" customHeight="true" outlineLevel="0" collapsed="false">
      <c r="A879" s="7" t="s">
        <v>4737</v>
      </c>
      <c r="B879" s="7" t="s">
        <v>4738</v>
      </c>
      <c r="C879" s="7" t="s">
        <v>4081</v>
      </c>
      <c r="D879" s="7" t="s">
        <v>4739</v>
      </c>
      <c r="E879" s="7" t="s">
        <v>108</v>
      </c>
      <c r="F879" s="7" t="s">
        <v>318</v>
      </c>
      <c r="G879" s="7" t="s">
        <v>319</v>
      </c>
      <c r="H879" s="7" t="s">
        <v>320</v>
      </c>
      <c r="I879" s="7" t="s">
        <v>4740</v>
      </c>
      <c r="J879" s="9" t="s">
        <v>4741</v>
      </c>
      <c r="K879" s="7" t="s">
        <v>724</v>
      </c>
      <c r="L879" s="10" t="s">
        <v>572</v>
      </c>
    </row>
    <row r="880" customFormat="false" ht="35.25" hidden="false" customHeight="true" outlineLevel="0" collapsed="false">
      <c r="A880" s="7" t="s">
        <v>4742</v>
      </c>
      <c r="B880" s="7" t="s">
        <v>4743</v>
      </c>
      <c r="C880" s="7" t="s">
        <v>4081</v>
      </c>
      <c r="D880" s="7" t="s">
        <v>4744</v>
      </c>
      <c r="E880" s="7" t="s">
        <v>108</v>
      </c>
      <c r="F880" s="7" t="s">
        <v>318</v>
      </c>
      <c r="G880" s="7" t="s">
        <v>1671</v>
      </c>
      <c r="H880" s="7" t="s">
        <v>1672</v>
      </c>
      <c r="I880" s="7" t="s">
        <v>4745</v>
      </c>
      <c r="J880" s="9" t="s">
        <v>4746</v>
      </c>
      <c r="K880" s="7" t="s">
        <v>724</v>
      </c>
      <c r="L880" s="10" t="s">
        <v>572</v>
      </c>
    </row>
    <row r="881" customFormat="false" ht="35.25" hidden="false" customHeight="true" outlineLevel="0" collapsed="false">
      <c r="A881" s="7" t="s">
        <v>4747</v>
      </c>
      <c r="B881" s="7" t="s">
        <v>4748</v>
      </c>
      <c r="C881" s="7" t="s">
        <v>4081</v>
      </c>
      <c r="D881" s="7" t="s">
        <v>4749</v>
      </c>
      <c r="E881" s="7" t="s">
        <v>112</v>
      </c>
      <c r="F881" s="7" t="s">
        <v>566</v>
      </c>
      <c r="G881" s="7" t="s">
        <v>4487</v>
      </c>
      <c r="H881" s="7" t="s">
        <v>4488</v>
      </c>
      <c r="I881" s="7" t="s">
        <v>4750</v>
      </c>
      <c r="J881" s="9" t="s">
        <v>4751</v>
      </c>
      <c r="K881" s="7" t="s">
        <v>724</v>
      </c>
      <c r="L881" s="10" t="s">
        <v>572</v>
      </c>
    </row>
    <row r="882" customFormat="false" ht="69.75" hidden="false" customHeight="true" outlineLevel="0" collapsed="false">
      <c r="A882" s="7" t="s">
        <v>4752</v>
      </c>
      <c r="B882" s="7" t="s">
        <v>4753</v>
      </c>
      <c r="C882" s="7" t="s">
        <v>4081</v>
      </c>
      <c r="D882" s="7" t="s">
        <v>4754</v>
      </c>
      <c r="E882" s="7" t="s">
        <v>112</v>
      </c>
      <c r="F882" s="7" t="s">
        <v>566</v>
      </c>
      <c r="G882" s="7" t="s">
        <v>4487</v>
      </c>
      <c r="H882" s="7" t="s">
        <v>4488</v>
      </c>
      <c r="I882" s="7" t="s">
        <v>4755</v>
      </c>
      <c r="J882" s="9" t="s">
        <v>4756</v>
      </c>
      <c r="K882" s="7" t="s">
        <v>724</v>
      </c>
      <c r="L882" s="10" t="s">
        <v>572</v>
      </c>
    </row>
    <row r="883" customFormat="false" ht="35.25" hidden="false" customHeight="true" outlineLevel="0" collapsed="false">
      <c r="A883" s="7" t="s">
        <v>4757</v>
      </c>
      <c r="B883" s="7" t="s">
        <v>4758</v>
      </c>
      <c r="C883" s="7" t="s">
        <v>4081</v>
      </c>
      <c r="D883" s="7" t="s">
        <v>4759</v>
      </c>
      <c r="E883" s="7" t="s">
        <v>108</v>
      </c>
      <c r="F883" s="7" t="s">
        <v>318</v>
      </c>
      <c r="G883" s="7" t="s">
        <v>319</v>
      </c>
      <c r="H883" s="7" t="s">
        <v>320</v>
      </c>
      <c r="I883" s="7" t="s">
        <v>4760</v>
      </c>
      <c r="J883" s="9" t="s">
        <v>4761</v>
      </c>
      <c r="K883" s="7" t="s">
        <v>603</v>
      </c>
      <c r="L883" s="10" t="s">
        <v>572</v>
      </c>
    </row>
    <row r="884" customFormat="false" ht="35.25" hidden="false" customHeight="true" outlineLevel="0" collapsed="false">
      <c r="A884" s="7" t="s">
        <v>4762</v>
      </c>
      <c r="B884" s="7" t="s">
        <v>4763</v>
      </c>
      <c r="C884" s="7" t="s">
        <v>4081</v>
      </c>
      <c r="D884" s="7" t="s">
        <v>4764</v>
      </c>
      <c r="E884" s="7" t="s">
        <v>108</v>
      </c>
      <c r="F884" s="7" t="s">
        <v>318</v>
      </c>
      <c r="G884" s="7" t="s">
        <v>319</v>
      </c>
      <c r="H884" s="7" t="s">
        <v>320</v>
      </c>
      <c r="I884" s="7" t="s">
        <v>4765</v>
      </c>
      <c r="J884" s="9" t="s">
        <v>4766</v>
      </c>
      <c r="K884" s="7" t="s">
        <v>603</v>
      </c>
      <c r="L884" s="10" t="s">
        <v>572</v>
      </c>
    </row>
    <row r="885" customFormat="false" ht="35.25" hidden="false" customHeight="true" outlineLevel="0" collapsed="false">
      <c r="A885" s="7" t="s">
        <v>4767</v>
      </c>
      <c r="B885" s="7" t="s">
        <v>4768</v>
      </c>
      <c r="C885" s="7" t="s">
        <v>4081</v>
      </c>
      <c r="D885" s="7" t="s">
        <v>4769</v>
      </c>
      <c r="E885" s="7" t="s">
        <v>108</v>
      </c>
      <c r="F885" s="7" t="s">
        <v>748</v>
      </c>
      <c r="G885" s="7" t="s">
        <v>749</v>
      </c>
      <c r="H885" s="7" t="s">
        <v>750</v>
      </c>
      <c r="I885" s="7" t="s">
        <v>4770</v>
      </c>
      <c r="J885" s="9" t="s">
        <v>4771</v>
      </c>
      <c r="K885" s="7" t="s">
        <v>603</v>
      </c>
      <c r="L885" s="10" t="s">
        <v>572</v>
      </c>
    </row>
    <row r="886" customFormat="false" ht="52.5" hidden="false" customHeight="true" outlineLevel="0" collapsed="false">
      <c r="A886" s="7" t="s">
        <v>4772</v>
      </c>
      <c r="B886" s="7" t="s">
        <v>4773</v>
      </c>
      <c r="C886" s="7" t="s">
        <v>4774</v>
      </c>
      <c r="D886" s="7" t="s">
        <v>163</v>
      </c>
      <c r="E886" s="7" t="s">
        <v>100</v>
      </c>
      <c r="F886" s="7" t="s">
        <v>164</v>
      </c>
      <c r="G886" s="7" t="s">
        <v>165</v>
      </c>
      <c r="H886" s="7" t="s">
        <v>166</v>
      </c>
      <c r="I886" s="7" t="s">
        <v>4775</v>
      </c>
      <c r="J886" s="9" t="s">
        <v>4776</v>
      </c>
      <c r="K886" s="7" t="s">
        <v>169</v>
      </c>
      <c r="L886" s="10" t="s">
        <v>170</v>
      </c>
    </row>
    <row r="887" customFormat="false" ht="35.25" hidden="false" customHeight="true" outlineLevel="0" collapsed="false">
      <c r="A887" s="7" t="s">
        <v>4777</v>
      </c>
      <c r="B887" s="7" t="s">
        <v>4778</v>
      </c>
      <c r="C887" s="7" t="s">
        <v>4774</v>
      </c>
      <c r="D887" s="7" t="s">
        <v>4779</v>
      </c>
      <c r="E887" s="7" t="s">
        <v>104</v>
      </c>
      <c r="F887" s="7" t="s">
        <v>1274</v>
      </c>
      <c r="G887" s="7" t="s">
        <v>4780</v>
      </c>
      <c r="H887" s="7" t="s">
        <v>4781</v>
      </c>
      <c r="I887" s="7" t="s">
        <v>4782</v>
      </c>
      <c r="J887" s="9" t="s">
        <v>4783</v>
      </c>
      <c r="K887" s="7" t="s">
        <v>624</v>
      </c>
      <c r="L887" s="11" t="s">
        <v>180</v>
      </c>
    </row>
    <row r="888" customFormat="false" ht="87" hidden="false" customHeight="true" outlineLevel="0" collapsed="false">
      <c r="A888" s="7" t="s">
        <v>4784</v>
      </c>
      <c r="B888" s="7" t="s">
        <v>4785</v>
      </c>
      <c r="C888" s="7" t="s">
        <v>4774</v>
      </c>
      <c r="D888" s="7" t="s">
        <v>4786</v>
      </c>
      <c r="E888" s="7" t="s">
        <v>104</v>
      </c>
      <c r="F888" s="7" t="s">
        <v>1274</v>
      </c>
      <c r="G888" s="7" t="s">
        <v>4780</v>
      </c>
      <c r="H888" s="7" t="s">
        <v>4781</v>
      </c>
      <c r="I888" s="7" t="s">
        <v>4787</v>
      </c>
      <c r="J888" s="9" t="s">
        <v>4788</v>
      </c>
      <c r="K888" s="7" t="s">
        <v>624</v>
      </c>
      <c r="L888" s="12" t="s">
        <v>186</v>
      </c>
    </row>
    <row r="889" customFormat="false" ht="87" hidden="false" customHeight="true" outlineLevel="0" collapsed="false">
      <c r="A889" s="7" t="s">
        <v>4789</v>
      </c>
      <c r="B889" s="7" t="s">
        <v>4790</v>
      </c>
      <c r="C889" s="7" t="s">
        <v>4774</v>
      </c>
      <c r="D889" s="7" t="s">
        <v>4791</v>
      </c>
      <c r="E889" s="7" t="s">
        <v>104</v>
      </c>
      <c r="F889" s="7" t="s">
        <v>1274</v>
      </c>
      <c r="G889" s="7" t="s">
        <v>4780</v>
      </c>
      <c r="H889" s="7" t="s">
        <v>4781</v>
      </c>
      <c r="I889" s="7" t="s">
        <v>4792</v>
      </c>
      <c r="J889" s="9" t="s">
        <v>4793</v>
      </c>
      <c r="K889" s="7" t="s">
        <v>624</v>
      </c>
      <c r="L889" s="12" t="s">
        <v>186</v>
      </c>
    </row>
    <row r="890" customFormat="false" ht="87" hidden="false" customHeight="true" outlineLevel="0" collapsed="false">
      <c r="A890" s="7" t="s">
        <v>4794</v>
      </c>
      <c r="B890" s="7" t="s">
        <v>4795</v>
      </c>
      <c r="C890" s="7" t="s">
        <v>4774</v>
      </c>
      <c r="D890" s="7" t="s">
        <v>4796</v>
      </c>
      <c r="E890" s="7" t="s">
        <v>104</v>
      </c>
      <c r="F890" s="7" t="s">
        <v>1274</v>
      </c>
      <c r="G890" s="7" t="s">
        <v>4780</v>
      </c>
      <c r="H890" s="7" t="s">
        <v>4781</v>
      </c>
      <c r="I890" s="7" t="s">
        <v>4797</v>
      </c>
      <c r="J890" s="9" t="s">
        <v>4798</v>
      </c>
      <c r="K890" s="7" t="s">
        <v>624</v>
      </c>
      <c r="L890" s="12" t="s">
        <v>186</v>
      </c>
    </row>
    <row r="891" customFormat="false" ht="87" hidden="false" customHeight="true" outlineLevel="0" collapsed="false">
      <c r="A891" s="7" t="s">
        <v>4799</v>
      </c>
      <c r="B891" s="7" t="s">
        <v>4800</v>
      </c>
      <c r="C891" s="7" t="s">
        <v>4774</v>
      </c>
      <c r="D891" s="7" t="s">
        <v>4801</v>
      </c>
      <c r="E891" s="7" t="s">
        <v>104</v>
      </c>
      <c r="F891" s="7" t="s">
        <v>1274</v>
      </c>
      <c r="G891" s="7" t="s">
        <v>4780</v>
      </c>
      <c r="H891" s="7" t="s">
        <v>4781</v>
      </c>
      <c r="I891" s="7" t="s">
        <v>4802</v>
      </c>
      <c r="J891" s="9" t="s">
        <v>4803</v>
      </c>
      <c r="K891" s="7" t="s">
        <v>624</v>
      </c>
      <c r="L891" s="12" t="s">
        <v>186</v>
      </c>
    </row>
    <row r="892" customFormat="false" ht="87" hidden="false" customHeight="true" outlineLevel="0" collapsed="false">
      <c r="A892" s="7" t="s">
        <v>4804</v>
      </c>
      <c r="B892" s="7" t="s">
        <v>4805</v>
      </c>
      <c r="C892" s="7" t="s">
        <v>4774</v>
      </c>
      <c r="D892" s="7" t="s">
        <v>4806</v>
      </c>
      <c r="E892" s="7" t="s">
        <v>104</v>
      </c>
      <c r="F892" s="7" t="s">
        <v>1274</v>
      </c>
      <c r="G892" s="7" t="s">
        <v>4780</v>
      </c>
      <c r="H892" s="7" t="s">
        <v>4781</v>
      </c>
      <c r="I892" s="7" t="s">
        <v>4807</v>
      </c>
      <c r="J892" s="9" t="s">
        <v>4808</v>
      </c>
      <c r="K892" s="7" t="s">
        <v>624</v>
      </c>
      <c r="L892" s="12" t="s">
        <v>186</v>
      </c>
    </row>
    <row r="893" customFormat="false" ht="35.25" hidden="false" customHeight="true" outlineLevel="0" collapsed="false">
      <c r="A893" s="7" t="s">
        <v>4809</v>
      </c>
      <c r="B893" s="7" t="s">
        <v>4810</v>
      </c>
      <c r="C893" s="7" t="s">
        <v>4774</v>
      </c>
      <c r="D893" s="7" t="s">
        <v>4811</v>
      </c>
      <c r="E893" s="7" t="s">
        <v>112</v>
      </c>
      <c r="F893" s="7" t="s">
        <v>566</v>
      </c>
      <c r="G893" s="7" t="s">
        <v>4487</v>
      </c>
      <c r="H893" s="7" t="s">
        <v>4488</v>
      </c>
      <c r="I893" s="7" t="s">
        <v>4812</v>
      </c>
      <c r="J893" s="9" t="s">
        <v>4813</v>
      </c>
      <c r="K893" s="7" t="s">
        <v>808</v>
      </c>
      <c r="L893" s="11" t="s">
        <v>180</v>
      </c>
    </row>
    <row r="894" customFormat="false" ht="69.75" hidden="false" customHeight="true" outlineLevel="0" collapsed="false">
      <c r="A894" s="7" t="s">
        <v>4814</v>
      </c>
      <c r="B894" s="7" t="s">
        <v>4815</v>
      </c>
      <c r="C894" s="7" t="s">
        <v>4774</v>
      </c>
      <c r="D894" s="7" t="s">
        <v>4816</v>
      </c>
      <c r="E894" s="7" t="s">
        <v>112</v>
      </c>
      <c r="F894" s="7" t="s">
        <v>566</v>
      </c>
      <c r="G894" s="7" t="s">
        <v>4487</v>
      </c>
      <c r="H894" s="7" t="s">
        <v>4488</v>
      </c>
      <c r="I894" s="7" t="s">
        <v>4817</v>
      </c>
      <c r="J894" s="9" t="s">
        <v>4818</v>
      </c>
      <c r="K894" s="7" t="s">
        <v>808</v>
      </c>
      <c r="L894" s="11" t="s">
        <v>180</v>
      </c>
    </row>
    <row r="895" customFormat="false" ht="69.75" hidden="false" customHeight="true" outlineLevel="0" collapsed="false">
      <c r="A895" s="7" t="s">
        <v>4819</v>
      </c>
      <c r="B895" s="7" t="s">
        <v>4820</v>
      </c>
      <c r="C895" s="7" t="s">
        <v>4774</v>
      </c>
      <c r="D895" s="7" t="s">
        <v>4821</v>
      </c>
      <c r="E895" s="7" t="s">
        <v>112</v>
      </c>
      <c r="F895" s="7" t="s">
        <v>566</v>
      </c>
      <c r="G895" s="7" t="s">
        <v>4487</v>
      </c>
      <c r="H895" s="7" t="s">
        <v>4488</v>
      </c>
      <c r="I895" s="7" t="s">
        <v>4822</v>
      </c>
      <c r="J895" s="9" t="s">
        <v>4823</v>
      </c>
      <c r="K895" s="7" t="s">
        <v>808</v>
      </c>
      <c r="L895" s="12" t="s">
        <v>186</v>
      </c>
    </row>
    <row r="896" customFormat="false" ht="87" hidden="false" customHeight="true" outlineLevel="0" collapsed="false">
      <c r="A896" s="7" t="s">
        <v>4824</v>
      </c>
      <c r="B896" s="7" t="s">
        <v>4825</v>
      </c>
      <c r="C896" s="7" t="s">
        <v>4774</v>
      </c>
      <c r="D896" s="7" t="s">
        <v>4826</v>
      </c>
      <c r="E896" s="7" t="s">
        <v>112</v>
      </c>
      <c r="F896" s="7" t="s">
        <v>566</v>
      </c>
      <c r="G896" s="7" t="s">
        <v>4487</v>
      </c>
      <c r="H896" s="7" t="s">
        <v>4488</v>
      </c>
      <c r="I896" s="7" t="s">
        <v>4827</v>
      </c>
      <c r="J896" s="9" t="s">
        <v>4828</v>
      </c>
      <c r="K896" s="7" t="s">
        <v>808</v>
      </c>
      <c r="L896" s="12" t="s">
        <v>186</v>
      </c>
    </row>
    <row r="897" customFormat="false" ht="69.75" hidden="false" customHeight="true" outlineLevel="0" collapsed="false">
      <c r="A897" s="7" t="s">
        <v>4829</v>
      </c>
      <c r="B897" s="7" t="s">
        <v>4830</v>
      </c>
      <c r="C897" s="7" t="s">
        <v>4774</v>
      </c>
      <c r="D897" s="7" t="s">
        <v>4831</v>
      </c>
      <c r="E897" s="7" t="s">
        <v>112</v>
      </c>
      <c r="F897" s="7" t="s">
        <v>566</v>
      </c>
      <c r="G897" s="7" t="s">
        <v>4487</v>
      </c>
      <c r="H897" s="7" t="s">
        <v>4488</v>
      </c>
      <c r="I897" s="7" t="s">
        <v>4832</v>
      </c>
      <c r="J897" s="9" t="s">
        <v>4833</v>
      </c>
      <c r="K897" s="7" t="s">
        <v>808</v>
      </c>
      <c r="L897" s="12" t="s">
        <v>186</v>
      </c>
    </row>
    <row r="898" customFormat="false" ht="35.25" hidden="false" customHeight="true" outlineLevel="0" collapsed="false">
      <c r="A898" s="7" t="s">
        <v>4834</v>
      </c>
      <c r="B898" s="7" t="s">
        <v>4835</v>
      </c>
      <c r="C898" s="7" t="s">
        <v>4774</v>
      </c>
      <c r="D898" s="7" t="s">
        <v>4836</v>
      </c>
      <c r="E898" s="7" t="s">
        <v>112</v>
      </c>
      <c r="F898" s="7" t="s">
        <v>566</v>
      </c>
      <c r="G898" s="7" t="s">
        <v>4487</v>
      </c>
      <c r="H898" s="7" t="s">
        <v>4488</v>
      </c>
      <c r="I898" s="7" t="s">
        <v>4837</v>
      </c>
      <c r="J898" s="9" t="s">
        <v>4838</v>
      </c>
      <c r="K898" s="7" t="s">
        <v>1070</v>
      </c>
      <c r="L898" s="11" t="s">
        <v>180</v>
      </c>
    </row>
    <row r="899" customFormat="false" ht="69.75" hidden="false" customHeight="true" outlineLevel="0" collapsed="false">
      <c r="A899" s="7" t="s">
        <v>4839</v>
      </c>
      <c r="B899" s="7" t="s">
        <v>4840</v>
      </c>
      <c r="C899" s="7" t="s">
        <v>4774</v>
      </c>
      <c r="D899" s="7" t="s">
        <v>4841</v>
      </c>
      <c r="E899" s="7" t="s">
        <v>112</v>
      </c>
      <c r="F899" s="7" t="s">
        <v>566</v>
      </c>
      <c r="G899" s="7" t="s">
        <v>4487</v>
      </c>
      <c r="H899" s="7" t="s">
        <v>4488</v>
      </c>
      <c r="I899" s="7" t="s">
        <v>4842</v>
      </c>
      <c r="J899" s="9" t="s">
        <v>4843</v>
      </c>
      <c r="K899" s="7" t="s">
        <v>1070</v>
      </c>
      <c r="L899" s="12" t="s">
        <v>186</v>
      </c>
    </row>
    <row r="900" customFormat="false" ht="87" hidden="false" customHeight="true" outlineLevel="0" collapsed="false">
      <c r="A900" s="7" t="s">
        <v>4844</v>
      </c>
      <c r="B900" s="7" t="s">
        <v>4845</v>
      </c>
      <c r="C900" s="7" t="s">
        <v>4774</v>
      </c>
      <c r="D900" s="7" t="s">
        <v>4846</v>
      </c>
      <c r="E900" s="7" t="s">
        <v>112</v>
      </c>
      <c r="F900" s="7" t="s">
        <v>566</v>
      </c>
      <c r="G900" s="7" t="s">
        <v>4487</v>
      </c>
      <c r="H900" s="7" t="s">
        <v>4488</v>
      </c>
      <c r="I900" s="7" t="s">
        <v>4847</v>
      </c>
      <c r="J900" s="9" t="s">
        <v>4848</v>
      </c>
      <c r="K900" s="7" t="s">
        <v>1070</v>
      </c>
      <c r="L900" s="12" t="s">
        <v>186</v>
      </c>
    </row>
    <row r="901" customFormat="false" ht="69.75" hidden="false" customHeight="true" outlineLevel="0" collapsed="false">
      <c r="A901" s="7" t="s">
        <v>4849</v>
      </c>
      <c r="B901" s="7" t="s">
        <v>4850</v>
      </c>
      <c r="C901" s="7" t="s">
        <v>4774</v>
      </c>
      <c r="D901" s="7" t="s">
        <v>4851</v>
      </c>
      <c r="E901" s="7" t="s">
        <v>112</v>
      </c>
      <c r="F901" s="7" t="s">
        <v>566</v>
      </c>
      <c r="G901" s="7" t="s">
        <v>4487</v>
      </c>
      <c r="H901" s="7" t="s">
        <v>4488</v>
      </c>
      <c r="I901" s="7" t="s">
        <v>4852</v>
      </c>
      <c r="J901" s="9" t="s">
        <v>4853</v>
      </c>
      <c r="K901" s="7" t="s">
        <v>1070</v>
      </c>
      <c r="L901" s="12" t="s">
        <v>186</v>
      </c>
    </row>
    <row r="902" customFormat="false" ht="69.75" hidden="false" customHeight="true" outlineLevel="0" collapsed="false">
      <c r="A902" s="7" t="s">
        <v>4854</v>
      </c>
      <c r="B902" s="7" t="s">
        <v>4855</v>
      </c>
      <c r="C902" s="7" t="s">
        <v>4774</v>
      </c>
      <c r="D902" s="7" t="s">
        <v>4856</v>
      </c>
      <c r="E902" s="7" t="s">
        <v>112</v>
      </c>
      <c r="F902" s="7" t="s">
        <v>566</v>
      </c>
      <c r="G902" s="7" t="s">
        <v>4487</v>
      </c>
      <c r="H902" s="7" t="s">
        <v>4488</v>
      </c>
      <c r="I902" s="7" t="s">
        <v>4857</v>
      </c>
      <c r="J902" s="9" t="s">
        <v>4858</v>
      </c>
      <c r="K902" s="7" t="s">
        <v>1070</v>
      </c>
      <c r="L902" s="12" t="s">
        <v>186</v>
      </c>
    </row>
    <row r="903" customFormat="false" ht="69.75" hidden="false" customHeight="true" outlineLevel="0" collapsed="false">
      <c r="A903" s="7" t="s">
        <v>4859</v>
      </c>
      <c r="B903" s="7" t="s">
        <v>4860</v>
      </c>
      <c r="C903" s="7" t="s">
        <v>4774</v>
      </c>
      <c r="D903" s="7" t="s">
        <v>4861</v>
      </c>
      <c r="E903" s="7" t="s">
        <v>112</v>
      </c>
      <c r="F903" s="7" t="s">
        <v>566</v>
      </c>
      <c r="G903" s="7" t="s">
        <v>4487</v>
      </c>
      <c r="H903" s="7" t="s">
        <v>4488</v>
      </c>
      <c r="I903" s="7" t="s">
        <v>4862</v>
      </c>
      <c r="J903" s="9" t="s">
        <v>4863</v>
      </c>
      <c r="K903" s="7" t="s">
        <v>1070</v>
      </c>
      <c r="L903" s="12" t="s">
        <v>186</v>
      </c>
    </row>
    <row r="904" customFormat="false" ht="69.75" hidden="false" customHeight="true" outlineLevel="0" collapsed="false">
      <c r="A904" s="7" t="s">
        <v>4864</v>
      </c>
      <c r="B904" s="7" t="s">
        <v>4865</v>
      </c>
      <c r="C904" s="7" t="s">
        <v>4774</v>
      </c>
      <c r="D904" s="7" t="s">
        <v>4866</v>
      </c>
      <c r="E904" s="7" t="s">
        <v>112</v>
      </c>
      <c r="F904" s="7" t="s">
        <v>566</v>
      </c>
      <c r="G904" s="7" t="s">
        <v>4487</v>
      </c>
      <c r="H904" s="7" t="s">
        <v>4488</v>
      </c>
      <c r="I904" s="7" t="s">
        <v>4867</v>
      </c>
      <c r="J904" s="9" t="s">
        <v>4868</v>
      </c>
      <c r="K904" s="7" t="s">
        <v>1070</v>
      </c>
      <c r="L904" s="12" t="s">
        <v>186</v>
      </c>
    </row>
    <row r="905" customFormat="false" ht="69.75" hidden="false" customHeight="true" outlineLevel="0" collapsed="false">
      <c r="A905" s="7" t="s">
        <v>4869</v>
      </c>
      <c r="B905" s="7" t="s">
        <v>4870</v>
      </c>
      <c r="C905" s="7" t="s">
        <v>4774</v>
      </c>
      <c r="D905" s="7" t="s">
        <v>4871</v>
      </c>
      <c r="E905" s="7" t="s">
        <v>112</v>
      </c>
      <c r="F905" s="7" t="s">
        <v>566</v>
      </c>
      <c r="G905" s="7" t="s">
        <v>4487</v>
      </c>
      <c r="H905" s="7" t="s">
        <v>4488</v>
      </c>
      <c r="I905" s="7" t="s">
        <v>4872</v>
      </c>
      <c r="J905" s="9" t="s">
        <v>4873</v>
      </c>
      <c r="K905" s="7" t="s">
        <v>1070</v>
      </c>
      <c r="L905" s="12" t="s">
        <v>186</v>
      </c>
    </row>
    <row r="906" customFormat="false" ht="69.75" hidden="false" customHeight="true" outlineLevel="0" collapsed="false">
      <c r="A906" s="7" t="s">
        <v>4874</v>
      </c>
      <c r="B906" s="7" t="s">
        <v>4875</v>
      </c>
      <c r="C906" s="7" t="s">
        <v>4774</v>
      </c>
      <c r="D906" s="7" t="s">
        <v>4876</v>
      </c>
      <c r="E906" s="7" t="s">
        <v>112</v>
      </c>
      <c r="F906" s="7" t="s">
        <v>566</v>
      </c>
      <c r="G906" s="7" t="s">
        <v>4487</v>
      </c>
      <c r="H906" s="7" t="s">
        <v>4488</v>
      </c>
      <c r="I906" s="7" t="s">
        <v>4877</v>
      </c>
      <c r="J906" s="9" t="s">
        <v>4878</v>
      </c>
      <c r="K906" s="7" t="s">
        <v>1070</v>
      </c>
      <c r="L906" s="11" t="s">
        <v>180</v>
      </c>
    </row>
    <row r="907" customFormat="false" ht="69.75" hidden="false" customHeight="true" outlineLevel="0" collapsed="false">
      <c r="A907" s="7" t="s">
        <v>4879</v>
      </c>
      <c r="B907" s="7" t="s">
        <v>4880</v>
      </c>
      <c r="C907" s="7" t="s">
        <v>4774</v>
      </c>
      <c r="D907" s="7" t="s">
        <v>4881</v>
      </c>
      <c r="E907" s="7" t="s">
        <v>112</v>
      </c>
      <c r="F907" s="7" t="s">
        <v>566</v>
      </c>
      <c r="G907" s="7" t="s">
        <v>4487</v>
      </c>
      <c r="H907" s="7" t="s">
        <v>4488</v>
      </c>
      <c r="I907" s="7" t="s">
        <v>4882</v>
      </c>
      <c r="J907" s="9" t="s">
        <v>4883</v>
      </c>
      <c r="K907" s="7" t="s">
        <v>1070</v>
      </c>
      <c r="L907" s="12" t="s">
        <v>186</v>
      </c>
    </row>
    <row r="908" customFormat="false" ht="69.75" hidden="false" customHeight="true" outlineLevel="0" collapsed="false">
      <c r="A908" s="7" t="s">
        <v>4884</v>
      </c>
      <c r="B908" s="7" t="s">
        <v>4885</v>
      </c>
      <c r="C908" s="7" t="s">
        <v>4774</v>
      </c>
      <c r="D908" s="7" t="s">
        <v>4886</v>
      </c>
      <c r="E908" s="7" t="s">
        <v>112</v>
      </c>
      <c r="F908" s="7" t="s">
        <v>566</v>
      </c>
      <c r="G908" s="7" t="s">
        <v>4487</v>
      </c>
      <c r="H908" s="7" t="s">
        <v>4488</v>
      </c>
      <c r="I908" s="7" t="s">
        <v>4887</v>
      </c>
      <c r="J908" s="9" t="s">
        <v>4888</v>
      </c>
      <c r="K908" s="7" t="s">
        <v>1070</v>
      </c>
      <c r="L908" s="12" t="s">
        <v>186</v>
      </c>
    </row>
    <row r="909" customFormat="false" ht="69.75" hidden="false" customHeight="true" outlineLevel="0" collapsed="false">
      <c r="A909" s="7" t="s">
        <v>4889</v>
      </c>
      <c r="B909" s="7" t="s">
        <v>4890</v>
      </c>
      <c r="C909" s="7" t="s">
        <v>4774</v>
      </c>
      <c r="D909" s="7" t="s">
        <v>4891</v>
      </c>
      <c r="E909" s="7" t="s">
        <v>112</v>
      </c>
      <c r="F909" s="7" t="s">
        <v>566</v>
      </c>
      <c r="G909" s="7" t="s">
        <v>4487</v>
      </c>
      <c r="H909" s="7" t="s">
        <v>4488</v>
      </c>
      <c r="I909" s="7" t="s">
        <v>4892</v>
      </c>
      <c r="J909" s="9" t="s">
        <v>4893</v>
      </c>
      <c r="K909" s="7" t="s">
        <v>1070</v>
      </c>
      <c r="L909" s="12" t="s">
        <v>186</v>
      </c>
    </row>
    <row r="910" customFormat="false" ht="69.75" hidden="false" customHeight="true" outlineLevel="0" collapsed="false">
      <c r="A910" s="7" t="s">
        <v>4894</v>
      </c>
      <c r="B910" s="7" t="s">
        <v>4895</v>
      </c>
      <c r="C910" s="7" t="s">
        <v>4774</v>
      </c>
      <c r="D910" s="7" t="s">
        <v>4896</v>
      </c>
      <c r="E910" s="7" t="s">
        <v>112</v>
      </c>
      <c r="F910" s="7" t="s">
        <v>566</v>
      </c>
      <c r="G910" s="7" t="s">
        <v>4487</v>
      </c>
      <c r="H910" s="7" t="s">
        <v>4488</v>
      </c>
      <c r="I910" s="7" t="s">
        <v>4897</v>
      </c>
      <c r="J910" s="9" t="s">
        <v>4898</v>
      </c>
      <c r="K910" s="7" t="s">
        <v>1070</v>
      </c>
      <c r="L910" s="12" t="s">
        <v>186</v>
      </c>
    </row>
    <row r="911" customFormat="false" ht="69.75" hidden="false" customHeight="true" outlineLevel="0" collapsed="false">
      <c r="A911" s="7" t="s">
        <v>4899</v>
      </c>
      <c r="B911" s="7" t="s">
        <v>4900</v>
      </c>
      <c r="C911" s="7" t="s">
        <v>4774</v>
      </c>
      <c r="D911" s="7" t="s">
        <v>4901</v>
      </c>
      <c r="E911" s="7" t="s">
        <v>112</v>
      </c>
      <c r="F911" s="7" t="s">
        <v>566</v>
      </c>
      <c r="G911" s="7" t="s">
        <v>4487</v>
      </c>
      <c r="H911" s="7" t="s">
        <v>4488</v>
      </c>
      <c r="I911" s="7" t="s">
        <v>4902</v>
      </c>
      <c r="J911" s="9" t="s">
        <v>4903</v>
      </c>
      <c r="K911" s="7" t="s">
        <v>1070</v>
      </c>
      <c r="L911" s="12" t="s">
        <v>186</v>
      </c>
    </row>
    <row r="912" customFormat="false" ht="69.75" hidden="false" customHeight="true" outlineLevel="0" collapsed="false">
      <c r="A912" s="7" t="s">
        <v>4904</v>
      </c>
      <c r="B912" s="7" t="s">
        <v>4905</v>
      </c>
      <c r="C912" s="7" t="s">
        <v>4774</v>
      </c>
      <c r="D912" s="7" t="s">
        <v>4906</v>
      </c>
      <c r="E912" s="7" t="s">
        <v>112</v>
      </c>
      <c r="F912" s="7" t="s">
        <v>566</v>
      </c>
      <c r="G912" s="7" t="s">
        <v>4487</v>
      </c>
      <c r="H912" s="7" t="s">
        <v>4488</v>
      </c>
      <c r="I912" s="7" t="s">
        <v>4907</v>
      </c>
      <c r="J912" s="9" t="s">
        <v>4908</v>
      </c>
      <c r="K912" s="7" t="s">
        <v>1070</v>
      </c>
      <c r="L912" s="12" t="s">
        <v>186</v>
      </c>
    </row>
    <row r="913" customFormat="false" ht="69.75" hidden="false" customHeight="true" outlineLevel="0" collapsed="false">
      <c r="A913" s="7" t="s">
        <v>4909</v>
      </c>
      <c r="B913" s="7" t="s">
        <v>4910</v>
      </c>
      <c r="C913" s="7" t="s">
        <v>4774</v>
      </c>
      <c r="D913" s="7" t="s">
        <v>4911</v>
      </c>
      <c r="E913" s="7" t="s">
        <v>112</v>
      </c>
      <c r="F913" s="7" t="s">
        <v>566</v>
      </c>
      <c r="G913" s="7" t="s">
        <v>4487</v>
      </c>
      <c r="H913" s="7" t="s">
        <v>4488</v>
      </c>
      <c r="I913" s="7" t="s">
        <v>4912</v>
      </c>
      <c r="J913" s="9" t="s">
        <v>4913</v>
      </c>
      <c r="K913" s="7" t="s">
        <v>1070</v>
      </c>
      <c r="L913" s="12" t="s">
        <v>186</v>
      </c>
    </row>
    <row r="914" customFormat="false" ht="69.75" hidden="false" customHeight="true" outlineLevel="0" collapsed="false">
      <c r="A914" s="7" t="s">
        <v>4914</v>
      </c>
      <c r="B914" s="7" t="s">
        <v>4915</v>
      </c>
      <c r="C914" s="7" t="s">
        <v>4774</v>
      </c>
      <c r="D914" s="7" t="s">
        <v>4916</v>
      </c>
      <c r="E914" s="7" t="s">
        <v>112</v>
      </c>
      <c r="F914" s="7" t="s">
        <v>566</v>
      </c>
      <c r="G914" s="7" t="s">
        <v>4487</v>
      </c>
      <c r="H914" s="7" t="s">
        <v>4488</v>
      </c>
      <c r="I914" s="7" t="s">
        <v>4917</v>
      </c>
      <c r="J914" s="9" t="s">
        <v>4918</v>
      </c>
      <c r="K914" s="7" t="s">
        <v>1070</v>
      </c>
      <c r="L914" s="12" t="s">
        <v>186</v>
      </c>
    </row>
    <row r="915" customFormat="false" ht="69.75" hidden="false" customHeight="true" outlineLevel="0" collapsed="false">
      <c r="A915" s="7" t="s">
        <v>4919</v>
      </c>
      <c r="B915" s="7" t="s">
        <v>4920</v>
      </c>
      <c r="C915" s="7" t="s">
        <v>4774</v>
      </c>
      <c r="D915" s="7" t="s">
        <v>4921</v>
      </c>
      <c r="E915" s="7" t="s">
        <v>112</v>
      </c>
      <c r="F915" s="7" t="s">
        <v>566</v>
      </c>
      <c r="G915" s="7" t="s">
        <v>4487</v>
      </c>
      <c r="H915" s="7" t="s">
        <v>4488</v>
      </c>
      <c r="I915" s="7" t="s">
        <v>4922</v>
      </c>
      <c r="J915" s="9" t="s">
        <v>4923</v>
      </c>
      <c r="K915" s="7" t="s">
        <v>1070</v>
      </c>
      <c r="L915" s="12" t="s">
        <v>186</v>
      </c>
    </row>
    <row r="916" customFormat="false" ht="69.75" hidden="false" customHeight="true" outlineLevel="0" collapsed="false">
      <c r="A916" s="7" t="s">
        <v>4924</v>
      </c>
      <c r="B916" s="7" t="s">
        <v>4925</v>
      </c>
      <c r="C916" s="7" t="s">
        <v>4774</v>
      </c>
      <c r="D916" s="7" t="s">
        <v>4926</v>
      </c>
      <c r="E916" s="7" t="s">
        <v>112</v>
      </c>
      <c r="F916" s="7" t="s">
        <v>566</v>
      </c>
      <c r="G916" s="7" t="s">
        <v>4487</v>
      </c>
      <c r="H916" s="7" t="s">
        <v>4488</v>
      </c>
      <c r="I916" s="7" t="s">
        <v>4927</v>
      </c>
      <c r="J916" s="9" t="s">
        <v>4928</v>
      </c>
      <c r="K916" s="7" t="s">
        <v>1070</v>
      </c>
      <c r="L916" s="11" t="s">
        <v>180</v>
      </c>
    </row>
    <row r="917" customFormat="false" ht="69.75" hidden="false" customHeight="true" outlineLevel="0" collapsed="false">
      <c r="A917" s="7" t="s">
        <v>4929</v>
      </c>
      <c r="B917" s="7" t="s">
        <v>4930</v>
      </c>
      <c r="C917" s="7" t="s">
        <v>4774</v>
      </c>
      <c r="D917" s="7" t="s">
        <v>4931</v>
      </c>
      <c r="E917" s="7" t="s">
        <v>112</v>
      </c>
      <c r="F917" s="7" t="s">
        <v>566</v>
      </c>
      <c r="G917" s="7" t="s">
        <v>4487</v>
      </c>
      <c r="H917" s="7" t="s">
        <v>4488</v>
      </c>
      <c r="I917" s="7" t="s">
        <v>4932</v>
      </c>
      <c r="J917" s="9" t="s">
        <v>4933</v>
      </c>
      <c r="K917" s="7" t="s">
        <v>1070</v>
      </c>
      <c r="L917" s="12" t="s">
        <v>186</v>
      </c>
    </row>
    <row r="918" customFormat="false" ht="69.75" hidden="false" customHeight="true" outlineLevel="0" collapsed="false">
      <c r="A918" s="7" t="s">
        <v>4934</v>
      </c>
      <c r="B918" s="7" t="s">
        <v>4935</v>
      </c>
      <c r="C918" s="7" t="s">
        <v>4774</v>
      </c>
      <c r="D918" s="7" t="s">
        <v>4936</v>
      </c>
      <c r="E918" s="7" t="s">
        <v>112</v>
      </c>
      <c r="F918" s="7" t="s">
        <v>566</v>
      </c>
      <c r="G918" s="7" t="s">
        <v>4487</v>
      </c>
      <c r="H918" s="7" t="s">
        <v>4488</v>
      </c>
      <c r="I918" s="7" t="s">
        <v>4937</v>
      </c>
      <c r="J918" s="9" t="s">
        <v>4938</v>
      </c>
      <c r="K918" s="7" t="s">
        <v>1070</v>
      </c>
      <c r="L918" s="12" t="s">
        <v>186</v>
      </c>
    </row>
    <row r="919" customFormat="false" ht="69.75" hidden="false" customHeight="true" outlineLevel="0" collapsed="false">
      <c r="A919" s="7" t="s">
        <v>4939</v>
      </c>
      <c r="B919" s="7" t="s">
        <v>4940</v>
      </c>
      <c r="C919" s="7" t="s">
        <v>4774</v>
      </c>
      <c r="D919" s="7" t="s">
        <v>4941</v>
      </c>
      <c r="E919" s="7" t="s">
        <v>112</v>
      </c>
      <c r="F919" s="7" t="s">
        <v>566</v>
      </c>
      <c r="G919" s="7" t="s">
        <v>4487</v>
      </c>
      <c r="H919" s="7" t="s">
        <v>4488</v>
      </c>
      <c r="I919" s="7" t="s">
        <v>4942</v>
      </c>
      <c r="J919" s="9" t="s">
        <v>4943</v>
      </c>
      <c r="K919" s="7" t="s">
        <v>1070</v>
      </c>
      <c r="L919" s="12" t="s">
        <v>186</v>
      </c>
    </row>
    <row r="920" customFormat="false" ht="69.75" hidden="false" customHeight="true" outlineLevel="0" collapsed="false">
      <c r="A920" s="7" t="s">
        <v>4944</v>
      </c>
      <c r="B920" s="7" t="s">
        <v>4945</v>
      </c>
      <c r="C920" s="7" t="s">
        <v>4774</v>
      </c>
      <c r="D920" s="7" t="s">
        <v>4946</v>
      </c>
      <c r="E920" s="7" t="s">
        <v>112</v>
      </c>
      <c r="F920" s="7" t="s">
        <v>566</v>
      </c>
      <c r="G920" s="7" t="s">
        <v>4487</v>
      </c>
      <c r="H920" s="7" t="s">
        <v>4488</v>
      </c>
      <c r="I920" s="7" t="s">
        <v>4947</v>
      </c>
      <c r="J920" s="9" t="s">
        <v>4948</v>
      </c>
      <c r="K920" s="7" t="s">
        <v>1070</v>
      </c>
      <c r="L920" s="12" t="s">
        <v>186</v>
      </c>
    </row>
    <row r="921" customFormat="false" ht="69.75" hidden="false" customHeight="true" outlineLevel="0" collapsed="false">
      <c r="A921" s="7" t="s">
        <v>4949</v>
      </c>
      <c r="B921" s="7" t="s">
        <v>4950</v>
      </c>
      <c r="C921" s="7" t="s">
        <v>4774</v>
      </c>
      <c r="D921" s="7" t="s">
        <v>4951</v>
      </c>
      <c r="E921" s="7" t="s">
        <v>112</v>
      </c>
      <c r="F921" s="7" t="s">
        <v>566</v>
      </c>
      <c r="G921" s="7" t="s">
        <v>4487</v>
      </c>
      <c r="H921" s="7" t="s">
        <v>4488</v>
      </c>
      <c r="I921" s="7" t="s">
        <v>4952</v>
      </c>
      <c r="J921" s="9" t="s">
        <v>4953</v>
      </c>
      <c r="K921" s="7" t="s">
        <v>1070</v>
      </c>
      <c r="L921" s="12" t="s">
        <v>186</v>
      </c>
    </row>
    <row r="922" customFormat="false" ht="35.25" hidden="false" customHeight="true" outlineLevel="0" collapsed="false">
      <c r="A922" s="7" t="s">
        <v>4954</v>
      </c>
      <c r="B922" s="7" t="s">
        <v>4955</v>
      </c>
      <c r="C922" s="7" t="s">
        <v>4774</v>
      </c>
      <c r="D922" s="7" t="s">
        <v>4956</v>
      </c>
      <c r="E922" s="7" t="s">
        <v>104</v>
      </c>
      <c r="F922" s="7" t="s">
        <v>1274</v>
      </c>
      <c r="G922" s="7" t="s">
        <v>3108</v>
      </c>
      <c r="H922" s="7" t="s">
        <v>3109</v>
      </c>
      <c r="I922" s="7" t="s">
        <v>4957</v>
      </c>
      <c r="J922" s="9" t="s">
        <v>4958</v>
      </c>
      <c r="K922" s="7" t="s">
        <v>4959</v>
      </c>
      <c r="L922" s="12" t="s">
        <v>186</v>
      </c>
    </row>
    <row r="923" customFormat="false" ht="87" hidden="false" customHeight="true" outlineLevel="0" collapsed="false">
      <c r="A923" s="7" t="s">
        <v>4960</v>
      </c>
      <c r="B923" s="7" t="s">
        <v>4961</v>
      </c>
      <c r="C923" s="7" t="s">
        <v>4774</v>
      </c>
      <c r="D923" s="7" t="s">
        <v>4962</v>
      </c>
      <c r="E923" s="7" t="s">
        <v>104</v>
      </c>
      <c r="F923" s="7" t="s">
        <v>1274</v>
      </c>
      <c r="G923" s="7" t="s">
        <v>3108</v>
      </c>
      <c r="H923" s="7" t="s">
        <v>3109</v>
      </c>
      <c r="I923" s="7" t="s">
        <v>4963</v>
      </c>
      <c r="J923" s="9" t="s">
        <v>4964</v>
      </c>
      <c r="K923" s="7" t="s">
        <v>4959</v>
      </c>
      <c r="L923" s="10" t="s">
        <v>572</v>
      </c>
    </row>
    <row r="924" customFormat="false" ht="35.25" hidden="false" customHeight="true" outlineLevel="0" collapsed="false">
      <c r="A924" s="7" t="s">
        <v>4965</v>
      </c>
      <c r="B924" s="7" t="s">
        <v>4966</v>
      </c>
      <c r="C924" s="7" t="s">
        <v>4774</v>
      </c>
      <c r="D924" s="7" t="s">
        <v>4967</v>
      </c>
      <c r="E924" s="7" t="s">
        <v>108</v>
      </c>
      <c r="F924" s="7" t="s">
        <v>748</v>
      </c>
      <c r="G924" s="7" t="s">
        <v>749</v>
      </c>
      <c r="H924" s="7" t="s">
        <v>750</v>
      </c>
      <c r="I924" s="7" t="s">
        <v>4968</v>
      </c>
      <c r="J924" s="9" t="s">
        <v>4969</v>
      </c>
      <c r="K924" s="7" t="s">
        <v>808</v>
      </c>
      <c r="L924" s="12" t="s">
        <v>186</v>
      </c>
    </row>
    <row r="925" customFormat="false" ht="87" hidden="false" customHeight="true" outlineLevel="0" collapsed="false">
      <c r="A925" s="7" t="s">
        <v>4970</v>
      </c>
      <c r="B925" s="7" t="s">
        <v>4971</v>
      </c>
      <c r="C925" s="7" t="s">
        <v>4774</v>
      </c>
      <c r="D925" s="7" t="s">
        <v>4972</v>
      </c>
      <c r="E925" s="7" t="s">
        <v>108</v>
      </c>
      <c r="F925" s="7" t="s">
        <v>748</v>
      </c>
      <c r="G925" s="7" t="s">
        <v>749</v>
      </c>
      <c r="H925" s="7" t="s">
        <v>750</v>
      </c>
      <c r="I925" s="7" t="s">
        <v>4973</v>
      </c>
      <c r="J925" s="9" t="s">
        <v>4974</v>
      </c>
      <c r="K925" s="7" t="s">
        <v>808</v>
      </c>
      <c r="L925" s="10" t="s">
        <v>572</v>
      </c>
    </row>
    <row r="926" customFormat="false" ht="69.75" hidden="false" customHeight="true" outlineLevel="0" collapsed="false">
      <c r="A926" s="7" t="s">
        <v>4975</v>
      </c>
      <c r="B926" s="7" t="s">
        <v>4976</v>
      </c>
      <c r="C926" s="7" t="s">
        <v>4774</v>
      </c>
      <c r="D926" s="7" t="s">
        <v>4977</v>
      </c>
      <c r="E926" s="7" t="s">
        <v>108</v>
      </c>
      <c r="F926" s="7" t="s">
        <v>748</v>
      </c>
      <c r="G926" s="7" t="s">
        <v>749</v>
      </c>
      <c r="H926" s="7" t="s">
        <v>750</v>
      </c>
      <c r="I926" s="7" t="s">
        <v>4978</v>
      </c>
      <c r="J926" s="9" t="s">
        <v>4979</v>
      </c>
      <c r="K926" s="7" t="s">
        <v>808</v>
      </c>
      <c r="L926" s="10" t="s">
        <v>572</v>
      </c>
    </row>
    <row r="927" customFormat="false" ht="35.25" hidden="false" customHeight="true" outlineLevel="0" collapsed="false">
      <c r="A927" s="7" t="s">
        <v>4980</v>
      </c>
      <c r="B927" s="7" t="s">
        <v>4981</v>
      </c>
      <c r="C927" s="7" t="s">
        <v>4774</v>
      </c>
      <c r="D927" s="7" t="s">
        <v>4982</v>
      </c>
      <c r="E927" s="7" t="s">
        <v>108</v>
      </c>
      <c r="F927" s="7" t="s">
        <v>628</v>
      </c>
      <c r="G927" s="7" t="s">
        <v>629</v>
      </c>
      <c r="H927" s="7" t="s">
        <v>630</v>
      </c>
      <c r="I927" s="7" t="s">
        <v>4983</v>
      </c>
      <c r="J927" s="9" t="s">
        <v>4984</v>
      </c>
      <c r="K927" s="7" t="s">
        <v>624</v>
      </c>
      <c r="L927" s="11" t="s">
        <v>180</v>
      </c>
    </row>
    <row r="928" customFormat="false" ht="69.75" hidden="false" customHeight="true" outlineLevel="0" collapsed="false">
      <c r="A928" s="7" t="s">
        <v>4985</v>
      </c>
      <c r="B928" s="7" t="s">
        <v>4986</v>
      </c>
      <c r="C928" s="7" t="s">
        <v>4774</v>
      </c>
      <c r="D928" s="7" t="s">
        <v>4987</v>
      </c>
      <c r="E928" s="7" t="s">
        <v>108</v>
      </c>
      <c r="F928" s="7" t="s">
        <v>628</v>
      </c>
      <c r="G928" s="7" t="s">
        <v>629</v>
      </c>
      <c r="H928" s="7" t="s">
        <v>630</v>
      </c>
      <c r="I928" s="7" t="s">
        <v>4988</v>
      </c>
      <c r="J928" s="9" t="s">
        <v>4989</v>
      </c>
      <c r="K928" s="7" t="s">
        <v>624</v>
      </c>
      <c r="L928" s="11" t="s">
        <v>180</v>
      </c>
    </row>
    <row r="929" customFormat="false" ht="87" hidden="false" customHeight="true" outlineLevel="0" collapsed="false">
      <c r="A929" s="7" t="s">
        <v>4990</v>
      </c>
      <c r="B929" s="7" t="s">
        <v>4991</v>
      </c>
      <c r="C929" s="7" t="s">
        <v>4774</v>
      </c>
      <c r="D929" s="7" t="s">
        <v>4992</v>
      </c>
      <c r="E929" s="7" t="s">
        <v>108</v>
      </c>
      <c r="F929" s="7" t="s">
        <v>628</v>
      </c>
      <c r="G929" s="7" t="s">
        <v>629</v>
      </c>
      <c r="H929" s="7" t="s">
        <v>630</v>
      </c>
      <c r="I929" s="7" t="s">
        <v>4993</v>
      </c>
      <c r="J929" s="9" t="s">
        <v>4994</v>
      </c>
      <c r="K929" s="7" t="s">
        <v>624</v>
      </c>
      <c r="L929" s="11" t="s">
        <v>180</v>
      </c>
    </row>
    <row r="930" customFormat="false" ht="69.75" hidden="false" customHeight="true" outlineLevel="0" collapsed="false">
      <c r="A930" s="7" t="s">
        <v>4995</v>
      </c>
      <c r="B930" s="7" t="s">
        <v>4996</v>
      </c>
      <c r="C930" s="7" t="s">
        <v>4774</v>
      </c>
      <c r="D930" s="7" t="s">
        <v>4997</v>
      </c>
      <c r="E930" s="7" t="s">
        <v>108</v>
      </c>
      <c r="F930" s="7" t="s">
        <v>628</v>
      </c>
      <c r="G930" s="7" t="s">
        <v>629</v>
      </c>
      <c r="H930" s="7" t="s">
        <v>630</v>
      </c>
      <c r="I930" s="7" t="s">
        <v>4998</v>
      </c>
      <c r="J930" s="9" t="s">
        <v>4999</v>
      </c>
      <c r="K930" s="7" t="s">
        <v>624</v>
      </c>
      <c r="L930" s="11" t="s">
        <v>180</v>
      </c>
    </row>
    <row r="931" customFormat="false" ht="87" hidden="false" customHeight="true" outlineLevel="0" collapsed="false">
      <c r="A931" s="7" t="s">
        <v>5000</v>
      </c>
      <c r="B931" s="7" t="s">
        <v>5001</v>
      </c>
      <c r="C931" s="7" t="s">
        <v>4774</v>
      </c>
      <c r="D931" s="7" t="s">
        <v>5002</v>
      </c>
      <c r="E931" s="7" t="s">
        <v>108</v>
      </c>
      <c r="F931" s="7" t="s">
        <v>628</v>
      </c>
      <c r="G931" s="7" t="s">
        <v>629</v>
      </c>
      <c r="H931" s="7" t="s">
        <v>630</v>
      </c>
      <c r="I931" s="7" t="s">
        <v>5003</v>
      </c>
      <c r="J931" s="9" t="s">
        <v>5004</v>
      </c>
      <c r="K931" s="7" t="s">
        <v>624</v>
      </c>
      <c r="L931" s="11" t="s">
        <v>180</v>
      </c>
    </row>
    <row r="932" customFormat="false" ht="69.75" hidden="false" customHeight="true" outlineLevel="0" collapsed="false">
      <c r="A932" s="7" t="s">
        <v>5005</v>
      </c>
      <c r="B932" s="7" t="s">
        <v>5006</v>
      </c>
      <c r="C932" s="7" t="s">
        <v>4774</v>
      </c>
      <c r="D932" s="7" t="s">
        <v>5007</v>
      </c>
      <c r="E932" s="7" t="s">
        <v>108</v>
      </c>
      <c r="F932" s="7" t="s">
        <v>628</v>
      </c>
      <c r="G932" s="7" t="s">
        <v>629</v>
      </c>
      <c r="H932" s="7" t="s">
        <v>630</v>
      </c>
      <c r="I932" s="7" t="s">
        <v>5008</v>
      </c>
      <c r="J932" s="9" t="s">
        <v>5009</v>
      </c>
      <c r="K932" s="7" t="s">
        <v>624</v>
      </c>
      <c r="L932" s="11" t="s">
        <v>180</v>
      </c>
    </row>
    <row r="933" customFormat="false" ht="87" hidden="false" customHeight="true" outlineLevel="0" collapsed="false">
      <c r="A933" s="7" t="s">
        <v>5010</v>
      </c>
      <c r="B933" s="7" t="s">
        <v>5011</v>
      </c>
      <c r="C933" s="7" t="s">
        <v>4774</v>
      </c>
      <c r="D933" s="7" t="s">
        <v>5012</v>
      </c>
      <c r="E933" s="7" t="s">
        <v>108</v>
      </c>
      <c r="F933" s="7" t="s">
        <v>628</v>
      </c>
      <c r="G933" s="7" t="s">
        <v>629</v>
      </c>
      <c r="H933" s="7" t="s">
        <v>630</v>
      </c>
      <c r="I933" s="7" t="s">
        <v>5013</v>
      </c>
      <c r="J933" s="9" t="s">
        <v>5014</v>
      </c>
      <c r="K933" s="7" t="s">
        <v>624</v>
      </c>
      <c r="L933" s="12" t="s">
        <v>186</v>
      </c>
    </row>
    <row r="934" customFormat="false" ht="87" hidden="false" customHeight="true" outlineLevel="0" collapsed="false">
      <c r="A934" s="7" t="s">
        <v>5015</v>
      </c>
      <c r="B934" s="7" t="s">
        <v>5016</v>
      </c>
      <c r="C934" s="7" t="s">
        <v>4774</v>
      </c>
      <c r="D934" s="7" t="s">
        <v>5017</v>
      </c>
      <c r="E934" s="7" t="s">
        <v>108</v>
      </c>
      <c r="F934" s="7" t="s">
        <v>628</v>
      </c>
      <c r="G934" s="7" t="s">
        <v>629</v>
      </c>
      <c r="H934" s="7" t="s">
        <v>630</v>
      </c>
      <c r="I934" s="7" t="s">
        <v>5018</v>
      </c>
      <c r="J934" s="9" t="s">
        <v>5019</v>
      </c>
      <c r="K934" s="7" t="s">
        <v>624</v>
      </c>
      <c r="L934" s="11" t="s">
        <v>180</v>
      </c>
    </row>
    <row r="935" customFormat="false" ht="69.75" hidden="false" customHeight="true" outlineLevel="0" collapsed="false">
      <c r="A935" s="7" t="s">
        <v>5020</v>
      </c>
      <c r="B935" s="7" t="s">
        <v>5021</v>
      </c>
      <c r="C935" s="7" t="s">
        <v>4774</v>
      </c>
      <c r="D935" s="7" t="s">
        <v>5022</v>
      </c>
      <c r="E935" s="7" t="s">
        <v>108</v>
      </c>
      <c r="F935" s="7" t="s">
        <v>628</v>
      </c>
      <c r="G935" s="7" t="s">
        <v>629</v>
      </c>
      <c r="H935" s="7" t="s">
        <v>630</v>
      </c>
      <c r="I935" s="7" t="s">
        <v>5023</v>
      </c>
      <c r="J935" s="9" t="s">
        <v>5024</v>
      </c>
      <c r="K935" s="7" t="s">
        <v>624</v>
      </c>
      <c r="L935" s="11" t="s">
        <v>180</v>
      </c>
    </row>
    <row r="936" customFormat="false" ht="69.75" hidden="false" customHeight="true" outlineLevel="0" collapsed="false">
      <c r="A936" s="7" t="s">
        <v>5025</v>
      </c>
      <c r="B936" s="7" t="s">
        <v>5026</v>
      </c>
      <c r="C936" s="7" t="s">
        <v>4774</v>
      </c>
      <c r="D936" s="7" t="s">
        <v>5027</v>
      </c>
      <c r="E936" s="7" t="s">
        <v>108</v>
      </c>
      <c r="F936" s="7" t="s">
        <v>628</v>
      </c>
      <c r="G936" s="7" t="s">
        <v>629</v>
      </c>
      <c r="H936" s="7" t="s">
        <v>630</v>
      </c>
      <c r="I936" s="7" t="s">
        <v>5028</v>
      </c>
      <c r="J936" s="9" t="s">
        <v>5029</v>
      </c>
      <c r="K936" s="7" t="s">
        <v>624</v>
      </c>
      <c r="L936" s="11" t="s">
        <v>180</v>
      </c>
    </row>
    <row r="937" customFormat="false" ht="87" hidden="false" customHeight="true" outlineLevel="0" collapsed="false">
      <c r="A937" s="7" t="s">
        <v>5030</v>
      </c>
      <c r="B937" s="7" t="s">
        <v>5031</v>
      </c>
      <c r="C937" s="7" t="s">
        <v>4774</v>
      </c>
      <c r="D937" s="7" t="s">
        <v>5032</v>
      </c>
      <c r="E937" s="7" t="s">
        <v>108</v>
      </c>
      <c r="F937" s="7" t="s">
        <v>628</v>
      </c>
      <c r="G937" s="7" t="s">
        <v>629</v>
      </c>
      <c r="H937" s="7" t="s">
        <v>630</v>
      </c>
      <c r="I937" s="7" t="s">
        <v>5033</v>
      </c>
      <c r="J937" s="9" t="s">
        <v>5034</v>
      </c>
      <c r="K937" s="7" t="s">
        <v>624</v>
      </c>
      <c r="L937" s="12" t="s">
        <v>186</v>
      </c>
    </row>
    <row r="938" customFormat="false" ht="69.75" hidden="false" customHeight="true" outlineLevel="0" collapsed="false">
      <c r="A938" s="7" t="s">
        <v>5035</v>
      </c>
      <c r="B938" s="7" t="s">
        <v>5036</v>
      </c>
      <c r="C938" s="7" t="s">
        <v>4774</v>
      </c>
      <c r="D938" s="7" t="s">
        <v>5037</v>
      </c>
      <c r="E938" s="7" t="s">
        <v>108</v>
      </c>
      <c r="F938" s="7" t="s">
        <v>628</v>
      </c>
      <c r="G938" s="7" t="s">
        <v>629</v>
      </c>
      <c r="H938" s="7" t="s">
        <v>630</v>
      </c>
      <c r="I938" s="7" t="s">
        <v>5038</v>
      </c>
      <c r="J938" s="9" t="s">
        <v>5039</v>
      </c>
      <c r="K938" s="7" t="s">
        <v>624</v>
      </c>
      <c r="L938" s="11" t="s">
        <v>180</v>
      </c>
    </row>
    <row r="939" customFormat="false" ht="87" hidden="false" customHeight="true" outlineLevel="0" collapsed="false">
      <c r="A939" s="7" t="s">
        <v>5040</v>
      </c>
      <c r="B939" s="7" t="s">
        <v>5041</v>
      </c>
      <c r="C939" s="7" t="s">
        <v>4774</v>
      </c>
      <c r="D939" s="7" t="s">
        <v>5042</v>
      </c>
      <c r="E939" s="7" t="s">
        <v>108</v>
      </c>
      <c r="F939" s="7" t="s">
        <v>628</v>
      </c>
      <c r="G939" s="7" t="s">
        <v>629</v>
      </c>
      <c r="H939" s="7" t="s">
        <v>630</v>
      </c>
      <c r="I939" s="7" t="s">
        <v>5043</v>
      </c>
      <c r="J939" s="9" t="s">
        <v>5044</v>
      </c>
      <c r="K939" s="7" t="s">
        <v>624</v>
      </c>
      <c r="L939" s="12" t="s">
        <v>186</v>
      </c>
    </row>
    <row r="940" customFormat="false" ht="69.75" hidden="false" customHeight="true" outlineLevel="0" collapsed="false">
      <c r="A940" s="7" t="s">
        <v>5045</v>
      </c>
      <c r="B940" s="7" t="s">
        <v>5046</v>
      </c>
      <c r="C940" s="7" t="s">
        <v>4774</v>
      </c>
      <c r="D940" s="7" t="s">
        <v>5047</v>
      </c>
      <c r="E940" s="7" t="s">
        <v>108</v>
      </c>
      <c r="F940" s="7" t="s">
        <v>628</v>
      </c>
      <c r="G940" s="7" t="s">
        <v>629</v>
      </c>
      <c r="H940" s="7" t="s">
        <v>630</v>
      </c>
      <c r="I940" s="7" t="s">
        <v>5048</v>
      </c>
      <c r="J940" s="9" t="s">
        <v>5049</v>
      </c>
      <c r="K940" s="7" t="s">
        <v>624</v>
      </c>
      <c r="L940" s="12" t="s">
        <v>186</v>
      </c>
    </row>
    <row r="941" customFormat="false" ht="69.75" hidden="false" customHeight="true" outlineLevel="0" collapsed="false">
      <c r="A941" s="7" t="s">
        <v>5050</v>
      </c>
      <c r="B941" s="7" t="s">
        <v>5051</v>
      </c>
      <c r="C941" s="7" t="s">
        <v>4774</v>
      </c>
      <c r="D941" s="7" t="s">
        <v>5052</v>
      </c>
      <c r="E941" s="7" t="s">
        <v>108</v>
      </c>
      <c r="F941" s="7" t="s">
        <v>628</v>
      </c>
      <c r="G941" s="7" t="s">
        <v>629</v>
      </c>
      <c r="H941" s="7" t="s">
        <v>630</v>
      </c>
      <c r="I941" s="7" t="s">
        <v>5053</v>
      </c>
      <c r="J941" s="9" t="s">
        <v>5054</v>
      </c>
      <c r="K941" s="7" t="s">
        <v>624</v>
      </c>
      <c r="L941" s="12" t="s">
        <v>186</v>
      </c>
    </row>
    <row r="942" customFormat="false" ht="87" hidden="false" customHeight="true" outlineLevel="0" collapsed="false">
      <c r="A942" s="7" t="s">
        <v>5055</v>
      </c>
      <c r="B942" s="7" t="s">
        <v>5056</v>
      </c>
      <c r="C942" s="7" t="s">
        <v>4774</v>
      </c>
      <c r="D942" s="7" t="s">
        <v>5057</v>
      </c>
      <c r="E942" s="7" t="s">
        <v>108</v>
      </c>
      <c r="F942" s="7" t="s">
        <v>628</v>
      </c>
      <c r="G942" s="7" t="s">
        <v>629</v>
      </c>
      <c r="H942" s="7" t="s">
        <v>630</v>
      </c>
      <c r="I942" s="7" t="s">
        <v>5058</v>
      </c>
      <c r="J942" s="9" t="s">
        <v>5059</v>
      </c>
      <c r="K942" s="7" t="s">
        <v>624</v>
      </c>
      <c r="L942" s="12" t="s">
        <v>186</v>
      </c>
    </row>
    <row r="943" customFormat="false" ht="69.75" hidden="false" customHeight="true" outlineLevel="0" collapsed="false">
      <c r="A943" s="7" t="s">
        <v>5060</v>
      </c>
      <c r="B943" s="7" t="s">
        <v>5061</v>
      </c>
      <c r="C943" s="7" t="s">
        <v>4774</v>
      </c>
      <c r="D943" s="7" t="s">
        <v>5062</v>
      </c>
      <c r="E943" s="7" t="s">
        <v>108</v>
      </c>
      <c r="F943" s="7" t="s">
        <v>628</v>
      </c>
      <c r="G943" s="7" t="s">
        <v>629</v>
      </c>
      <c r="H943" s="7" t="s">
        <v>630</v>
      </c>
      <c r="I943" s="7" t="s">
        <v>5063</v>
      </c>
      <c r="J943" s="9" t="s">
        <v>5064</v>
      </c>
      <c r="K943" s="7" t="s">
        <v>624</v>
      </c>
      <c r="L943" s="12" t="s">
        <v>186</v>
      </c>
    </row>
    <row r="944" customFormat="false" ht="35.25" hidden="false" customHeight="true" outlineLevel="0" collapsed="false">
      <c r="A944" s="7" t="s">
        <v>5065</v>
      </c>
      <c r="B944" s="7" t="s">
        <v>5066</v>
      </c>
      <c r="C944" s="7" t="s">
        <v>4774</v>
      </c>
      <c r="D944" s="7" t="s">
        <v>5067</v>
      </c>
      <c r="E944" s="7" t="s">
        <v>112</v>
      </c>
      <c r="F944" s="7" t="s">
        <v>566</v>
      </c>
      <c r="G944" s="7" t="s">
        <v>4487</v>
      </c>
      <c r="H944" s="7" t="s">
        <v>4488</v>
      </c>
      <c r="I944" s="7" t="s">
        <v>5068</v>
      </c>
      <c r="J944" s="9" t="s">
        <v>5069</v>
      </c>
      <c r="K944" s="7" t="s">
        <v>562</v>
      </c>
      <c r="L944" s="12" t="s">
        <v>186</v>
      </c>
    </row>
    <row r="945" customFormat="false" ht="69.75" hidden="false" customHeight="true" outlineLevel="0" collapsed="false">
      <c r="A945" s="7" t="s">
        <v>5070</v>
      </c>
      <c r="B945" s="7" t="s">
        <v>5071</v>
      </c>
      <c r="C945" s="7" t="s">
        <v>4774</v>
      </c>
      <c r="D945" s="7" t="s">
        <v>5072</v>
      </c>
      <c r="E945" s="7" t="s">
        <v>112</v>
      </c>
      <c r="F945" s="7" t="s">
        <v>566</v>
      </c>
      <c r="G945" s="7" t="s">
        <v>4487</v>
      </c>
      <c r="H945" s="7" t="s">
        <v>4488</v>
      </c>
      <c r="I945" s="7" t="s">
        <v>5073</v>
      </c>
      <c r="J945" s="9" t="s">
        <v>5074</v>
      </c>
      <c r="K945" s="7" t="s">
        <v>562</v>
      </c>
      <c r="L945" s="10" t="s">
        <v>572</v>
      </c>
    </row>
    <row r="946" customFormat="false" ht="69.75" hidden="false" customHeight="true" outlineLevel="0" collapsed="false">
      <c r="A946" s="7" t="s">
        <v>5075</v>
      </c>
      <c r="B946" s="7" t="s">
        <v>5076</v>
      </c>
      <c r="C946" s="7" t="s">
        <v>4774</v>
      </c>
      <c r="D946" s="7" t="s">
        <v>5077</v>
      </c>
      <c r="E946" s="7" t="s">
        <v>112</v>
      </c>
      <c r="F946" s="7" t="s">
        <v>566</v>
      </c>
      <c r="G946" s="7" t="s">
        <v>4487</v>
      </c>
      <c r="H946" s="7" t="s">
        <v>4488</v>
      </c>
      <c r="I946" s="7" t="s">
        <v>5078</v>
      </c>
      <c r="J946" s="9" t="s">
        <v>5079</v>
      </c>
      <c r="K946" s="7" t="s">
        <v>562</v>
      </c>
      <c r="L946" s="10" t="s">
        <v>572</v>
      </c>
    </row>
    <row r="947" customFormat="false" ht="69.75" hidden="false" customHeight="true" outlineLevel="0" collapsed="false">
      <c r="A947" s="7" t="s">
        <v>5080</v>
      </c>
      <c r="B947" s="7" t="s">
        <v>5081</v>
      </c>
      <c r="C947" s="7" t="s">
        <v>4774</v>
      </c>
      <c r="D947" s="7" t="s">
        <v>5082</v>
      </c>
      <c r="E947" s="7" t="s">
        <v>112</v>
      </c>
      <c r="F947" s="7" t="s">
        <v>566</v>
      </c>
      <c r="G947" s="7" t="s">
        <v>4487</v>
      </c>
      <c r="H947" s="7" t="s">
        <v>4488</v>
      </c>
      <c r="I947" s="7" t="s">
        <v>5083</v>
      </c>
      <c r="J947" s="9" t="s">
        <v>5084</v>
      </c>
      <c r="K947" s="7" t="s">
        <v>562</v>
      </c>
      <c r="L947" s="10" t="s">
        <v>572</v>
      </c>
    </row>
    <row r="948" customFormat="false" ht="35.25" hidden="false" customHeight="true" outlineLevel="0" collapsed="false">
      <c r="A948" s="7" t="s">
        <v>5085</v>
      </c>
      <c r="B948" s="7" t="s">
        <v>5086</v>
      </c>
      <c r="C948" s="7" t="s">
        <v>4774</v>
      </c>
      <c r="D948" s="7" t="s">
        <v>5087</v>
      </c>
      <c r="E948" s="7" t="s">
        <v>108</v>
      </c>
      <c r="F948" s="7" t="s">
        <v>748</v>
      </c>
      <c r="G948" s="7" t="s">
        <v>3542</v>
      </c>
      <c r="H948" s="7" t="s">
        <v>3543</v>
      </c>
      <c r="I948" s="7" t="s">
        <v>5088</v>
      </c>
      <c r="J948" s="9" t="s">
        <v>5089</v>
      </c>
      <c r="K948" s="7" t="s">
        <v>4506</v>
      </c>
      <c r="L948" s="11" t="s">
        <v>180</v>
      </c>
    </row>
    <row r="949" customFormat="false" ht="69.75" hidden="false" customHeight="true" outlineLevel="0" collapsed="false">
      <c r="A949" s="7" t="s">
        <v>5090</v>
      </c>
      <c r="B949" s="7" t="s">
        <v>5091</v>
      </c>
      <c r="C949" s="7" t="s">
        <v>4774</v>
      </c>
      <c r="D949" s="7" t="s">
        <v>5092</v>
      </c>
      <c r="E949" s="7" t="s">
        <v>108</v>
      </c>
      <c r="F949" s="7" t="s">
        <v>748</v>
      </c>
      <c r="G949" s="7" t="s">
        <v>3542</v>
      </c>
      <c r="H949" s="7" t="s">
        <v>3543</v>
      </c>
      <c r="I949" s="7" t="s">
        <v>5093</v>
      </c>
      <c r="J949" s="9" t="s">
        <v>5094</v>
      </c>
      <c r="K949" s="7" t="s">
        <v>4506</v>
      </c>
      <c r="L949" s="12" t="s">
        <v>186</v>
      </c>
    </row>
    <row r="950" customFormat="false" ht="69.75" hidden="false" customHeight="true" outlineLevel="0" collapsed="false">
      <c r="A950" s="7" t="s">
        <v>5095</v>
      </c>
      <c r="B950" s="7" t="s">
        <v>5096</v>
      </c>
      <c r="C950" s="7" t="s">
        <v>4774</v>
      </c>
      <c r="D950" s="7" t="s">
        <v>5097</v>
      </c>
      <c r="E950" s="7" t="s">
        <v>108</v>
      </c>
      <c r="F950" s="7" t="s">
        <v>748</v>
      </c>
      <c r="G950" s="7" t="s">
        <v>3542</v>
      </c>
      <c r="H950" s="7" t="s">
        <v>3543</v>
      </c>
      <c r="I950" s="7" t="s">
        <v>5098</v>
      </c>
      <c r="J950" s="9" t="s">
        <v>5099</v>
      </c>
      <c r="K950" s="7" t="s">
        <v>4506</v>
      </c>
      <c r="L950" s="12" t="s">
        <v>186</v>
      </c>
    </row>
    <row r="951" customFormat="false" ht="69.75" hidden="false" customHeight="true" outlineLevel="0" collapsed="false">
      <c r="A951" s="7" t="s">
        <v>5100</v>
      </c>
      <c r="B951" s="7" t="s">
        <v>5101</v>
      </c>
      <c r="C951" s="7" t="s">
        <v>4774</v>
      </c>
      <c r="D951" s="7" t="s">
        <v>5102</v>
      </c>
      <c r="E951" s="7" t="s">
        <v>108</v>
      </c>
      <c r="F951" s="7" t="s">
        <v>748</v>
      </c>
      <c r="G951" s="7" t="s">
        <v>3542</v>
      </c>
      <c r="H951" s="7" t="s">
        <v>3543</v>
      </c>
      <c r="I951" s="7" t="s">
        <v>5103</v>
      </c>
      <c r="J951" s="9" t="s">
        <v>5104</v>
      </c>
      <c r="K951" s="7" t="s">
        <v>4506</v>
      </c>
      <c r="L951" s="12" t="s">
        <v>186</v>
      </c>
    </row>
    <row r="952" customFormat="false" ht="69.75" hidden="false" customHeight="true" outlineLevel="0" collapsed="false">
      <c r="A952" s="7" t="s">
        <v>5105</v>
      </c>
      <c r="B952" s="7" t="s">
        <v>5106</v>
      </c>
      <c r="C952" s="7" t="s">
        <v>4774</v>
      </c>
      <c r="D952" s="7" t="s">
        <v>5107</v>
      </c>
      <c r="E952" s="7" t="s">
        <v>108</v>
      </c>
      <c r="F952" s="7" t="s">
        <v>748</v>
      </c>
      <c r="G952" s="7" t="s">
        <v>3542</v>
      </c>
      <c r="H952" s="7" t="s">
        <v>3543</v>
      </c>
      <c r="I952" s="7" t="s">
        <v>5108</v>
      </c>
      <c r="J952" s="9" t="s">
        <v>5109</v>
      </c>
      <c r="K952" s="7" t="s">
        <v>4506</v>
      </c>
      <c r="L952" s="12" t="s">
        <v>186</v>
      </c>
    </row>
    <row r="953" customFormat="false" ht="87" hidden="false" customHeight="true" outlineLevel="0" collapsed="false">
      <c r="A953" s="7" t="s">
        <v>5110</v>
      </c>
      <c r="B953" s="7" t="s">
        <v>5111</v>
      </c>
      <c r="C953" s="7" t="s">
        <v>4774</v>
      </c>
      <c r="D953" s="7" t="s">
        <v>5112</v>
      </c>
      <c r="E953" s="7" t="s">
        <v>108</v>
      </c>
      <c r="F953" s="7" t="s">
        <v>748</v>
      </c>
      <c r="G953" s="7" t="s">
        <v>3542</v>
      </c>
      <c r="H953" s="7" t="s">
        <v>3543</v>
      </c>
      <c r="I953" s="7" t="s">
        <v>5113</v>
      </c>
      <c r="J953" s="9" t="s">
        <v>5114</v>
      </c>
      <c r="K953" s="7" t="s">
        <v>4506</v>
      </c>
      <c r="L953" s="12" t="s">
        <v>186</v>
      </c>
    </row>
    <row r="954" customFormat="false" ht="69.75" hidden="false" customHeight="true" outlineLevel="0" collapsed="false">
      <c r="A954" s="7" t="s">
        <v>5115</v>
      </c>
      <c r="B954" s="7" t="s">
        <v>5116</v>
      </c>
      <c r="C954" s="7" t="s">
        <v>4774</v>
      </c>
      <c r="D954" s="7" t="s">
        <v>5117</v>
      </c>
      <c r="E954" s="7" t="s">
        <v>108</v>
      </c>
      <c r="F954" s="7" t="s">
        <v>748</v>
      </c>
      <c r="G954" s="7" t="s">
        <v>3542</v>
      </c>
      <c r="H954" s="7" t="s">
        <v>3543</v>
      </c>
      <c r="I954" s="7" t="s">
        <v>5118</v>
      </c>
      <c r="J954" s="9" t="s">
        <v>5119</v>
      </c>
      <c r="K954" s="7" t="s">
        <v>4506</v>
      </c>
      <c r="L954" s="12" t="s">
        <v>186</v>
      </c>
    </row>
    <row r="955" customFormat="false" ht="35.25" hidden="false" customHeight="true" outlineLevel="0" collapsed="false">
      <c r="A955" s="7" t="s">
        <v>5120</v>
      </c>
      <c r="B955" s="7" t="s">
        <v>5121</v>
      </c>
      <c r="C955" s="7" t="s">
        <v>4774</v>
      </c>
      <c r="D955" s="7" t="s">
        <v>5122</v>
      </c>
      <c r="E955" s="7" t="s">
        <v>108</v>
      </c>
      <c r="F955" s="7" t="s">
        <v>748</v>
      </c>
      <c r="G955" s="7" t="s">
        <v>3542</v>
      </c>
      <c r="H955" s="7" t="s">
        <v>3543</v>
      </c>
      <c r="I955" s="7" t="s">
        <v>5123</v>
      </c>
      <c r="J955" s="9" t="s">
        <v>5124</v>
      </c>
      <c r="K955" s="7" t="s">
        <v>808</v>
      </c>
      <c r="L955" s="12" t="s">
        <v>186</v>
      </c>
    </row>
    <row r="956" customFormat="false" ht="35.25" hidden="false" customHeight="true" outlineLevel="0" collapsed="false">
      <c r="A956" s="7" t="s">
        <v>5125</v>
      </c>
      <c r="B956" s="7" t="s">
        <v>5126</v>
      </c>
      <c r="C956" s="7" t="s">
        <v>4774</v>
      </c>
      <c r="D956" s="7" t="s">
        <v>5127</v>
      </c>
      <c r="E956" s="7" t="s">
        <v>108</v>
      </c>
      <c r="F956" s="7" t="s">
        <v>628</v>
      </c>
      <c r="G956" s="7" t="s">
        <v>629</v>
      </c>
      <c r="H956" s="7" t="s">
        <v>630</v>
      </c>
      <c r="I956" s="7" t="s">
        <v>5128</v>
      </c>
      <c r="J956" s="9" t="s">
        <v>5129</v>
      </c>
      <c r="K956" s="7" t="s">
        <v>1647</v>
      </c>
      <c r="L956" s="12" t="s">
        <v>186</v>
      </c>
    </row>
    <row r="957" customFormat="false" ht="87" hidden="false" customHeight="true" outlineLevel="0" collapsed="false">
      <c r="A957" s="7" t="s">
        <v>5130</v>
      </c>
      <c r="B957" s="7" t="s">
        <v>5131</v>
      </c>
      <c r="C957" s="7" t="s">
        <v>4774</v>
      </c>
      <c r="D957" s="7" t="s">
        <v>5132</v>
      </c>
      <c r="E957" s="7" t="s">
        <v>108</v>
      </c>
      <c r="F957" s="7" t="s">
        <v>628</v>
      </c>
      <c r="G957" s="7" t="s">
        <v>629</v>
      </c>
      <c r="H957" s="7" t="s">
        <v>630</v>
      </c>
      <c r="I957" s="7" t="s">
        <v>5133</v>
      </c>
      <c r="J957" s="9" t="s">
        <v>5134</v>
      </c>
      <c r="K957" s="7" t="s">
        <v>1647</v>
      </c>
      <c r="L957" s="10" t="s">
        <v>572</v>
      </c>
    </row>
    <row r="958" customFormat="false" ht="87" hidden="false" customHeight="true" outlineLevel="0" collapsed="false">
      <c r="A958" s="7" t="s">
        <v>5135</v>
      </c>
      <c r="B958" s="7" t="s">
        <v>5136</v>
      </c>
      <c r="C958" s="7" t="s">
        <v>4774</v>
      </c>
      <c r="D958" s="7" t="s">
        <v>5137</v>
      </c>
      <c r="E958" s="7" t="s">
        <v>108</v>
      </c>
      <c r="F958" s="7" t="s">
        <v>628</v>
      </c>
      <c r="G958" s="7" t="s">
        <v>629</v>
      </c>
      <c r="H958" s="7" t="s">
        <v>630</v>
      </c>
      <c r="I958" s="7" t="s">
        <v>5138</v>
      </c>
      <c r="J958" s="9" t="s">
        <v>5139</v>
      </c>
      <c r="K958" s="7" t="s">
        <v>1647</v>
      </c>
      <c r="L958" s="10" t="s">
        <v>572</v>
      </c>
    </row>
    <row r="959" customFormat="false" ht="69.75" hidden="false" customHeight="true" outlineLevel="0" collapsed="false">
      <c r="A959" s="7" t="s">
        <v>5140</v>
      </c>
      <c r="B959" s="7" t="s">
        <v>5141</v>
      </c>
      <c r="C959" s="7" t="s">
        <v>4774</v>
      </c>
      <c r="D959" s="7" t="s">
        <v>5142</v>
      </c>
      <c r="E959" s="7" t="s">
        <v>108</v>
      </c>
      <c r="F959" s="7" t="s">
        <v>628</v>
      </c>
      <c r="G959" s="7" t="s">
        <v>629</v>
      </c>
      <c r="H959" s="7" t="s">
        <v>630</v>
      </c>
      <c r="I959" s="7" t="s">
        <v>5143</v>
      </c>
      <c r="J959" s="9" t="s">
        <v>5144</v>
      </c>
      <c r="K959" s="7" t="s">
        <v>1647</v>
      </c>
      <c r="L959" s="10" t="s">
        <v>572</v>
      </c>
    </row>
    <row r="960" customFormat="false" ht="35.25" hidden="false" customHeight="true" outlineLevel="0" collapsed="false">
      <c r="A960" s="7" t="s">
        <v>5145</v>
      </c>
      <c r="B960" s="7" t="s">
        <v>5146</v>
      </c>
      <c r="C960" s="7" t="s">
        <v>4774</v>
      </c>
      <c r="D960" s="7" t="s">
        <v>5147</v>
      </c>
      <c r="E960" s="7" t="s">
        <v>108</v>
      </c>
      <c r="F960" s="7" t="s">
        <v>318</v>
      </c>
      <c r="G960" s="7" t="s">
        <v>1671</v>
      </c>
      <c r="H960" s="7" t="s">
        <v>1672</v>
      </c>
      <c r="I960" s="7" t="s">
        <v>5148</v>
      </c>
      <c r="J960" s="9" t="s">
        <v>5149</v>
      </c>
      <c r="K960" s="7" t="s">
        <v>603</v>
      </c>
      <c r="L960" s="10" t="s">
        <v>572</v>
      </c>
    </row>
    <row r="961" customFormat="false" ht="69.75" hidden="false" customHeight="true" outlineLevel="0" collapsed="false">
      <c r="A961" s="7" t="s">
        <v>5150</v>
      </c>
      <c r="B961" s="7" t="s">
        <v>5151</v>
      </c>
      <c r="C961" s="7" t="s">
        <v>4774</v>
      </c>
      <c r="D961" s="7" t="s">
        <v>5152</v>
      </c>
      <c r="E961" s="7" t="s">
        <v>108</v>
      </c>
      <c r="F961" s="7" t="s">
        <v>318</v>
      </c>
      <c r="G961" s="7" t="s">
        <v>1671</v>
      </c>
      <c r="H961" s="7" t="s">
        <v>1672</v>
      </c>
      <c r="I961" s="7" t="s">
        <v>5153</v>
      </c>
      <c r="J961" s="9" t="s">
        <v>5154</v>
      </c>
      <c r="K961" s="7" t="s">
        <v>603</v>
      </c>
      <c r="L961" s="10" t="s">
        <v>572</v>
      </c>
    </row>
    <row r="962" customFormat="false" ht="69.75" hidden="false" customHeight="true" outlineLevel="0" collapsed="false">
      <c r="A962" s="7" t="s">
        <v>5155</v>
      </c>
      <c r="B962" s="7" t="s">
        <v>5156</v>
      </c>
      <c r="C962" s="7" t="s">
        <v>4774</v>
      </c>
      <c r="D962" s="7" t="s">
        <v>5157</v>
      </c>
      <c r="E962" s="7" t="s">
        <v>108</v>
      </c>
      <c r="F962" s="7" t="s">
        <v>318</v>
      </c>
      <c r="G962" s="7" t="s">
        <v>1671</v>
      </c>
      <c r="H962" s="7" t="s">
        <v>1672</v>
      </c>
      <c r="I962" s="7" t="s">
        <v>5158</v>
      </c>
      <c r="J962" s="9" t="s">
        <v>5159</v>
      </c>
      <c r="K962" s="7" t="s">
        <v>603</v>
      </c>
      <c r="L962" s="10" t="s">
        <v>572</v>
      </c>
    </row>
    <row r="963" customFormat="false" ht="69.75" hidden="false" customHeight="true" outlineLevel="0" collapsed="false">
      <c r="A963" s="7" t="s">
        <v>5160</v>
      </c>
      <c r="B963" s="7" t="s">
        <v>5161</v>
      </c>
      <c r="C963" s="7" t="s">
        <v>4774</v>
      </c>
      <c r="D963" s="7" t="s">
        <v>5162</v>
      </c>
      <c r="E963" s="7" t="s">
        <v>108</v>
      </c>
      <c r="F963" s="7" t="s">
        <v>318</v>
      </c>
      <c r="G963" s="7" t="s">
        <v>1671</v>
      </c>
      <c r="H963" s="7" t="s">
        <v>1672</v>
      </c>
      <c r="I963" s="7" t="s">
        <v>5163</v>
      </c>
      <c r="J963" s="9" t="s">
        <v>5164</v>
      </c>
      <c r="K963" s="7" t="s">
        <v>603</v>
      </c>
      <c r="L963" s="10" t="s">
        <v>572</v>
      </c>
    </row>
    <row r="964" customFormat="false" ht="69.75" hidden="false" customHeight="true" outlineLevel="0" collapsed="false">
      <c r="A964" s="7" t="s">
        <v>5165</v>
      </c>
      <c r="B964" s="7" t="s">
        <v>5166</v>
      </c>
      <c r="C964" s="7" t="s">
        <v>4774</v>
      </c>
      <c r="D964" s="7" t="s">
        <v>5167</v>
      </c>
      <c r="E964" s="7" t="s">
        <v>108</v>
      </c>
      <c r="F964" s="7" t="s">
        <v>318</v>
      </c>
      <c r="G964" s="7" t="s">
        <v>1671</v>
      </c>
      <c r="H964" s="7" t="s">
        <v>1672</v>
      </c>
      <c r="I964" s="7" t="s">
        <v>5168</v>
      </c>
      <c r="J964" s="9" t="s">
        <v>5169</v>
      </c>
      <c r="K964" s="7" t="s">
        <v>603</v>
      </c>
      <c r="L964" s="10" t="s">
        <v>572</v>
      </c>
    </row>
    <row r="965" customFormat="false" ht="35.25" hidden="false" customHeight="true" outlineLevel="0" collapsed="false">
      <c r="A965" s="7" t="s">
        <v>5170</v>
      </c>
      <c r="B965" s="7" t="s">
        <v>5171</v>
      </c>
      <c r="C965" s="7" t="s">
        <v>4774</v>
      </c>
      <c r="D965" s="7" t="s">
        <v>5172</v>
      </c>
      <c r="E965" s="7" t="s">
        <v>108</v>
      </c>
      <c r="F965" s="7" t="s">
        <v>748</v>
      </c>
      <c r="G965" s="7" t="s">
        <v>749</v>
      </c>
      <c r="H965" s="7" t="s">
        <v>750</v>
      </c>
      <c r="I965" s="7" t="s">
        <v>5173</v>
      </c>
      <c r="J965" s="9" t="s">
        <v>5174</v>
      </c>
      <c r="K965" s="7" t="s">
        <v>603</v>
      </c>
      <c r="L965" s="10" t="s">
        <v>572</v>
      </c>
    </row>
    <row r="966" customFormat="false" ht="69.75" hidden="false" customHeight="true" outlineLevel="0" collapsed="false">
      <c r="A966" s="7" t="s">
        <v>5175</v>
      </c>
      <c r="B966" s="7" t="s">
        <v>5176</v>
      </c>
      <c r="C966" s="7" t="s">
        <v>4774</v>
      </c>
      <c r="D966" s="7" t="s">
        <v>5177</v>
      </c>
      <c r="E966" s="7" t="s">
        <v>108</v>
      </c>
      <c r="F966" s="7" t="s">
        <v>748</v>
      </c>
      <c r="G966" s="7" t="s">
        <v>749</v>
      </c>
      <c r="H966" s="7" t="s">
        <v>750</v>
      </c>
      <c r="I966" s="7" t="s">
        <v>5178</v>
      </c>
      <c r="J966" s="9" t="s">
        <v>5179</v>
      </c>
      <c r="K966" s="7" t="s">
        <v>603</v>
      </c>
      <c r="L966" s="10" t="s">
        <v>572</v>
      </c>
    </row>
    <row r="967" customFormat="false" ht="69.75" hidden="false" customHeight="true" outlineLevel="0" collapsed="false">
      <c r="A967" s="7" t="s">
        <v>5180</v>
      </c>
      <c r="B967" s="7" t="s">
        <v>5181</v>
      </c>
      <c r="C967" s="7" t="s">
        <v>4774</v>
      </c>
      <c r="D967" s="7" t="s">
        <v>5182</v>
      </c>
      <c r="E967" s="7" t="s">
        <v>108</v>
      </c>
      <c r="F967" s="7" t="s">
        <v>748</v>
      </c>
      <c r="G967" s="7" t="s">
        <v>749</v>
      </c>
      <c r="H967" s="7" t="s">
        <v>750</v>
      </c>
      <c r="I967" s="7" t="s">
        <v>5183</v>
      </c>
      <c r="J967" s="9" t="s">
        <v>5184</v>
      </c>
      <c r="K967" s="7" t="s">
        <v>603</v>
      </c>
      <c r="L967" s="10" t="s">
        <v>572</v>
      </c>
    </row>
    <row r="968" customFormat="false" ht="69.75" hidden="false" customHeight="true" outlineLevel="0" collapsed="false">
      <c r="A968" s="7" t="s">
        <v>5185</v>
      </c>
      <c r="B968" s="7" t="s">
        <v>5186</v>
      </c>
      <c r="C968" s="7" t="s">
        <v>4774</v>
      </c>
      <c r="D968" s="7" t="s">
        <v>5187</v>
      </c>
      <c r="E968" s="7" t="s">
        <v>108</v>
      </c>
      <c r="F968" s="7" t="s">
        <v>748</v>
      </c>
      <c r="G968" s="7" t="s">
        <v>749</v>
      </c>
      <c r="H968" s="7" t="s">
        <v>750</v>
      </c>
      <c r="I968" s="7" t="s">
        <v>5188</v>
      </c>
      <c r="J968" s="9" t="s">
        <v>5189</v>
      </c>
      <c r="K968" s="7" t="s">
        <v>603</v>
      </c>
      <c r="L968" s="10" t="s">
        <v>572</v>
      </c>
    </row>
    <row r="969" customFormat="false" ht="35.25" hidden="false" customHeight="true" outlineLevel="0" collapsed="false">
      <c r="A969" s="7" t="s">
        <v>5190</v>
      </c>
      <c r="B969" s="7" t="s">
        <v>5191</v>
      </c>
      <c r="C969" s="7" t="s">
        <v>4774</v>
      </c>
      <c r="D969" s="7" t="s">
        <v>5192</v>
      </c>
      <c r="E969" s="7" t="s">
        <v>108</v>
      </c>
      <c r="F969" s="7" t="s">
        <v>628</v>
      </c>
      <c r="G969" s="7" t="s">
        <v>629</v>
      </c>
      <c r="H969" s="7" t="s">
        <v>630</v>
      </c>
      <c r="I969" s="7" t="s">
        <v>5193</v>
      </c>
      <c r="J969" s="9" t="s">
        <v>5194</v>
      </c>
      <c r="K969" s="7" t="s">
        <v>603</v>
      </c>
      <c r="L969" s="10" t="s">
        <v>572</v>
      </c>
    </row>
    <row r="970" customFormat="false" ht="35.25" hidden="false" customHeight="true" outlineLevel="0" collapsed="false">
      <c r="A970" s="7" t="s">
        <v>5195</v>
      </c>
      <c r="B970" s="7" t="s">
        <v>5196</v>
      </c>
      <c r="C970" s="7" t="s">
        <v>4774</v>
      </c>
      <c r="D970" s="7" t="s">
        <v>5197</v>
      </c>
      <c r="E970" s="7" t="s">
        <v>108</v>
      </c>
      <c r="F970" s="7" t="s">
        <v>748</v>
      </c>
      <c r="G970" s="7" t="s">
        <v>1621</v>
      </c>
      <c r="H970" s="7" t="s">
        <v>1622</v>
      </c>
      <c r="I970" s="7" t="s">
        <v>5198</v>
      </c>
      <c r="J970" s="9" t="s">
        <v>5199</v>
      </c>
      <c r="K970" s="7" t="s">
        <v>808</v>
      </c>
      <c r="L970" s="11" t="s">
        <v>180</v>
      </c>
    </row>
    <row r="971" customFormat="false" ht="35.25" hidden="false" customHeight="true" outlineLevel="0" collapsed="false">
      <c r="A971" s="7" t="s">
        <v>5200</v>
      </c>
      <c r="B971" s="7" t="s">
        <v>5201</v>
      </c>
      <c r="C971" s="7" t="s">
        <v>4774</v>
      </c>
      <c r="D971" s="7" t="s">
        <v>5202</v>
      </c>
      <c r="E971" s="7" t="s">
        <v>108</v>
      </c>
      <c r="F971" s="7" t="s">
        <v>318</v>
      </c>
      <c r="G971" s="7" t="s">
        <v>1671</v>
      </c>
      <c r="H971" s="7" t="s">
        <v>1672</v>
      </c>
      <c r="I971" s="7" t="s">
        <v>5203</v>
      </c>
      <c r="J971" s="9" t="s">
        <v>5204</v>
      </c>
      <c r="K971" s="7" t="s">
        <v>603</v>
      </c>
      <c r="L971" s="10" t="s">
        <v>572</v>
      </c>
    </row>
    <row r="972" customFormat="false" ht="52.5" hidden="false" customHeight="true" outlineLevel="0" collapsed="false">
      <c r="A972" s="7" t="s">
        <v>5205</v>
      </c>
      <c r="B972" s="7" t="s">
        <v>5206</v>
      </c>
      <c r="C972" s="7" t="s">
        <v>4774</v>
      </c>
      <c r="D972" s="7" t="s">
        <v>5207</v>
      </c>
      <c r="E972" s="7" t="s">
        <v>100</v>
      </c>
      <c r="F972" s="7" t="s">
        <v>3062</v>
      </c>
      <c r="G972" s="7" t="s">
        <v>3153</v>
      </c>
      <c r="H972" s="7" t="s">
        <v>3154</v>
      </c>
      <c r="I972" s="7" t="s">
        <v>5208</v>
      </c>
      <c r="J972" s="9" t="s">
        <v>5209</v>
      </c>
      <c r="K972" s="7" t="s">
        <v>603</v>
      </c>
      <c r="L972" s="10" t="s">
        <v>170</v>
      </c>
    </row>
    <row r="973" customFormat="false" ht="52.5" hidden="false" customHeight="true" outlineLevel="0" collapsed="false">
      <c r="A973" s="7" t="s">
        <v>5210</v>
      </c>
      <c r="B973" s="7" t="s">
        <v>5211</v>
      </c>
      <c r="C973" s="7" t="s">
        <v>4774</v>
      </c>
      <c r="D973" s="7" t="s">
        <v>5212</v>
      </c>
      <c r="E973" s="7" t="s">
        <v>100</v>
      </c>
      <c r="F973" s="7" t="s">
        <v>3062</v>
      </c>
      <c r="G973" s="7" t="s">
        <v>3153</v>
      </c>
      <c r="H973" s="7" t="s">
        <v>3154</v>
      </c>
      <c r="I973" s="7" t="s">
        <v>5213</v>
      </c>
      <c r="J973" s="9" t="s">
        <v>5214</v>
      </c>
      <c r="K973" s="7" t="s">
        <v>603</v>
      </c>
      <c r="L973" s="10" t="s">
        <v>170</v>
      </c>
    </row>
    <row r="974" customFormat="false" ht="52.5" hidden="false" customHeight="true" outlineLevel="0" collapsed="false">
      <c r="A974" s="7" t="s">
        <v>5215</v>
      </c>
      <c r="B974" s="7" t="s">
        <v>5216</v>
      </c>
      <c r="C974" s="7" t="s">
        <v>4774</v>
      </c>
      <c r="D974" s="7" t="s">
        <v>5217</v>
      </c>
      <c r="E974" s="7" t="s">
        <v>100</v>
      </c>
      <c r="F974" s="7" t="s">
        <v>3062</v>
      </c>
      <c r="G974" s="7" t="s">
        <v>3153</v>
      </c>
      <c r="H974" s="7" t="s">
        <v>3154</v>
      </c>
      <c r="I974" s="7" t="s">
        <v>5218</v>
      </c>
      <c r="J974" s="9" t="s">
        <v>5219</v>
      </c>
      <c r="K974" s="7" t="s">
        <v>603</v>
      </c>
      <c r="L974" s="10" t="s">
        <v>170</v>
      </c>
    </row>
    <row r="975" customFormat="false" ht="52.5" hidden="false" customHeight="true" outlineLevel="0" collapsed="false">
      <c r="A975" s="7" t="s">
        <v>5220</v>
      </c>
      <c r="B975" s="7" t="s">
        <v>5221</v>
      </c>
      <c r="C975" s="7" t="s">
        <v>4774</v>
      </c>
      <c r="D975" s="7" t="s">
        <v>5222</v>
      </c>
      <c r="E975" s="7" t="s">
        <v>100</v>
      </c>
      <c r="F975" s="7" t="s">
        <v>3062</v>
      </c>
      <c r="G975" s="7" t="s">
        <v>3153</v>
      </c>
      <c r="H975" s="7" t="s">
        <v>3154</v>
      </c>
      <c r="I975" s="7" t="s">
        <v>5223</v>
      </c>
      <c r="J975" s="9" t="s">
        <v>5224</v>
      </c>
      <c r="K975" s="7" t="s">
        <v>603</v>
      </c>
      <c r="L975" s="10" t="s">
        <v>170</v>
      </c>
    </row>
    <row r="976" customFormat="false" ht="52.5" hidden="false" customHeight="true" outlineLevel="0" collapsed="false">
      <c r="A976" s="7" t="s">
        <v>5225</v>
      </c>
      <c r="B976" s="7" t="s">
        <v>5226</v>
      </c>
      <c r="C976" s="7" t="s">
        <v>4774</v>
      </c>
      <c r="D976" s="7" t="s">
        <v>5227</v>
      </c>
      <c r="E976" s="7" t="s">
        <v>100</v>
      </c>
      <c r="F976" s="7" t="s">
        <v>3062</v>
      </c>
      <c r="G976" s="7" t="s">
        <v>3153</v>
      </c>
      <c r="H976" s="7" t="s">
        <v>3154</v>
      </c>
      <c r="I976" s="7" t="s">
        <v>5228</v>
      </c>
      <c r="J976" s="9" t="s">
        <v>5229</v>
      </c>
      <c r="K976" s="7" t="s">
        <v>603</v>
      </c>
      <c r="L976" s="10" t="s">
        <v>170</v>
      </c>
    </row>
    <row r="977" customFormat="false" ht="52.5" hidden="false" customHeight="true" outlineLevel="0" collapsed="false">
      <c r="A977" s="7" t="s">
        <v>5230</v>
      </c>
      <c r="B977" s="7" t="s">
        <v>5231</v>
      </c>
      <c r="C977" s="7" t="s">
        <v>4774</v>
      </c>
      <c r="D977" s="7" t="s">
        <v>5232</v>
      </c>
      <c r="E977" s="7" t="s">
        <v>100</v>
      </c>
      <c r="F977" s="7" t="s">
        <v>3062</v>
      </c>
      <c r="G977" s="7" t="s">
        <v>3153</v>
      </c>
      <c r="H977" s="7" t="s">
        <v>3154</v>
      </c>
      <c r="I977" s="7" t="s">
        <v>5233</v>
      </c>
      <c r="J977" s="9" t="s">
        <v>5234</v>
      </c>
      <c r="K977" s="7" t="s">
        <v>603</v>
      </c>
      <c r="L977" s="10" t="s">
        <v>170</v>
      </c>
    </row>
    <row r="978" customFormat="false" ht="35.25" hidden="false" customHeight="true" outlineLevel="0" collapsed="false">
      <c r="A978" s="7" t="s">
        <v>5235</v>
      </c>
      <c r="B978" s="7" t="s">
        <v>5236</v>
      </c>
      <c r="C978" s="7" t="s">
        <v>4774</v>
      </c>
      <c r="D978" s="7" t="s">
        <v>5237</v>
      </c>
      <c r="E978" s="7" t="s">
        <v>108</v>
      </c>
      <c r="F978" s="7" t="s">
        <v>628</v>
      </c>
      <c r="G978" s="7" t="s">
        <v>629</v>
      </c>
      <c r="H978" s="7" t="s">
        <v>630</v>
      </c>
      <c r="I978" s="7" t="s">
        <v>5238</v>
      </c>
      <c r="J978" s="9" t="s">
        <v>5239</v>
      </c>
      <c r="K978" s="7" t="s">
        <v>814</v>
      </c>
      <c r="L978" s="10" t="s">
        <v>572</v>
      </c>
    </row>
    <row r="979" customFormat="false" ht="69.75" hidden="false" customHeight="true" outlineLevel="0" collapsed="false">
      <c r="A979" s="7" t="s">
        <v>5240</v>
      </c>
      <c r="B979" s="7" t="s">
        <v>5241</v>
      </c>
      <c r="C979" s="7" t="s">
        <v>4774</v>
      </c>
      <c r="D979" s="7" t="s">
        <v>5242</v>
      </c>
      <c r="E979" s="7" t="s">
        <v>108</v>
      </c>
      <c r="F979" s="7" t="s">
        <v>628</v>
      </c>
      <c r="G979" s="7" t="s">
        <v>629</v>
      </c>
      <c r="H979" s="7" t="s">
        <v>630</v>
      </c>
      <c r="I979" s="7" t="s">
        <v>5243</v>
      </c>
      <c r="J979" s="9" t="s">
        <v>5244</v>
      </c>
      <c r="K979" s="7" t="s">
        <v>814</v>
      </c>
      <c r="L979" s="10" t="s">
        <v>572</v>
      </c>
    </row>
    <row r="980" customFormat="false" ht="69.75" hidden="false" customHeight="true" outlineLevel="0" collapsed="false">
      <c r="A980" s="7" t="s">
        <v>5245</v>
      </c>
      <c r="B980" s="7" t="s">
        <v>5246</v>
      </c>
      <c r="C980" s="7" t="s">
        <v>4774</v>
      </c>
      <c r="D980" s="7" t="s">
        <v>5247</v>
      </c>
      <c r="E980" s="7" t="s">
        <v>108</v>
      </c>
      <c r="F980" s="7" t="s">
        <v>628</v>
      </c>
      <c r="G980" s="7" t="s">
        <v>629</v>
      </c>
      <c r="H980" s="7" t="s">
        <v>630</v>
      </c>
      <c r="I980" s="7" t="s">
        <v>5248</v>
      </c>
      <c r="J980" s="9" t="s">
        <v>5249</v>
      </c>
      <c r="K980" s="7" t="s">
        <v>814</v>
      </c>
      <c r="L980" s="10" t="s">
        <v>572</v>
      </c>
    </row>
    <row r="981" customFormat="false" ht="69.75" hidden="false" customHeight="true" outlineLevel="0" collapsed="false">
      <c r="A981" s="7" t="s">
        <v>5250</v>
      </c>
      <c r="B981" s="7" t="s">
        <v>5251</v>
      </c>
      <c r="C981" s="7" t="s">
        <v>4774</v>
      </c>
      <c r="D981" s="7" t="s">
        <v>5252</v>
      </c>
      <c r="E981" s="7" t="s">
        <v>108</v>
      </c>
      <c r="F981" s="7" t="s">
        <v>628</v>
      </c>
      <c r="G981" s="7" t="s">
        <v>629</v>
      </c>
      <c r="H981" s="7" t="s">
        <v>630</v>
      </c>
      <c r="I981" s="7" t="s">
        <v>5253</v>
      </c>
      <c r="J981" s="9" t="s">
        <v>5254</v>
      </c>
      <c r="K981" s="7" t="s">
        <v>814</v>
      </c>
      <c r="L981" s="10" t="s">
        <v>572</v>
      </c>
    </row>
    <row r="982" customFormat="false" ht="87" hidden="false" customHeight="true" outlineLevel="0" collapsed="false">
      <c r="A982" s="7" t="s">
        <v>5255</v>
      </c>
      <c r="B982" s="7" t="s">
        <v>5256</v>
      </c>
      <c r="C982" s="7" t="s">
        <v>4774</v>
      </c>
      <c r="D982" s="7" t="s">
        <v>5257</v>
      </c>
      <c r="E982" s="7" t="s">
        <v>108</v>
      </c>
      <c r="F982" s="7" t="s">
        <v>628</v>
      </c>
      <c r="G982" s="7" t="s">
        <v>629</v>
      </c>
      <c r="H982" s="7" t="s">
        <v>630</v>
      </c>
      <c r="I982" s="7" t="s">
        <v>5258</v>
      </c>
      <c r="J982" s="9" t="s">
        <v>5259</v>
      </c>
      <c r="K982" s="7" t="s">
        <v>814</v>
      </c>
      <c r="L982" s="10" t="s">
        <v>572</v>
      </c>
    </row>
    <row r="983" customFormat="false" ht="69.75" hidden="false" customHeight="true" outlineLevel="0" collapsed="false">
      <c r="A983" s="7" t="s">
        <v>5260</v>
      </c>
      <c r="B983" s="7" t="s">
        <v>5261</v>
      </c>
      <c r="C983" s="7" t="s">
        <v>4774</v>
      </c>
      <c r="D983" s="7" t="s">
        <v>5262</v>
      </c>
      <c r="E983" s="7" t="s">
        <v>108</v>
      </c>
      <c r="F983" s="7" t="s">
        <v>628</v>
      </c>
      <c r="G983" s="7" t="s">
        <v>629</v>
      </c>
      <c r="H983" s="7" t="s">
        <v>630</v>
      </c>
      <c r="I983" s="7" t="s">
        <v>5263</v>
      </c>
      <c r="J983" s="9" t="s">
        <v>5264</v>
      </c>
      <c r="K983" s="7" t="s">
        <v>814</v>
      </c>
      <c r="L983" s="10" t="s">
        <v>572</v>
      </c>
    </row>
    <row r="984" customFormat="false" ht="69.75" hidden="false" customHeight="true" outlineLevel="0" collapsed="false">
      <c r="A984" s="7" t="s">
        <v>5265</v>
      </c>
      <c r="B984" s="7" t="s">
        <v>5266</v>
      </c>
      <c r="C984" s="7" t="s">
        <v>4774</v>
      </c>
      <c r="D984" s="7" t="s">
        <v>5267</v>
      </c>
      <c r="E984" s="7" t="s">
        <v>108</v>
      </c>
      <c r="F984" s="7" t="s">
        <v>628</v>
      </c>
      <c r="G984" s="7" t="s">
        <v>629</v>
      </c>
      <c r="H984" s="7" t="s">
        <v>630</v>
      </c>
      <c r="I984" s="7" t="s">
        <v>5268</v>
      </c>
      <c r="J984" s="9" t="s">
        <v>5269</v>
      </c>
      <c r="K984" s="7" t="s">
        <v>814</v>
      </c>
      <c r="L984" s="10" t="s">
        <v>572</v>
      </c>
    </row>
    <row r="985" customFormat="false" ht="69.75" hidden="false" customHeight="true" outlineLevel="0" collapsed="false">
      <c r="A985" s="7" t="s">
        <v>5270</v>
      </c>
      <c r="B985" s="7" t="s">
        <v>5271</v>
      </c>
      <c r="C985" s="7" t="s">
        <v>4774</v>
      </c>
      <c r="D985" s="7" t="s">
        <v>5272</v>
      </c>
      <c r="E985" s="7" t="s">
        <v>108</v>
      </c>
      <c r="F985" s="7" t="s">
        <v>628</v>
      </c>
      <c r="G985" s="7" t="s">
        <v>629</v>
      </c>
      <c r="H985" s="7" t="s">
        <v>630</v>
      </c>
      <c r="I985" s="7" t="s">
        <v>5273</v>
      </c>
      <c r="J985" s="9" t="s">
        <v>5274</v>
      </c>
      <c r="K985" s="7" t="s">
        <v>814</v>
      </c>
      <c r="L985" s="10" t="s">
        <v>572</v>
      </c>
    </row>
    <row r="986" customFormat="false" ht="69.75" hidden="false" customHeight="true" outlineLevel="0" collapsed="false">
      <c r="A986" s="7" t="s">
        <v>5275</v>
      </c>
      <c r="B986" s="7" t="s">
        <v>5276</v>
      </c>
      <c r="C986" s="7" t="s">
        <v>4774</v>
      </c>
      <c r="D986" s="7" t="s">
        <v>5277</v>
      </c>
      <c r="E986" s="7" t="s">
        <v>108</v>
      </c>
      <c r="F986" s="7" t="s">
        <v>628</v>
      </c>
      <c r="G986" s="7" t="s">
        <v>629</v>
      </c>
      <c r="H986" s="7" t="s">
        <v>630</v>
      </c>
      <c r="I986" s="7" t="s">
        <v>5278</v>
      </c>
      <c r="J986" s="9" t="s">
        <v>5279</v>
      </c>
      <c r="K986" s="7" t="s">
        <v>814</v>
      </c>
      <c r="L986" s="10" t="s">
        <v>572</v>
      </c>
    </row>
    <row r="987" customFormat="false" ht="35.25" hidden="false" customHeight="true" outlineLevel="0" collapsed="false">
      <c r="A987" s="7" t="s">
        <v>5280</v>
      </c>
      <c r="B987" s="7" t="s">
        <v>5281</v>
      </c>
      <c r="C987" s="7" t="s">
        <v>4774</v>
      </c>
      <c r="D987" s="7" t="s">
        <v>5282</v>
      </c>
      <c r="E987" s="7" t="s">
        <v>112</v>
      </c>
      <c r="F987" s="7" t="s">
        <v>566</v>
      </c>
      <c r="G987" s="7" t="s">
        <v>567</v>
      </c>
      <c r="H987" s="7" t="s">
        <v>568</v>
      </c>
      <c r="I987" s="7" t="s">
        <v>5283</v>
      </c>
      <c r="J987" s="9" t="s">
        <v>5284</v>
      </c>
      <c r="K987" s="7" t="s">
        <v>603</v>
      </c>
      <c r="L987" s="10" t="s">
        <v>572</v>
      </c>
    </row>
    <row r="988" customFormat="false" ht="35.25" hidden="false" customHeight="true" outlineLevel="0" collapsed="false">
      <c r="A988" s="7" t="s">
        <v>5285</v>
      </c>
      <c r="B988" s="7" t="s">
        <v>5286</v>
      </c>
      <c r="C988" s="7" t="s">
        <v>4774</v>
      </c>
      <c r="D988" s="7" t="s">
        <v>5287</v>
      </c>
      <c r="E988" s="7" t="s">
        <v>108</v>
      </c>
      <c r="F988" s="7" t="s">
        <v>628</v>
      </c>
      <c r="G988" s="7" t="s">
        <v>629</v>
      </c>
      <c r="H988" s="7" t="s">
        <v>630</v>
      </c>
      <c r="I988" s="7" t="s">
        <v>5288</v>
      </c>
      <c r="J988" s="9" t="s">
        <v>5289</v>
      </c>
      <c r="K988" s="7" t="s">
        <v>814</v>
      </c>
      <c r="L988" s="10" t="s">
        <v>572</v>
      </c>
    </row>
    <row r="989" customFormat="false" ht="35.25" hidden="false" customHeight="true" outlineLevel="0" collapsed="false">
      <c r="A989" s="7" t="s">
        <v>5290</v>
      </c>
      <c r="B989" s="7" t="s">
        <v>5291</v>
      </c>
      <c r="C989" s="7" t="s">
        <v>4774</v>
      </c>
      <c r="D989" s="7" t="s">
        <v>5292</v>
      </c>
      <c r="E989" s="7" t="s">
        <v>108</v>
      </c>
      <c r="F989" s="7" t="s">
        <v>318</v>
      </c>
      <c r="G989" s="7" t="s">
        <v>1671</v>
      </c>
      <c r="H989" s="7" t="s">
        <v>1672</v>
      </c>
      <c r="I989" s="7" t="s">
        <v>5293</v>
      </c>
      <c r="J989" s="9" t="s">
        <v>5294</v>
      </c>
      <c r="K989" s="7" t="s">
        <v>814</v>
      </c>
      <c r="L989" s="10" t="s">
        <v>572</v>
      </c>
    </row>
    <row r="990" customFormat="false" ht="35.25" hidden="false" customHeight="true" outlineLevel="0" collapsed="false">
      <c r="A990" s="7" t="s">
        <v>5295</v>
      </c>
      <c r="B990" s="7" t="s">
        <v>5296</v>
      </c>
      <c r="C990" s="7" t="s">
        <v>4774</v>
      </c>
      <c r="D990" s="7" t="s">
        <v>5297</v>
      </c>
      <c r="E990" s="7" t="s">
        <v>108</v>
      </c>
      <c r="F990" s="7" t="s">
        <v>628</v>
      </c>
      <c r="G990" s="7" t="s">
        <v>629</v>
      </c>
      <c r="H990" s="7" t="s">
        <v>630</v>
      </c>
      <c r="I990" s="7" t="s">
        <v>5298</v>
      </c>
      <c r="J990" s="9" t="s">
        <v>5299</v>
      </c>
      <c r="K990" s="7" t="s">
        <v>5300</v>
      </c>
      <c r="L990" s="10" t="s">
        <v>572</v>
      </c>
    </row>
    <row r="991" customFormat="false" ht="52.5" hidden="false" customHeight="true" outlineLevel="0" collapsed="false">
      <c r="A991" s="7" t="s">
        <v>5301</v>
      </c>
      <c r="B991" s="7" t="s">
        <v>5302</v>
      </c>
      <c r="C991" s="7" t="s">
        <v>5303</v>
      </c>
      <c r="D991" s="7" t="s">
        <v>163</v>
      </c>
      <c r="E991" s="7" t="s">
        <v>100</v>
      </c>
      <c r="F991" s="7" t="s">
        <v>164</v>
      </c>
      <c r="G991" s="7" t="s">
        <v>165</v>
      </c>
      <c r="H991" s="7" t="s">
        <v>166</v>
      </c>
      <c r="I991" s="7" t="s">
        <v>5304</v>
      </c>
      <c r="J991" s="9" t="s">
        <v>5305</v>
      </c>
      <c r="K991" s="7" t="s">
        <v>169</v>
      </c>
      <c r="L991" s="10" t="s">
        <v>170</v>
      </c>
    </row>
    <row r="992" customFormat="false" ht="52.5" hidden="false" customHeight="true" outlineLevel="0" collapsed="false">
      <c r="A992" s="7" t="s">
        <v>5306</v>
      </c>
      <c r="B992" s="7" t="s">
        <v>5307</v>
      </c>
      <c r="C992" s="7" t="s">
        <v>5303</v>
      </c>
      <c r="D992" s="7" t="s">
        <v>5308</v>
      </c>
      <c r="E992" s="7" t="s">
        <v>100</v>
      </c>
      <c r="F992" s="7" t="s">
        <v>3125</v>
      </c>
      <c r="G992" s="7" t="s">
        <v>5309</v>
      </c>
      <c r="H992" s="7" t="s">
        <v>5310</v>
      </c>
      <c r="I992" s="7" t="s">
        <v>5311</v>
      </c>
      <c r="J992" s="9" t="s">
        <v>5312</v>
      </c>
      <c r="K992" s="7" t="s">
        <v>3803</v>
      </c>
      <c r="L992" s="10" t="s">
        <v>170</v>
      </c>
    </row>
    <row r="993" customFormat="false" ht="52.5" hidden="false" customHeight="true" outlineLevel="0" collapsed="false">
      <c r="A993" s="7" t="s">
        <v>5313</v>
      </c>
      <c r="B993" s="7" t="s">
        <v>5314</v>
      </c>
      <c r="C993" s="7" t="s">
        <v>5303</v>
      </c>
      <c r="D993" s="7" t="s">
        <v>5315</v>
      </c>
      <c r="E993" s="7" t="s">
        <v>100</v>
      </c>
      <c r="F993" s="7" t="s">
        <v>3125</v>
      </c>
      <c r="G993" s="7" t="s">
        <v>5309</v>
      </c>
      <c r="H993" s="7" t="s">
        <v>5310</v>
      </c>
      <c r="I993" s="7" t="s">
        <v>5316</v>
      </c>
      <c r="J993" s="9" t="s">
        <v>5317</v>
      </c>
      <c r="K993" s="7" t="s">
        <v>3803</v>
      </c>
      <c r="L993" s="10" t="s">
        <v>170</v>
      </c>
    </row>
    <row r="994" customFormat="false" ht="52.5" hidden="false" customHeight="true" outlineLevel="0" collapsed="false">
      <c r="A994" s="7" t="s">
        <v>5318</v>
      </c>
      <c r="B994" s="7" t="s">
        <v>5319</v>
      </c>
      <c r="C994" s="7" t="s">
        <v>5303</v>
      </c>
      <c r="D994" s="7" t="s">
        <v>5320</v>
      </c>
      <c r="E994" s="7" t="s">
        <v>100</v>
      </c>
      <c r="F994" s="7" t="s">
        <v>3125</v>
      </c>
      <c r="G994" s="7" t="s">
        <v>3126</v>
      </c>
      <c r="H994" s="7" t="s">
        <v>3127</v>
      </c>
      <c r="I994" s="7" t="s">
        <v>5321</v>
      </c>
      <c r="J994" s="9" t="s">
        <v>5322</v>
      </c>
      <c r="K994" s="7" t="s">
        <v>3803</v>
      </c>
      <c r="L994" s="10" t="s">
        <v>170</v>
      </c>
    </row>
    <row r="995" customFormat="false" ht="52.5" hidden="false" customHeight="true" outlineLevel="0" collapsed="false">
      <c r="A995" s="7" t="s">
        <v>5323</v>
      </c>
      <c r="B995" s="7" t="s">
        <v>5324</v>
      </c>
      <c r="C995" s="7" t="s">
        <v>5303</v>
      </c>
      <c r="D995" s="7" t="s">
        <v>5325</v>
      </c>
      <c r="E995" s="7" t="s">
        <v>100</v>
      </c>
      <c r="F995" s="7" t="s">
        <v>3125</v>
      </c>
      <c r="G995" s="7" t="s">
        <v>3126</v>
      </c>
      <c r="H995" s="7" t="s">
        <v>3127</v>
      </c>
      <c r="I995" s="7" t="s">
        <v>5326</v>
      </c>
      <c r="J995" s="9" t="s">
        <v>5327</v>
      </c>
      <c r="K995" s="7" t="s">
        <v>3803</v>
      </c>
      <c r="L995" s="10" t="s">
        <v>170</v>
      </c>
    </row>
    <row r="996" customFormat="false" ht="52.5" hidden="false" customHeight="true" outlineLevel="0" collapsed="false">
      <c r="A996" s="7" t="s">
        <v>5328</v>
      </c>
      <c r="B996" s="7" t="s">
        <v>5329</v>
      </c>
      <c r="C996" s="7" t="s">
        <v>5303</v>
      </c>
      <c r="D996" s="7" t="s">
        <v>5330</v>
      </c>
      <c r="E996" s="7" t="s">
        <v>100</v>
      </c>
      <c r="F996" s="7" t="s">
        <v>3125</v>
      </c>
      <c r="G996" s="7" t="s">
        <v>3126</v>
      </c>
      <c r="H996" s="7" t="s">
        <v>3127</v>
      </c>
      <c r="I996" s="7" t="s">
        <v>5331</v>
      </c>
      <c r="J996" s="9" t="s">
        <v>5332</v>
      </c>
      <c r="K996" s="7" t="s">
        <v>3803</v>
      </c>
      <c r="L996" s="10" t="s">
        <v>170</v>
      </c>
    </row>
    <row r="997" customFormat="false" ht="52.5" hidden="false" customHeight="true" outlineLevel="0" collapsed="false">
      <c r="A997" s="7" t="s">
        <v>5333</v>
      </c>
      <c r="B997" s="7" t="s">
        <v>5334</v>
      </c>
      <c r="C997" s="7" t="s">
        <v>5303</v>
      </c>
      <c r="D997" s="7" t="s">
        <v>5335</v>
      </c>
      <c r="E997" s="7" t="s">
        <v>100</v>
      </c>
      <c r="F997" s="7" t="s">
        <v>3125</v>
      </c>
      <c r="G997" s="7" t="s">
        <v>3126</v>
      </c>
      <c r="H997" s="7" t="s">
        <v>3127</v>
      </c>
      <c r="I997" s="7" t="s">
        <v>5336</v>
      </c>
      <c r="J997" s="9" t="s">
        <v>5337</v>
      </c>
      <c r="K997" s="7" t="s">
        <v>3803</v>
      </c>
      <c r="L997" s="10" t="s">
        <v>170</v>
      </c>
    </row>
    <row r="998" customFormat="false" ht="35.25" hidden="false" customHeight="true" outlineLevel="0" collapsed="false">
      <c r="A998" s="7" t="s">
        <v>5338</v>
      </c>
      <c r="B998" s="7" t="s">
        <v>5339</v>
      </c>
      <c r="C998" s="7" t="s">
        <v>5303</v>
      </c>
      <c r="D998" s="7" t="s">
        <v>5340</v>
      </c>
      <c r="E998" s="7" t="s">
        <v>104</v>
      </c>
      <c r="F998" s="7" t="s">
        <v>1274</v>
      </c>
      <c r="G998" s="7" t="s">
        <v>5341</v>
      </c>
      <c r="H998" s="7" t="s">
        <v>5342</v>
      </c>
      <c r="I998" s="7" t="s">
        <v>5343</v>
      </c>
      <c r="J998" s="9" t="s">
        <v>5344</v>
      </c>
      <c r="K998" s="7" t="s">
        <v>5345</v>
      </c>
      <c r="L998" s="10" t="s">
        <v>170</v>
      </c>
    </row>
    <row r="999" customFormat="false" ht="35.25" hidden="false" customHeight="true" outlineLevel="0" collapsed="false">
      <c r="A999" s="7" t="s">
        <v>5346</v>
      </c>
      <c r="B999" s="7" t="s">
        <v>5347</v>
      </c>
      <c r="C999" s="7" t="s">
        <v>5303</v>
      </c>
      <c r="D999" s="7" t="s">
        <v>5348</v>
      </c>
      <c r="E999" s="7" t="s">
        <v>104</v>
      </c>
      <c r="F999" s="7" t="s">
        <v>1274</v>
      </c>
      <c r="G999" s="7" t="s">
        <v>5341</v>
      </c>
      <c r="H999" s="7" t="s">
        <v>5342</v>
      </c>
      <c r="I999" s="7" t="s">
        <v>5349</v>
      </c>
      <c r="J999" s="9" t="s">
        <v>5350</v>
      </c>
      <c r="K999" s="7" t="s">
        <v>5345</v>
      </c>
      <c r="L999" s="10" t="s">
        <v>170</v>
      </c>
    </row>
    <row r="1000" customFormat="false" ht="35.25" hidden="false" customHeight="true" outlineLevel="0" collapsed="false">
      <c r="A1000" s="7" t="s">
        <v>5351</v>
      </c>
      <c r="B1000" s="7" t="s">
        <v>5352</v>
      </c>
      <c r="C1000" s="7" t="s">
        <v>5303</v>
      </c>
      <c r="D1000" s="7" t="s">
        <v>5353</v>
      </c>
      <c r="E1000" s="7" t="s">
        <v>104</v>
      </c>
      <c r="F1000" s="7" t="s">
        <v>1274</v>
      </c>
      <c r="G1000" s="7" t="s">
        <v>5341</v>
      </c>
      <c r="H1000" s="7" t="s">
        <v>5342</v>
      </c>
      <c r="I1000" s="7" t="s">
        <v>5354</v>
      </c>
      <c r="J1000" s="9" t="s">
        <v>5355</v>
      </c>
      <c r="K1000" s="7" t="s">
        <v>5345</v>
      </c>
      <c r="L1000" s="10" t="s">
        <v>170</v>
      </c>
    </row>
    <row r="1001" customFormat="false" ht="35.25" hidden="false" customHeight="true" outlineLevel="0" collapsed="false">
      <c r="A1001" s="7" t="s">
        <v>5356</v>
      </c>
      <c r="B1001" s="7" t="s">
        <v>5357</v>
      </c>
      <c r="C1001" s="7" t="s">
        <v>5303</v>
      </c>
      <c r="D1001" s="7" t="s">
        <v>5358</v>
      </c>
      <c r="E1001" s="7" t="s">
        <v>104</v>
      </c>
      <c r="F1001" s="7" t="s">
        <v>1274</v>
      </c>
      <c r="G1001" s="7" t="s">
        <v>5341</v>
      </c>
      <c r="H1001" s="7" t="s">
        <v>5342</v>
      </c>
      <c r="I1001" s="7" t="s">
        <v>5359</v>
      </c>
      <c r="J1001" s="9" t="s">
        <v>5360</v>
      </c>
      <c r="K1001" s="7" t="s">
        <v>5345</v>
      </c>
      <c r="L1001" s="10" t="s">
        <v>170</v>
      </c>
    </row>
    <row r="1002" customFormat="false" ht="35.25" hidden="false" customHeight="true" outlineLevel="0" collapsed="false">
      <c r="A1002" s="7" t="s">
        <v>5361</v>
      </c>
      <c r="B1002" s="7" t="s">
        <v>5362</v>
      </c>
      <c r="C1002" s="7" t="s">
        <v>5303</v>
      </c>
      <c r="D1002" s="7" t="s">
        <v>5363</v>
      </c>
      <c r="E1002" s="7" t="s">
        <v>104</v>
      </c>
      <c r="F1002" s="7" t="s">
        <v>1274</v>
      </c>
      <c r="G1002" s="7" t="s">
        <v>5341</v>
      </c>
      <c r="H1002" s="7" t="s">
        <v>5342</v>
      </c>
      <c r="I1002" s="7" t="s">
        <v>5364</v>
      </c>
      <c r="J1002" s="9" t="s">
        <v>5365</v>
      </c>
      <c r="K1002" s="7" t="s">
        <v>5345</v>
      </c>
      <c r="L1002" s="10" t="s">
        <v>170</v>
      </c>
    </row>
    <row r="1003" customFormat="false" ht="35.25" hidden="false" customHeight="true" outlineLevel="0" collapsed="false">
      <c r="A1003" s="7" t="s">
        <v>5366</v>
      </c>
      <c r="B1003" s="7" t="s">
        <v>5367</v>
      </c>
      <c r="C1003" s="7" t="s">
        <v>5303</v>
      </c>
      <c r="D1003" s="7" t="s">
        <v>5368</v>
      </c>
      <c r="E1003" s="7" t="s">
        <v>100</v>
      </c>
      <c r="F1003" s="7" t="s">
        <v>3125</v>
      </c>
      <c r="G1003" s="7" t="s">
        <v>5369</v>
      </c>
      <c r="H1003" s="7" t="s">
        <v>5370</v>
      </c>
      <c r="I1003" s="7" t="s">
        <v>5371</v>
      </c>
      <c r="J1003" s="9" t="s">
        <v>5372</v>
      </c>
      <c r="K1003" s="7" t="s">
        <v>3803</v>
      </c>
      <c r="L1003" s="10" t="s">
        <v>170</v>
      </c>
    </row>
    <row r="1004" customFormat="false" ht="35.25" hidden="false" customHeight="true" outlineLevel="0" collapsed="false">
      <c r="A1004" s="7" t="s">
        <v>5373</v>
      </c>
      <c r="B1004" s="7" t="s">
        <v>5374</v>
      </c>
      <c r="C1004" s="7" t="s">
        <v>5303</v>
      </c>
      <c r="D1004" s="7" t="s">
        <v>5375</v>
      </c>
      <c r="E1004" s="7" t="s">
        <v>100</v>
      </c>
      <c r="F1004" s="7" t="s">
        <v>3125</v>
      </c>
      <c r="G1004" s="7" t="s">
        <v>5369</v>
      </c>
      <c r="H1004" s="7" t="s">
        <v>5370</v>
      </c>
      <c r="I1004" s="7" t="s">
        <v>5376</v>
      </c>
      <c r="J1004" s="9" t="s">
        <v>5377</v>
      </c>
      <c r="K1004" s="7" t="s">
        <v>3803</v>
      </c>
      <c r="L1004" s="10" t="s">
        <v>170</v>
      </c>
    </row>
    <row r="1005" customFormat="false" ht="52.5" hidden="false" customHeight="true" outlineLevel="0" collapsed="false">
      <c r="A1005" s="7" t="s">
        <v>5378</v>
      </c>
      <c r="B1005" s="7" t="s">
        <v>5379</v>
      </c>
      <c r="C1005" s="7" t="s">
        <v>5303</v>
      </c>
      <c r="D1005" s="7" t="s">
        <v>5380</v>
      </c>
      <c r="E1005" s="7" t="s">
        <v>100</v>
      </c>
      <c r="F1005" s="7" t="s">
        <v>3125</v>
      </c>
      <c r="G1005" s="7" t="s">
        <v>5369</v>
      </c>
      <c r="H1005" s="7" t="s">
        <v>5370</v>
      </c>
      <c r="I1005" s="7" t="s">
        <v>5381</v>
      </c>
      <c r="J1005" s="9" t="s">
        <v>5382</v>
      </c>
      <c r="K1005" s="7" t="s">
        <v>3803</v>
      </c>
      <c r="L1005" s="10" t="s">
        <v>170</v>
      </c>
    </row>
    <row r="1006" customFormat="false" ht="52.5" hidden="false" customHeight="true" outlineLevel="0" collapsed="false">
      <c r="A1006" s="7" t="s">
        <v>5383</v>
      </c>
      <c r="B1006" s="7" t="s">
        <v>5384</v>
      </c>
      <c r="C1006" s="7" t="s">
        <v>5303</v>
      </c>
      <c r="D1006" s="7" t="s">
        <v>5385</v>
      </c>
      <c r="E1006" s="7" t="s">
        <v>100</v>
      </c>
      <c r="F1006" s="7" t="s">
        <v>3125</v>
      </c>
      <c r="G1006" s="7" t="s">
        <v>3799</v>
      </c>
      <c r="H1006" s="7" t="s">
        <v>3800</v>
      </c>
      <c r="I1006" s="7" t="s">
        <v>5386</v>
      </c>
      <c r="J1006" s="9" t="s">
        <v>5387</v>
      </c>
      <c r="K1006" s="7" t="s">
        <v>3803</v>
      </c>
      <c r="L1006" s="10" t="s">
        <v>170</v>
      </c>
    </row>
    <row r="1007" customFormat="false" ht="52.5" hidden="false" customHeight="true" outlineLevel="0" collapsed="false">
      <c r="A1007" s="7" t="s">
        <v>5388</v>
      </c>
      <c r="B1007" s="7" t="s">
        <v>5389</v>
      </c>
      <c r="C1007" s="7" t="s">
        <v>5303</v>
      </c>
      <c r="D1007" s="7" t="s">
        <v>5390</v>
      </c>
      <c r="E1007" s="7" t="s">
        <v>100</v>
      </c>
      <c r="F1007" s="7" t="s">
        <v>3125</v>
      </c>
      <c r="G1007" s="7" t="s">
        <v>3799</v>
      </c>
      <c r="H1007" s="7" t="s">
        <v>3800</v>
      </c>
      <c r="I1007" s="7" t="s">
        <v>5391</v>
      </c>
      <c r="J1007" s="9" t="s">
        <v>5392</v>
      </c>
      <c r="K1007" s="7" t="s">
        <v>3803</v>
      </c>
      <c r="L1007" s="10" t="s">
        <v>170</v>
      </c>
    </row>
    <row r="1008" customFormat="false" ht="52.5" hidden="false" customHeight="true" outlineLevel="0" collapsed="false">
      <c r="A1008" s="7" t="s">
        <v>5393</v>
      </c>
      <c r="B1008" s="7" t="s">
        <v>5394</v>
      </c>
      <c r="C1008" s="7" t="s">
        <v>5303</v>
      </c>
      <c r="D1008" s="7" t="s">
        <v>5395</v>
      </c>
      <c r="E1008" s="7" t="s">
        <v>100</v>
      </c>
      <c r="F1008" s="7" t="s">
        <v>3125</v>
      </c>
      <c r="G1008" s="7" t="s">
        <v>3799</v>
      </c>
      <c r="H1008" s="7" t="s">
        <v>3800</v>
      </c>
      <c r="I1008" s="7" t="s">
        <v>5396</v>
      </c>
      <c r="J1008" s="9" t="s">
        <v>5397</v>
      </c>
      <c r="K1008" s="7" t="s">
        <v>5345</v>
      </c>
      <c r="L1008" s="10" t="s">
        <v>170</v>
      </c>
    </row>
    <row r="1009" customFormat="false" ht="35.25" hidden="false" customHeight="true" outlineLevel="0" collapsed="false">
      <c r="A1009" s="7" t="s">
        <v>5398</v>
      </c>
      <c r="B1009" s="7" t="s">
        <v>5399</v>
      </c>
      <c r="C1009" s="7" t="s">
        <v>5303</v>
      </c>
      <c r="D1009" s="7" t="s">
        <v>5400</v>
      </c>
      <c r="E1009" s="7" t="s">
        <v>100</v>
      </c>
      <c r="F1009" s="7" t="s">
        <v>3125</v>
      </c>
      <c r="G1009" s="7" t="s">
        <v>5401</v>
      </c>
      <c r="H1009" s="7" t="s">
        <v>5402</v>
      </c>
      <c r="I1009" s="7" t="s">
        <v>5403</v>
      </c>
      <c r="J1009" s="9" t="s">
        <v>5404</v>
      </c>
      <c r="K1009" s="7" t="s">
        <v>3803</v>
      </c>
      <c r="L1009" s="10" t="s">
        <v>170</v>
      </c>
    </row>
    <row r="1010" customFormat="false" ht="35.25" hidden="false" customHeight="true" outlineLevel="0" collapsed="false">
      <c r="A1010" s="7" t="s">
        <v>5405</v>
      </c>
      <c r="B1010" s="7" t="s">
        <v>5406</v>
      </c>
      <c r="C1010" s="7" t="s">
        <v>5303</v>
      </c>
      <c r="D1010" s="7" t="s">
        <v>5407</v>
      </c>
      <c r="E1010" s="7" t="s">
        <v>104</v>
      </c>
      <c r="F1010" s="7" t="s">
        <v>1274</v>
      </c>
      <c r="G1010" s="7" t="s">
        <v>5341</v>
      </c>
      <c r="H1010" s="7" t="s">
        <v>5342</v>
      </c>
      <c r="I1010" s="7" t="s">
        <v>5408</v>
      </c>
      <c r="J1010" s="9" t="s">
        <v>5409</v>
      </c>
      <c r="K1010" s="7" t="s">
        <v>2451</v>
      </c>
      <c r="L1010" s="10" t="s">
        <v>572</v>
      </c>
    </row>
    <row r="1011" customFormat="false" ht="69.75" hidden="false" customHeight="true" outlineLevel="0" collapsed="false">
      <c r="A1011" s="7" t="s">
        <v>5410</v>
      </c>
      <c r="B1011" s="7" t="s">
        <v>5411</v>
      </c>
      <c r="C1011" s="7" t="s">
        <v>5303</v>
      </c>
      <c r="D1011" s="7" t="s">
        <v>5412</v>
      </c>
      <c r="E1011" s="7" t="s">
        <v>104</v>
      </c>
      <c r="F1011" s="7" t="s">
        <v>1274</v>
      </c>
      <c r="G1011" s="7" t="s">
        <v>5341</v>
      </c>
      <c r="H1011" s="7" t="s">
        <v>5342</v>
      </c>
      <c r="I1011" s="7" t="s">
        <v>5413</v>
      </c>
      <c r="J1011" s="9" t="s">
        <v>5414</v>
      </c>
      <c r="K1011" s="7" t="s">
        <v>2451</v>
      </c>
      <c r="L1011" s="10" t="s">
        <v>572</v>
      </c>
    </row>
    <row r="1012" customFormat="false" ht="35.25" hidden="false" customHeight="true" outlineLevel="0" collapsed="false">
      <c r="A1012" s="7" t="s">
        <v>5415</v>
      </c>
      <c r="B1012" s="7" t="s">
        <v>5416</v>
      </c>
      <c r="C1012" s="7" t="s">
        <v>5303</v>
      </c>
      <c r="D1012" s="7" t="s">
        <v>5417</v>
      </c>
      <c r="E1012" s="7" t="s">
        <v>104</v>
      </c>
      <c r="F1012" s="7" t="s">
        <v>1274</v>
      </c>
      <c r="G1012" s="7" t="s">
        <v>5341</v>
      </c>
      <c r="H1012" s="7" t="s">
        <v>5342</v>
      </c>
      <c r="I1012" s="7" t="s">
        <v>5418</v>
      </c>
      <c r="J1012" s="9" t="s">
        <v>5419</v>
      </c>
      <c r="K1012" s="7" t="s">
        <v>5345</v>
      </c>
      <c r="L1012" s="10" t="s">
        <v>170</v>
      </c>
    </row>
    <row r="1013" customFormat="false" ht="35.25" hidden="false" customHeight="true" outlineLevel="0" collapsed="false">
      <c r="A1013" s="7" t="s">
        <v>5420</v>
      </c>
      <c r="B1013" s="7" t="s">
        <v>5421</v>
      </c>
      <c r="C1013" s="7" t="s">
        <v>5303</v>
      </c>
      <c r="D1013" s="7" t="s">
        <v>5422</v>
      </c>
      <c r="E1013" s="7" t="s">
        <v>104</v>
      </c>
      <c r="F1013" s="7" t="s">
        <v>1274</v>
      </c>
      <c r="G1013" s="7" t="s">
        <v>5341</v>
      </c>
      <c r="H1013" s="7" t="s">
        <v>5342</v>
      </c>
      <c r="I1013" s="7" t="s">
        <v>5423</v>
      </c>
      <c r="J1013" s="9" t="s">
        <v>5424</v>
      </c>
      <c r="K1013" s="7" t="s">
        <v>5425</v>
      </c>
      <c r="L1013" s="10" t="s">
        <v>572</v>
      </c>
    </row>
    <row r="1014" customFormat="false" ht="69.75" hidden="false" customHeight="true" outlineLevel="0" collapsed="false">
      <c r="A1014" s="7" t="s">
        <v>5426</v>
      </c>
      <c r="B1014" s="7" t="s">
        <v>5427</v>
      </c>
      <c r="C1014" s="7" t="s">
        <v>5303</v>
      </c>
      <c r="D1014" s="7" t="s">
        <v>5428</v>
      </c>
      <c r="E1014" s="7" t="s">
        <v>104</v>
      </c>
      <c r="F1014" s="7" t="s">
        <v>1274</v>
      </c>
      <c r="G1014" s="7" t="s">
        <v>5341</v>
      </c>
      <c r="H1014" s="7" t="s">
        <v>5342</v>
      </c>
      <c r="I1014" s="7" t="s">
        <v>5429</v>
      </c>
      <c r="J1014" s="9" t="s">
        <v>5430</v>
      </c>
      <c r="K1014" s="7" t="s">
        <v>5425</v>
      </c>
      <c r="L1014" s="10" t="s">
        <v>572</v>
      </c>
    </row>
    <row r="1015" customFormat="false" ht="69.75" hidden="false" customHeight="true" outlineLevel="0" collapsed="false">
      <c r="A1015" s="7" t="s">
        <v>5431</v>
      </c>
      <c r="B1015" s="7" t="s">
        <v>5432</v>
      </c>
      <c r="C1015" s="7" t="s">
        <v>5303</v>
      </c>
      <c r="D1015" s="7" t="s">
        <v>5433</v>
      </c>
      <c r="E1015" s="7" t="s">
        <v>104</v>
      </c>
      <c r="F1015" s="7" t="s">
        <v>1274</v>
      </c>
      <c r="G1015" s="7" t="s">
        <v>5341</v>
      </c>
      <c r="H1015" s="7" t="s">
        <v>5342</v>
      </c>
      <c r="I1015" s="7" t="s">
        <v>5434</v>
      </c>
      <c r="J1015" s="9" t="s">
        <v>5435</v>
      </c>
      <c r="K1015" s="7" t="s">
        <v>5425</v>
      </c>
      <c r="L1015" s="10" t="s">
        <v>572</v>
      </c>
    </row>
    <row r="1016" customFormat="false" ht="69.75" hidden="false" customHeight="true" outlineLevel="0" collapsed="false">
      <c r="A1016" s="7" t="s">
        <v>5436</v>
      </c>
      <c r="B1016" s="7" t="s">
        <v>5437</v>
      </c>
      <c r="C1016" s="7" t="s">
        <v>5303</v>
      </c>
      <c r="D1016" s="7" t="s">
        <v>5438</v>
      </c>
      <c r="E1016" s="7" t="s">
        <v>104</v>
      </c>
      <c r="F1016" s="7" t="s">
        <v>1274</v>
      </c>
      <c r="G1016" s="7" t="s">
        <v>5341</v>
      </c>
      <c r="H1016" s="7" t="s">
        <v>5342</v>
      </c>
      <c r="I1016" s="7" t="s">
        <v>5439</v>
      </c>
      <c r="J1016" s="9" t="s">
        <v>5440</v>
      </c>
      <c r="K1016" s="7" t="s">
        <v>5425</v>
      </c>
      <c r="L1016" s="10" t="s">
        <v>572</v>
      </c>
    </row>
    <row r="1017" customFormat="false" ht="35.25" hidden="false" customHeight="true" outlineLevel="0" collapsed="false">
      <c r="A1017" s="7" t="s">
        <v>5441</v>
      </c>
      <c r="B1017" s="7" t="s">
        <v>5442</v>
      </c>
      <c r="C1017" s="7" t="s">
        <v>5303</v>
      </c>
      <c r="D1017" s="7" t="s">
        <v>5443</v>
      </c>
      <c r="E1017" s="7" t="s">
        <v>108</v>
      </c>
      <c r="F1017" s="7" t="s">
        <v>748</v>
      </c>
      <c r="G1017" s="7" t="s">
        <v>2447</v>
      </c>
      <c r="H1017" s="7" t="s">
        <v>2448</v>
      </c>
      <c r="I1017" s="7" t="s">
        <v>5444</v>
      </c>
      <c r="J1017" s="9" t="s">
        <v>5445</v>
      </c>
      <c r="K1017" s="7" t="s">
        <v>2451</v>
      </c>
      <c r="L1017" s="10" t="s">
        <v>572</v>
      </c>
    </row>
  </sheetData>
  <autoFilter ref="A1:L10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44"/>
    <col collapsed="false" customWidth="true" hidden="false" outlineLevel="0" max="5" min="2" style="1" width="16"/>
  </cols>
  <sheetData>
    <row r="1" customFormat="false" ht="18" hidden="false" customHeight="true" outlineLevel="0" collapsed="false">
      <c r="A1" s="13" t="s">
        <v>10</v>
      </c>
      <c r="B1" s="13" t="s">
        <v>132</v>
      </c>
      <c r="C1" s="13" t="s">
        <v>138</v>
      </c>
      <c r="D1" s="13" t="s">
        <v>144</v>
      </c>
      <c r="E1" s="13" t="s">
        <v>5446</v>
      </c>
    </row>
    <row r="2" customFormat="false" ht="18" hidden="false" customHeight="true" outlineLevel="0" collapsed="false">
      <c r="A2" s="14" t="s">
        <v>162</v>
      </c>
      <c r="B2" s="14" t="n">
        <f aca="false">COUNTIFS('Config Baseline'!$C:$C,$A2,'Config Baseline'!$L:$L,"Level 1*")</f>
        <v>22</v>
      </c>
      <c r="C2" s="14" t="n">
        <f aca="false">COUNTIFS('Config Baseline'!$C:$C,$A2,'Config Baseline'!$L:$L,"Level 2*")</f>
        <v>75</v>
      </c>
      <c r="D2" s="14" t="n">
        <f aca="false">COUNTIFS('Config Baseline'!$C:$C,$A2,'Config Baseline'!$L:$L,"Level 3*")</f>
        <v>30</v>
      </c>
      <c r="E2" s="14" t="n">
        <f aca="false">SUM(B2:D2)</f>
        <v>127</v>
      </c>
    </row>
    <row r="3" customFormat="false" ht="18" hidden="false" customHeight="true" outlineLevel="0" collapsed="false">
      <c r="A3" s="14" t="s">
        <v>838</v>
      </c>
      <c r="B3" s="14" t="n">
        <f aca="false">COUNTIFS('Config Baseline'!$C:$C,$A3,'Config Baseline'!$L:$L,"Level 1*")</f>
        <v>0</v>
      </c>
      <c r="C3" s="14" t="n">
        <f aca="false">COUNTIFS('Config Baseline'!$C:$C,$A3,'Config Baseline'!$L:$L,"Level 2*")</f>
        <v>0</v>
      </c>
      <c r="D3" s="14" t="n">
        <f aca="false">COUNTIFS('Config Baseline'!$C:$C,$A3,'Config Baseline'!$L:$L,"Level 3*")</f>
        <v>16</v>
      </c>
      <c r="E3" s="14" t="n">
        <f aca="false">SUM(B3:D3)</f>
        <v>16</v>
      </c>
    </row>
    <row r="4" customFormat="false" ht="18" hidden="false" customHeight="true" outlineLevel="0" collapsed="false">
      <c r="A4" s="14" t="s">
        <v>923</v>
      </c>
      <c r="B4" s="14" t="n">
        <f aca="false">COUNTIFS('Config Baseline'!$C:$C,$A4,'Config Baseline'!$L:$L,"Level 1*")</f>
        <v>12</v>
      </c>
      <c r="C4" s="14" t="n">
        <f aca="false">COUNTIFS('Config Baseline'!$C:$C,$A4,'Config Baseline'!$L:$L,"Level 2*")</f>
        <v>19</v>
      </c>
      <c r="D4" s="14" t="n">
        <f aca="false">COUNTIFS('Config Baseline'!$C:$C,$A4,'Config Baseline'!$L:$L,"Level 3*")</f>
        <v>26</v>
      </c>
      <c r="E4" s="14" t="n">
        <f aca="false">SUM(B4:D4)</f>
        <v>57</v>
      </c>
    </row>
    <row r="5" customFormat="false" ht="18" hidden="false" customHeight="true" outlineLevel="0" collapsed="false">
      <c r="A5" s="14" t="s">
        <v>1229</v>
      </c>
      <c r="B5" s="14" t="n">
        <f aca="false">COUNTIFS('Config Baseline'!$C:$C,$A5,'Config Baseline'!$L:$L,"Level 1*")</f>
        <v>0</v>
      </c>
      <c r="C5" s="14" t="n">
        <f aca="false">COUNTIFS('Config Baseline'!$C:$C,$A5,'Config Baseline'!$L:$L,"Level 2*")</f>
        <v>3</v>
      </c>
      <c r="D5" s="14" t="n">
        <f aca="false">COUNTIFS('Config Baseline'!$C:$C,$A5,'Config Baseline'!$L:$L,"Level 3*")</f>
        <v>22</v>
      </c>
      <c r="E5" s="14" t="n">
        <f aca="false">SUM(B5:D5)</f>
        <v>25</v>
      </c>
    </row>
    <row r="6" customFormat="false" ht="18" hidden="false" customHeight="true" outlineLevel="0" collapsed="false">
      <c r="A6" s="14" t="s">
        <v>1367</v>
      </c>
      <c r="B6" s="14" t="n">
        <f aca="false">COUNTIFS('Config Baseline'!$C:$C,$A6,'Config Baseline'!$L:$L,"Level 1*")</f>
        <v>8</v>
      </c>
      <c r="C6" s="14" t="n">
        <f aca="false">COUNTIFS('Config Baseline'!$C:$C,$A6,'Config Baseline'!$L:$L,"Level 2*")</f>
        <v>37</v>
      </c>
      <c r="D6" s="14" t="n">
        <f aca="false">COUNTIFS('Config Baseline'!$C:$C,$A6,'Config Baseline'!$L:$L,"Level 3*")</f>
        <v>12</v>
      </c>
      <c r="E6" s="14" t="n">
        <f aca="false">SUM(B6:D6)</f>
        <v>57</v>
      </c>
    </row>
    <row r="7" customFormat="false" ht="18" hidden="false" customHeight="true" outlineLevel="0" collapsed="false">
      <c r="A7" s="14" t="s">
        <v>1665</v>
      </c>
      <c r="B7" s="14" t="n">
        <f aca="false">COUNTIFS('Config Baseline'!$C:$C,$A7,'Config Baseline'!$L:$L,"Level 1*")</f>
        <v>3</v>
      </c>
      <c r="C7" s="14" t="n">
        <f aca="false">COUNTIFS('Config Baseline'!$C:$C,$A7,'Config Baseline'!$L:$L,"Level 2*")</f>
        <v>9</v>
      </c>
      <c r="D7" s="14" t="n">
        <f aca="false">COUNTIFS('Config Baseline'!$C:$C,$A7,'Config Baseline'!$L:$L,"Level 3*")</f>
        <v>37</v>
      </c>
      <c r="E7" s="14" t="n">
        <f aca="false">SUM(B7:D7)</f>
        <v>49</v>
      </c>
    </row>
    <row r="8" customFormat="false" ht="18" hidden="false" customHeight="true" outlineLevel="0" collapsed="false">
      <c r="A8" s="14" t="s">
        <v>1920</v>
      </c>
      <c r="B8" s="14" t="n">
        <f aca="false">COUNTIFS('Config Baseline'!$C:$C,$A8,'Config Baseline'!$L:$L,"Level 1*")</f>
        <v>7</v>
      </c>
      <c r="C8" s="14" t="n">
        <f aca="false">COUNTIFS('Config Baseline'!$C:$C,$A8,'Config Baseline'!$L:$L,"Level 2*")</f>
        <v>36</v>
      </c>
      <c r="D8" s="14" t="n">
        <f aca="false">COUNTIFS('Config Baseline'!$C:$C,$A8,'Config Baseline'!$L:$L,"Level 3*")</f>
        <v>18</v>
      </c>
      <c r="E8" s="14" t="n">
        <f aca="false">SUM(B8:D8)</f>
        <v>61</v>
      </c>
    </row>
    <row r="9" customFormat="false" ht="18" hidden="false" customHeight="true" outlineLevel="0" collapsed="false">
      <c r="A9" s="14" t="s">
        <v>2231</v>
      </c>
      <c r="B9" s="14" t="n">
        <f aca="false">COUNTIFS('Config Baseline'!$C:$C,$A9,'Config Baseline'!$L:$L,"Level 1*")</f>
        <v>0</v>
      </c>
      <c r="C9" s="14" t="n">
        <f aca="false">COUNTIFS('Config Baseline'!$C:$C,$A9,'Config Baseline'!$L:$L,"Level 2*")</f>
        <v>1</v>
      </c>
      <c r="D9" s="14" t="n">
        <f aca="false">COUNTIFS('Config Baseline'!$C:$C,$A9,'Config Baseline'!$L:$L,"Level 3*")</f>
        <v>38</v>
      </c>
      <c r="E9" s="14" t="n">
        <f aca="false">SUM(B9:D9)</f>
        <v>39</v>
      </c>
    </row>
    <row r="10" customFormat="false" ht="18" hidden="false" customHeight="true" outlineLevel="0" collapsed="false">
      <c r="A10" s="14" t="s">
        <v>2441</v>
      </c>
      <c r="B10" s="14" t="n">
        <f aca="false">COUNTIFS('Config Baseline'!$C:$C,$A10,'Config Baseline'!$L:$L,"Level 1*")</f>
        <v>3</v>
      </c>
      <c r="C10" s="14" t="n">
        <f aca="false">COUNTIFS('Config Baseline'!$C:$C,$A10,'Config Baseline'!$L:$L,"Level 2*")</f>
        <v>4</v>
      </c>
      <c r="D10" s="14" t="n">
        <f aca="false">COUNTIFS('Config Baseline'!$C:$C,$A10,'Config Baseline'!$L:$L,"Level 3*")</f>
        <v>21</v>
      </c>
      <c r="E10" s="14" t="n">
        <f aca="false">SUM(B10:D10)</f>
        <v>28</v>
      </c>
    </row>
    <row r="11" customFormat="false" ht="18" hidden="false" customHeight="true" outlineLevel="0" collapsed="false">
      <c r="A11" s="14" t="s">
        <v>2585</v>
      </c>
      <c r="B11" s="14" t="n">
        <f aca="false">COUNTIFS('Config Baseline'!$C:$C,$A11,'Config Baseline'!$L:$L,"Level 1*")</f>
        <v>0</v>
      </c>
      <c r="C11" s="14" t="n">
        <f aca="false">COUNTIFS('Config Baseline'!$C:$C,$A11,'Config Baseline'!$L:$L,"Level 2*")</f>
        <v>6</v>
      </c>
      <c r="D11" s="14" t="n">
        <f aca="false">COUNTIFS('Config Baseline'!$C:$C,$A11,'Config Baseline'!$L:$L,"Level 3*")</f>
        <v>14</v>
      </c>
      <c r="E11" s="14" t="n">
        <f aca="false">SUM(B11:D11)</f>
        <v>20</v>
      </c>
    </row>
    <row r="12" customFormat="false" ht="18" hidden="false" customHeight="true" outlineLevel="0" collapsed="false">
      <c r="A12" s="14" t="s">
        <v>2688</v>
      </c>
      <c r="B12" s="14" t="n">
        <f aca="false">COUNTIFS('Config Baseline'!$C:$C,$A12,'Config Baseline'!$L:$L,"Level 1*")</f>
        <v>0</v>
      </c>
      <c r="C12" s="14" t="n">
        <f aca="false">COUNTIFS('Config Baseline'!$C:$C,$A12,'Config Baseline'!$L:$L,"Level 2*")</f>
        <v>0</v>
      </c>
      <c r="D12" s="14" t="n">
        <f aca="false">COUNTIFS('Config Baseline'!$C:$C,$A12,'Config Baseline'!$L:$L,"Level 3*")</f>
        <v>50</v>
      </c>
      <c r="E12" s="14" t="n">
        <f aca="false">SUM(B12:D12)</f>
        <v>50</v>
      </c>
    </row>
    <row r="13" customFormat="false" ht="18" hidden="false" customHeight="true" outlineLevel="0" collapsed="false">
      <c r="A13" s="14" t="s">
        <v>2947</v>
      </c>
      <c r="B13" s="14" t="n">
        <f aca="false">COUNTIFS('Config Baseline'!$C:$C,$A13,'Config Baseline'!$L:$L,"Level 1*")</f>
        <v>0</v>
      </c>
      <c r="C13" s="14" t="n">
        <f aca="false">COUNTIFS('Config Baseline'!$C:$C,$A13,'Config Baseline'!$L:$L,"Level 2*")</f>
        <v>1</v>
      </c>
      <c r="D13" s="14" t="n">
        <f aca="false">COUNTIFS('Config Baseline'!$C:$C,$A13,'Config Baseline'!$L:$L,"Level 3*")</f>
        <v>10</v>
      </c>
      <c r="E13" s="14" t="n">
        <f aca="false">SUM(B13:D13)</f>
        <v>11</v>
      </c>
    </row>
    <row r="14" customFormat="false" ht="18" hidden="false" customHeight="true" outlineLevel="0" collapsed="false">
      <c r="A14" s="14" t="s">
        <v>3003</v>
      </c>
      <c r="B14" s="14" t="n">
        <f aca="false">COUNTIFS('Config Baseline'!$C:$C,$A14,'Config Baseline'!$L:$L,"Level 1*")</f>
        <v>0</v>
      </c>
      <c r="C14" s="14" t="n">
        <f aca="false">COUNTIFS('Config Baseline'!$C:$C,$A14,'Config Baseline'!$L:$L,"Level 2*")</f>
        <v>0</v>
      </c>
      <c r="D14" s="14" t="n">
        <f aca="false">COUNTIFS('Config Baseline'!$C:$C,$A14,'Config Baseline'!$L:$L,"Level 3*")</f>
        <v>37</v>
      </c>
      <c r="E14" s="14" t="n">
        <f aca="false">SUM(B14:D14)</f>
        <v>37</v>
      </c>
    </row>
    <row r="15" customFormat="false" ht="18" hidden="false" customHeight="true" outlineLevel="0" collapsed="false">
      <c r="A15" s="14" t="s">
        <v>3225</v>
      </c>
      <c r="B15" s="14" t="n">
        <f aca="false">COUNTIFS('Config Baseline'!$C:$C,$A15,'Config Baseline'!$L:$L,"Level 1*")</f>
        <v>0</v>
      </c>
      <c r="C15" s="14" t="n">
        <f aca="false">COUNTIFS('Config Baseline'!$C:$C,$A15,'Config Baseline'!$L:$L,"Level 2*")</f>
        <v>2</v>
      </c>
      <c r="D15" s="14" t="n">
        <f aca="false">COUNTIFS('Config Baseline'!$C:$C,$A15,'Config Baseline'!$L:$L,"Level 3*")</f>
        <v>15</v>
      </c>
      <c r="E15" s="14" t="n">
        <f aca="false">SUM(B15:D15)</f>
        <v>17</v>
      </c>
    </row>
    <row r="16" customFormat="false" ht="18" hidden="false" customHeight="true" outlineLevel="0" collapsed="false">
      <c r="A16" s="14" t="s">
        <v>3310</v>
      </c>
      <c r="B16" s="14" t="n">
        <f aca="false">COUNTIFS('Config Baseline'!$C:$C,$A16,'Config Baseline'!$L:$L,"Level 1*")</f>
        <v>0</v>
      </c>
      <c r="C16" s="14" t="n">
        <f aca="false">COUNTIFS('Config Baseline'!$C:$C,$A16,'Config Baseline'!$L:$L,"Level 2*")</f>
        <v>0</v>
      </c>
      <c r="D16" s="14" t="n">
        <f aca="false">COUNTIFS('Config Baseline'!$C:$C,$A16,'Config Baseline'!$L:$L,"Level 3*")</f>
        <v>21</v>
      </c>
      <c r="E16" s="14" t="n">
        <f aca="false">SUM(B16:D16)</f>
        <v>21</v>
      </c>
    </row>
    <row r="17" customFormat="false" ht="18" hidden="false" customHeight="true" outlineLevel="0" collapsed="false">
      <c r="A17" s="14" t="s">
        <v>3415</v>
      </c>
      <c r="B17" s="14" t="n">
        <f aca="false">COUNTIFS('Config Baseline'!$C:$C,$A17,'Config Baseline'!$L:$L,"Level 1*")</f>
        <v>3</v>
      </c>
      <c r="C17" s="14" t="n">
        <f aca="false">COUNTIFS('Config Baseline'!$C:$C,$A17,'Config Baseline'!$L:$L,"Level 2*")</f>
        <v>7</v>
      </c>
      <c r="D17" s="14" t="n">
        <f aca="false">COUNTIFS('Config Baseline'!$C:$C,$A17,'Config Baseline'!$L:$L,"Level 3*")</f>
        <v>12</v>
      </c>
      <c r="E17" s="14" t="n">
        <f aca="false">SUM(B17:D17)</f>
        <v>22</v>
      </c>
    </row>
    <row r="18" customFormat="false" ht="18" hidden="false" customHeight="true" outlineLevel="0" collapsed="false">
      <c r="A18" s="14" t="s">
        <v>3531</v>
      </c>
      <c r="B18" s="14" t="n">
        <f aca="false">COUNTIFS('Config Baseline'!$C:$C,$A18,'Config Baseline'!$L:$L,"Level 1*")</f>
        <v>0</v>
      </c>
      <c r="C18" s="14" t="n">
        <f aca="false">COUNTIFS('Config Baseline'!$C:$C,$A18,'Config Baseline'!$L:$L,"Level 2*")</f>
        <v>8</v>
      </c>
      <c r="D18" s="14" t="n">
        <f aca="false">COUNTIFS('Config Baseline'!$C:$C,$A18,'Config Baseline'!$L:$L,"Level 3*")</f>
        <v>101</v>
      </c>
      <c r="E18" s="14" t="n">
        <f aca="false">SUM(B18:D18)</f>
        <v>109</v>
      </c>
    </row>
    <row r="19" customFormat="false" ht="18" hidden="false" customHeight="true" outlineLevel="0" collapsed="false">
      <c r="A19" s="14" t="s">
        <v>4081</v>
      </c>
      <c r="B19" s="14" t="n">
        <f aca="false">COUNTIFS('Config Baseline'!$C:$C,$A19,'Config Baseline'!$L:$L,"Level 1*")</f>
        <v>17</v>
      </c>
      <c r="C19" s="14" t="n">
        <f aca="false">COUNTIFS('Config Baseline'!$C:$C,$A19,'Config Baseline'!$L:$L,"Level 2*")</f>
        <v>56</v>
      </c>
      <c r="D19" s="14" t="n">
        <f aca="false">COUNTIFS('Config Baseline'!$C:$C,$A19,'Config Baseline'!$L:$L,"Level 3*")</f>
        <v>65</v>
      </c>
      <c r="E19" s="14" t="n">
        <f aca="false">SUM(B19:D19)</f>
        <v>138</v>
      </c>
    </row>
    <row r="20" customFormat="false" ht="18" hidden="false" customHeight="true" outlineLevel="0" collapsed="false">
      <c r="A20" s="14" t="s">
        <v>4774</v>
      </c>
      <c r="B20" s="14" t="n">
        <f aca="false">COUNTIFS('Config Baseline'!$C:$C,$A20,'Config Baseline'!$L:$L,"Level 1*")</f>
        <v>18</v>
      </c>
      <c r="C20" s="14" t="n">
        <f aca="false">COUNTIFS('Config Baseline'!$C:$C,$A20,'Config Baseline'!$L:$L,"Level 2*")</f>
        <v>47</v>
      </c>
      <c r="D20" s="14" t="n">
        <f aca="false">COUNTIFS('Config Baseline'!$C:$C,$A20,'Config Baseline'!$L:$L,"Level 3*")</f>
        <v>40</v>
      </c>
      <c r="E20" s="14" t="n">
        <f aca="false">SUM(B20:D20)</f>
        <v>105</v>
      </c>
    </row>
    <row r="21" customFormat="false" ht="18" hidden="false" customHeight="true" outlineLevel="0" collapsed="false">
      <c r="A21" s="14" t="s">
        <v>5303</v>
      </c>
      <c r="B21" s="14" t="n">
        <f aca="false">COUNTIFS('Config Baseline'!$C:$C,$A21,'Config Baseline'!$L:$L,"Level 1*")</f>
        <v>0</v>
      </c>
      <c r="C21" s="14" t="n">
        <f aca="false">COUNTIFS('Config Baseline'!$C:$C,$A21,'Config Baseline'!$L:$L,"Level 2*")</f>
        <v>0</v>
      </c>
      <c r="D21" s="14" t="n">
        <f aca="false">COUNTIFS('Config Baseline'!$C:$C,$A21,'Config Baseline'!$L:$L,"Level 3*")</f>
        <v>27</v>
      </c>
      <c r="E21" s="14" t="n">
        <f aca="false">SUM(B21:D21)</f>
        <v>27</v>
      </c>
    </row>
    <row r="22" customFormat="false" ht="18" hidden="false" customHeight="true" outlineLevel="0" collapsed="false">
      <c r="A22" s="15" t="s">
        <v>5446</v>
      </c>
      <c r="B22" s="15" t="n">
        <f aca="false">SUM(B2:B21)</f>
        <v>93</v>
      </c>
      <c r="C22" s="15" t="n">
        <f aca="false">SUM(C2:C21)</f>
        <v>311</v>
      </c>
      <c r="D22" s="15" t="n">
        <f aca="false">SUM(D2:D21)</f>
        <v>612</v>
      </c>
      <c r="E22" s="15" t="n">
        <f aca="false">SUM(E2:E21)</f>
        <v>1016</v>
      </c>
    </row>
    <row r="23" customFormat="false" ht="15" hidden="false" customHeight="true" outlineLevel="0" collapsed="false">
      <c r="A23" s="16"/>
      <c r="B23" s="16"/>
      <c r="C23" s="16"/>
      <c r="D23" s="16"/>
      <c r="E23"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125" defaultRowHeight="15" zeroHeight="false" outlineLevelRow="0" outlineLevelCol="0"/>
  <cols>
    <col collapsed="false" customWidth="true" hidden="false" outlineLevel="0" max="1" min="1" style="1" width="26"/>
    <col collapsed="false" customWidth="true" hidden="false" outlineLevel="0" max="23" min="2" style="1" width="17"/>
  </cols>
  <sheetData>
    <row r="1" customFormat="false" ht="17.25" hidden="false" customHeight="true" outlineLevel="0" collapsed="false">
      <c r="A1" s="17" t="s">
        <v>5447</v>
      </c>
      <c r="B1" s="4"/>
      <c r="C1" s="4"/>
      <c r="D1" s="4"/>
      <c r="E1" s="4"/>
      <c r="F1" s="4"/>
      <c r="G1" s="4"/>
      <c r="H1" s="4"/>
      <c r="I1" s="4"/>
      <c r="J1" s="4"/>
      <c r="K1" s="4"/>
      <c r="L1" s="4"/>
      <c r="M1" s="4"/>
      <c r="N1" s="4"/>
      <c r="O1" s="4"/>
      <c r="P1" s="4"/>
      <c r="Q1" s="4"/>
      <c r="R1" s="4"/>
      <c r="S1" s="4"/>
      <c r="T1" s="4"/>
      <c r="U1" s="4"/>
      <c r="V1" s="4"/>
    </row>
    <row r="2" customFormat="false" ht="17.25" hidden="false" customHeight="true" outlineLevel="0" collapsed="false">
      <c r="A2" s="4"/>
      <c r="B2" s="4"/>
      <c r="C2" s="4"/>
      <c r="D2" s="4"/>
      <c r="E2" s="4"/>
      <c r="F2" s="4"/>
      <c r="G2" s="4"/>
      <c r="H2" s="4"/>
      <c r="I2" s="4"/>
      <c r="J2" s="4"/>
      <c r="K2" s="4"/>
      <c r="L2" s="4"/>
      <c r="M2" s="4"/>
      <c r="N2" s="4"/>
      <c r="O2" s="4"/>
      <c r="P2" s="4"/>
      <c r="Q2" s="4"/>
      <c r="R2" s="4"/>
      <c r="S2" s="4"/>
      <c r="T2" s="4"/>
      <c r="U2" s="4"/>
      <c r="V2" s="4"/>
    </row>
    <row r="3" customFormat="false" ht="60" hidden="false" customHeight="true" outlineLevel="0" collapsed="false">
      <c r="A3" s="8" t="s">
        <v>158</v>
      </c>
      <c r="B3" s="8" t="s">
        <v>5448</v>
      </c>
      <c r="C3" s="8" t="s">
        <v>5449</v>
      </c>
      <c r="D3" s="8" t="s">
        <v>5450</v>
      </c>
      <c r="E3" s="8" t="s">
        <v>132</v>
      </c>
      <c r="F3" s="8" t="s">
        <v>138</v>
      </c>
      <c r="G3" s="8" t="s">
        <v>144</v>
      </c>
      <c r="H3" s="4"/>
      <c r="I3" s="4"/>
      <c r="J3" s="4"/>
      <c r="K3" s="4"/>
      <c r="L3" s="4"/>
      <c r="M3" s="4"/>
      <c r="N3" s="4"/>
      <c r="O3" s="4"/>
      <c r="P3" s="4"/>
      <c r="Q3" s="4"/>
      <c r="R3" s="4"/>
      <c r="S3" s="4"/>
      <c r="T3" s="4"/>
      <c r="U3" s="4"/>
      <c r="V3" s="4"/>
    </row>
    <row r="4" customFormat="false" ht="17.25" hidden="false" customHeight="true" outlineLevel="0" collapsed="false">
      <c r="A4" s="4" t="s">
        <v>724</v>
      </c>
      <c r="B4" s="4" t="n">
        <f aca="false">COUNTIF(B32:U32,"&gt;0")</f>
        <v>14</v>
      </c>
      <c r="C4" s="4" t="n">
        <f aca="false">SUMPRODUCT(ISNUMBER(SEARCH($A4,'Config Baseline'!$K$2:$K$1017))*ISERROR(SEARCH("(",'Config Baseline'!$B$2:$B$1017)))</f>
        <v>76</v>
      </c>
      <c r="D4" s="4" t="n">
        <f aca="false">COUNTIF('Config Baseline'!$K$2:$K$1017,"*"&amp;$A4&amp;"*")</f>
        <v>413</v>
      </c>
      <c r="E4" s="4" t="n">
        <f aca="false">COUNTIFS('Config Baseline'!$K$2:$K$1017,"*"&amp;$A4&amp;"*",'Config Baseline'!$L$2:$L$1017,"Level 1*")</f>
        <v>80</v>
      </c>
      <c r="F4" s="4" t="n">
        <f aca="false">COUNTIFS('Config Baseline'!$K$2:$K$1017,"*"&amp;$A4&amp;"*",'Config Baseline'!$L$2:$L$1017,"Level 2*")</f>
        <v>251</v>
      </c>
      <c r="G4" s="4" t="n">
        <f aca="false">COUNTIFS('Config Baseline'!$K$2:$K$1017,"*"&amp;$A4&amp;"*",'Config Baseline'!$L$2:$L$1017,"Level 3*")</f>
        <v>82</v>
      </c>
      <c r="H4" s="4"/>
      <c r="I4" s="4"/>
      <c r="J4" s="4"/>
      <c r="K4" s="4"/>
      <c r="L4" s="4"/>
      <c r="M4" s="4"/>
      <c r="N4" s="4"/>
      <c r="O4" s="4"/>
      <c r="P4" s="4"/>
      <c r="Q4" s="4"/>
      <c r="R4" s="4"/>
      <c r="S4" s="4"/>
      <c r="T4" s="4"/>
      <c r="U4" s="4"/>
      <c r="V4" s="4"/>
    </row>
    <row r="5" customFormat="false" ht="17.25" hidden="false" customHeight="true" outlineLevel="0" collapsed="false">
      <c r="A5" s="4" t="s">
        <v>5300</v>
      </c>
      <c r="B5" s="4" t="n">
        <f aca="false">COUNTIF(B33:U33,"&gt;0")</f>
        <v>15</v>
      </c>
      <c r="C5" s="4" t="n">
        <f aca="false">SUMPRODUCT(ISNUMBER(SEARCH($A5,'Config Baseline'!$K$2:$K$1017))*ISERROR(SEARCH("(",'Config Baseline'!$B$2:$B$1017)))</f>
        <v>115</v>
      </c>
      <c r="D5" s="4" t="n">
        <f aca="false">COUNTIF('Config Baseline'!$K$2:$K$1017,"*"&amp;$A5&amp;"*")</f>
        <v>596</v>
      </c>
      <c r="E5" s="4" t="n">
        <f aca="false">COUNTIFS('Config Baseline'!$K$2:$K$1017,"*"&amp;$A5&amp;"*",'Config Baseline'!$L$2:$L$1017,"Level 1*")</f>
        <v>87</v>
      </c>
      <c r="F5" s="4" t="n">
        <f aca="false">COUNTIFS('Config Baseline'!$K$2:$K$1017,"*"&amp;$A5&amp;"*",'Config Baseline'!$L$2:$L$1017,"Level 2*")</f>
        <v>285</v>
      </c>
      <c r="G5" s="4" t="n">
        <f aca="false">COUNTIFS('Config Baseline'!$K$2:$K$1017,"*"&amp;$A5&amp;"*",'Config Baseline'!$L$2:$L$1017,"Level 3*")</f>
        <v>224</v>
      </c>
      <c r="H5" s="4"/>
      <c r="I5" s="4"/>
      <c r="J5" s="4"/>
      <c r="K5" s="4"/>
      <c r="L5" s="4"/>
      <c r="M5" s="4"/>
      <c r="N5" s="4"/>
      <c r="O5" s="4"/>
      <c r="P5" s="4"/>
      <c r="Q5" s="4"/>
      <c r="R5" s="4"/>
      <c r="S5" s="4"/>
      <c r="T5" s="4"/>
      <c r="U5" s="4"/>
      <c r="V5" s="4"/>
    </row>
    <row r="6" customFormat="false" ht="17.25" hidden="false" customHeight="true" outlineLevel="0" collapsed="false">
      <c r="A6" s="4" t="s">
        <v>2176</v>
      </c>
      <c r="B6" s="4" t="n">
        <f aca="false">COUNTIF(B34:U34,"&gt;0")</f>
        <v>3</v>
      </c>
      <c r="C6" s="4" t="n">
        <f aca="false">SUMPRODUCT(ISNUMBER(SEARCH($A6,'Config Baseline'!$K$2:$K$1017))*ISERROR(SEARCH("(",'Config Baseline'!$B$2:$B$1017)))</f>
        <v>21</v>
      </c>
      <c r="D6" s="4" t="n">
        <f aca="false">COUNTIF('Config Baseline'!$K$2:$K$1017,"*"&amp;$A6&amp;"*")</f>
        <v>119</v>
      </c>
      <c r="E6" s="4" t="n">
        <f aca="false">COUNTIFS('Config Baseline'!$K$2:$K$1017,"*"&amp;$A6&amp;"*",'Config Baseline'!$L$2:$L$1017,"Level 1*")</f>
        <v>21</v>
      </c>
      <c r="F6" s="4" t="n">
        <f aca="false">COUNTIFS('Config Baseline'!$K$2:$K$1017,"*"&amp;$A6&amp;"*",'Config Baseline'!$L$2:$L$1017,"Level 2*")</f>
        <v>71</v>
      </c>
      <c r="G6" s="4" t="n">
        <f aca="false">COUNTIFS('Config Baseline'!$K$2:$K$1017,"*"&amp;$A6&amp;"*",'Config Baseline'!$L$2:$L$1017,"Level 3*")</f>
        <v>27</v>
      </c>
      <c r="H6" s="4"/>
      <c r="I6" s="4"/>
      <c r="J6" s="4"/>
      <c r="K6" s="4"/>
      <c r="L6" s="4"/>
      <c r="M6" s="4"/>
      <c r="N6" s="4"/>
      <c r="O6" s="4"/>
      <c r="P6" s="4"/>
      <c r="Q6" s="4"/>
      <c r="R6" s="4"/>
      <c r="S6" s="4"/>
      <c r="T6" s="4"/>
      <c r="U6" s="4"/>
      <c r="V6" s="4"/>
    </row>
    <row r="7" customFormat="false" ht="17.25" hidden="false" customHeight="true" outlineLevel="0" collapsed="false">
      <c r="A7" s="4" t="s">
        <v>1173</v>
      </c>
      <c r="B7" s="4" t="n">
        <f aca="false">COUNTIF(B35:U35,"&gt;0")</f>
        <v>6</v>
      </c>
      <c r="C7" s="4" t="n">
        <f aca="false">SUMPRODUCT(ISNUMBER(SEARCH($A7,'Config Baseline'!$K$2:$K$1017))*ISERROR(SEARCH("(",'Config Baseline'!$B$2:$B$1017)))</f>
        <v>18</v>
      </c>
      <c r="D7" s="4" t="n">
        <f aca="false">COUNTIF('Config Baseline'!$K$2:$K$1017,"*"&amp;$A7&amp;"*")</f>
        <v>100</v>
      </c>
      <c r="E7" s="4" t="n">
        <f aca="false">COUNTIFS('Config Baseline'!$K$2:$K$1017,"*"&amp;$A7&amp;"*",'Config Baseline'!$L$2:$L$1017,"Level 1*")</f>
        <v>14</v>
      </c>
      <c r="F7" s="4" t="n">
        <f aca="false">COUNTIFS('Config Baseline'!$K$2:$K$1017,"*"&amp;$A7&amp;"*",'Config Baseline'!$L$2:$L$1017,"Level 2*")</f>
        <v>43</v>
      </c>
      <c r="G7" s="4" t="n">
        <f aca="false">COUNTIFS('Config Baseline'!$K$2:$K$1017,"*"&amp;$A7&amp;"*",'Config Baseline'!$L$2:$L$1017,"Level 3*")</f>
        <v>43</v>
      </c>
      <c r="H7" s="4"/>
      <c r="I7" s="4"/>
      <c r="J7" s="4"/>
      <c r="K7" s="4"/>
      <c r="L7" s="4"/>
      <c r="M7" s="4"/>
      <c r="N7" s="4"/>
      <c r="O7" s="4"/>
      <c r="P7" s="4"/>
      <c r="Q7" s="4"/>
      <c r="R7" s="4"/>
      <c r="S7" s="4"/>
      <c r="T7" s="4"/>
      <c r="U7" s="4"/>
      <c r="V7" s="4"/>
    </row>
    <row r="8" customFormat="false" ht="17.25" hidden="false" customHeight="true" outlineLevel="0" collapsed="false">
      <c r="A8" s="4" t="s">
        <v>814</v>
      </c>
      <c r="B8" s="4" t="n">
        <f aca="false">COUNTIF(B36:U36,"&gt;0")</f>
        <v>7</v>
      </c>
      <c r="C8" s="4" t="n">
        <f aca="false">SUMPRODUCT(ISNUMBER(SEARCH($A8,'Config Baseline'!$K$2:$K$1017))*ISERROR(SEARCH("(",'Config Baseline'!$B$2:$B$1017)))</f>
        <v>19</v>
      </c>
      <c r="D8" s="4" t="n">
        <f aca="false">COUNTIF('Config Baseline'!$K$2:$K$1017,"*"&amp;$A8&amp;"*")</f>
        <v>115</v>
      </c>
      <c r="E8" s="4" t="n">
        <f aca="false">COUNTIFS('Config Baseline'!$K$2:$K$1017,"*"&amp;$A8&amp;"*",'Config Baseline'!$L$2:$L$1017,"Level 1*")</f>
        <v>25</v>
      </c>
      <c r="F8" s="4" t="n">
        <f aca="false">COUNTIFS('Config Baseline'!$K$2:$K$1017,"*"&amp;$A8&amp;"*",'Config Baseline'!$L$2:$L$1017,"Level 2*")</f>
        <v>70</v>
      </c>
      <c r="G8" s="4" t="n">
        <f aca="false">COUNTIFS('Config Baseline'!$K$2:$K$1017,"*"&amp;$A8&amp;"*",'Config Baseline'!$L$2:$L$1017,"Level 3*")</f>
        <v>20</v>
      </c>
      <c r="H8" s="4"/>
      <c r="I8" s="4"/>
      <c r="J8" s="4"/>
      <c r="K8" s="4"/>
      <c r="L8" s="4"/>
      <c r="M8" s="4"/>
      <c r="N8" s="4"/>
      <c r="O8" s="4"/>
      <c r="P8" s="4"/>
      <c r="Q8" s="4"/>
      <c r="R8" s="4"/>
      <c r="S8" s="4"/>
      <c r="T8" s="4"/>
      <c r="U8" s="4"/>
      <c r="V8" s="4"/>
    </row>
    <row r="9" customFormat="false" ht="17.25" hidden="false" customHeight="true" outlineLevel="0" collapsed="false">
      <c r="A9" s="4" t="s">
        <v>603</v>
      </c>
      <c r="B9" s="4" t="n">
        <f aca="false">COUNTIF(B37:U37,"&gt;0")</f>
        <v>12</v>
      </c>
      <c r="C9" s="4" t="n">
        <f aca="false">SUMPRODUCT(ISNUMBER(SEARCH($A9,'Config Baseline'!$K$2:$K$1017))*ISERROR(SEARCH("(",'Config Baseline'!$B$2:$B$1017)))</f>
        <v>113</v>
      </c>
      <c r="D9" s="4" t="n">
        <f aca="false">COUNTIF('Config Baseline'!$K$2:$K$1017,"*"&amp;$A9&amp;"*")</f>
        <v>484</v>
      </c>
      <c r="E9" s="4" t="n">
        <f aca="false">COUNTIFS('Config Baseline'!$K$2:$K$1017,"*"&amp;$A9&amp;"*",'Config Baseline'!$L$2:$L$1017,"Level 1*")</f>
        <v>63</v>
      </c>
      <c r="F9" s="4" t="n">
        <f aca="false">COUNTIFS('Config Baseline'!$K$2:$K$1017,"*"&amp;$A9&amp;"*",'Config Baseline'!$L$2:$L$1017,"Level 2*")</f>
        <v>193</v>
      </c>
      <c r="G9" s="4" t="n">
        <f aca="false">COUNTIFS('Config Baseline'!$K$2:$K$1017,"*"&amp;$A9&amp;"*",'Config Baseline'!$L$2:$L$1017,"Level 3*")</f>
        <v>228</v>
      </c>
      <c r="H9" s="4"/>
      <c r="I9" s="4"/>
      <c r="J9" s="4"/>
      <c r="K9" s="4"/>
      <c r="L9" s="4"/>
      <c r="M9" s="4"/>
      <c r="N9" s="4"/>
      <c r="O9" s="4"/>
      <c r="P9" s="4"/>
      <c r="Q9" s="4"/>
      <c r="R9" s="4"/>
      <c r="S9" s="4"/>
      <c r="T9" s="4"/>
      <c r="U9" s="4"/>
      <c r="V9" s="4"/>
    </row>
    <row r="10" customFormat="false" ht="17.25" hidden="false" customHeight="true" outlineLevel="0" collapsed="false">
      <c r="A10" s="4" t="s">
        <v>1716</v>
      </c>
      <c r="B10" s="4" t="n">
        <f aca="false">COUNTIF(B38:U38,"&gt;0")</f>
        <v>1</v>
      </c>
      <c r="C10" s="4" t="n">
        <f aca="false">SUMPRODUCT(ISNUMBER(SEARCH($A10,'Config Baseline'!$K$2:$K$1017))*ISERROR(SEARCH("(",'Config Baseline'!$B$2:$B$1017)))</f>
        <v>6</v>
      </c>
      <c r="D10" s="4" t="n">
        <f aca="false">COUNTIF('Config Baseline'!$K$2:$K$1017,"*"&amp;$A10&amp;"*")</f>
        <v>33</v>
      </c>
      <c r="E10" s="4" t="n">
        <f aca="false">COUNTIFS('Config Baseline'!$K$2:$K$1017,"*"&amp;$A10&amp;"*",'Config Baseline'!$L$2:$L$1017,"Level 1*")</f>
        <v>3</v>
      </c>
      <c r="F10" s="4" t="n">
        <f aca="false">COUNTIFS('Config Baseline'!$K$2:$K$1017,"*"&amp;$A10&amp;"*",'Config Baseline'!$L$2:$L$1017,"Level 2*")</f>
        <v>7</v>
      </c>
      <c r="G10" s="4" t="n">
        <f aca="false">COUNTIFS('Config Baseline'!$K$2:$K$1017,"*"&amp;$A10&amp;"*",'Config Baseline'!$L$2:$L$1017,"Level 3*")</f>
        <v>23</v>
      </c>
      <c r="H10" s="4"/>
      <c r="I10" s="4"/>
      <c r="J10" s="4"/>
      <c r="K10" s="4"/>
      <c r="L10" s="4"/>
      <c r="M10" s="4"/>
      <c r="N10" s="4"/>
      <c r="O10" s="4"/>
      <c r="P10" s="4"/>
      <c r="Q10" s="4"/>
      <c r="R10" s="4"/>
      <c r="S10" s="4"/>
      <c r="T10" s="4"/>
      <c r="U10" s="4"/>
      <c r="V10" s="4"/>
    </row>
    <row r="11" customFormat="false" ht="17.25" hidden="false" customHeight="true" outlineLevel="0" collapsed="false">
      <c r="A11" s="4" t="s">
        <v>169</v>
      </c>
      <c r="B11" s="4" t="n">
        <f aca="false">COUNTIF(B39:U39,"&gt;0")</f>
        <v>19</v>
      </c>
      <c r="C11" s="4" t="n">
        <f aca="false">SUMPRODUCT(ISNUMBER(SEARCH($A11,'Config Baseline'!$K$2:$K$1017))*ISERROR(SEARCH("(",'Config Baseline'!$B$2:$B$1017)))</f>
        <v>91</v>
      </c>
      <c r="D11" s="4" t="n">
        <f aca="false">COUNTIF('Config Baseline'!$K$2:$K$1017,"*"&amp;$A11&amp;"*")</f>
        <v>179</v>
      </c>
      <c r="E11" s="4" t="n">
        <f aca="false">COUNTIFS('Config Baseline'!$K$2:$K$1017,"*"&amp;$A11&amp;"*",'Config Baseline'!$L$2:$L$1017,"Level 1*")</f>
        <v>0</v>
      </c>
      <c r="F11" s="4" t="n">
        <f aca="false">COUNTIFS('Config Baseline'!$K$2:$K$1017,"*"&amp;$A11&amp;"*",'Config Baseline'!$L$2:$L$1017,"Level 2*")</f>
        <v>6</v>
      </c>
      <c r="G11" s="4" t="n">
        <f aca="false">COUNTIFS('Config Baseline'!$K$2:$K$1017,"*"&amp;$A11&amp;"*",'Config Baseline'!$L$2:$L$1017,"Level 3*")</f>
        <v>173</v>
      </c>
      <c r="H11" s="4"/>
      <c r="I11" s="4"/>
      <c r="J11" s="4"/>
      <c r="K11" s="4"/>
      <c r="L11" s="4"/>
      <c r="M11" s="4"/>
      <c r="N11" s="4"/>
      <c r="O11" s="4"/>
      <c r="P11" s="4"/>
      <c r="Q11" s="4"/>
      <c r="R11" s="4"/>
      <c r="S11" s="4"/>
      <c r="T11" s="4"/>
      <c r="U11" s="4"/>
      <c r="V11" s="4"/>
    </row>
    <row r="12" customFormat="false" ht="17.25" hidden="false" customHeight="true" outlineLevel="0" collapsed="false">
      <c r="A12" s="4" t="s">
        <v>2451</v>
      </c>
      <c r="B12" s="4" t="n">
        <f aca="false">COUNTIF(B40:U40,"&gt;0")</f>
        <v>4</v>
      </c>
      <c r="C12" s="4" t="n">
        <f aca="false">SUMPRODUCT(ISNUMBER(SEARCH($A12,'Config Baseline'!$K$2:$K$1017))*ISERROR(SEARCH("(",'Config Baseline'!$B$2:$B$1017)))</f>
        <v>38</v>
      </c>
      <c r="D12" s="4" t="n">
        <f aca="false">COUNTIF('Config Baseline'!$K$2:$K$1017,"*"&amp;$A12&amp;"*")</f>
        <v>103</v>
      </c>
      <c r="E12" s="4" t="n">
        <f aca="false">COUNTIFS('Config Baseline'!$K$2:$K$1017,"*"&amp;$A12&amp;"*",'Config Baseline'!$L$2:$L$1017,"Level 1*")</f>
        <v>3</v>
      </c>
      <c r="F12" s="4" t="n">
        <f aca="false">COUNTIFS('Config Baseline'!$K$2:$K$1017,"*"&amp;$A12&amp;"*",'Config Baseline'!$L$2:$L$1017,"Level 2*")</f>
        <v>10</v>
      </c>
      <c r="G12" s="4" t="n">
        <f aca="false">COUNTIFS('Config Baseline'!$K$2:$K$1017,"*"&amp;$A12&amp;"*",'Config Baseline'!$L$2:$L$1017,"Level 3*")</f>
        <v>90</v>
      </c>
      <c r="H12" s="4"/>
      <c r="I12" s="4"/>
      <c r="J12" s="4"/>
      <c r="K12" s="4"/>
      <c r="L12" s="4"/>
      <c r="M12" s="4"/>
      <c r="N12" s="4"/>
      <c r="O12" s="4"/>
      <c r="P12" s="4"/>
      <c r="Q12" s="4"/>
      <c r="R12" s="4"/>
      <c r="S12" s="4"/>
      <c r="T12" s="4"/>
      <c r="U12" s="4"/>
      <c r="V12" s="4"/>
    </row>
    <row r="13" customFormat="false" ht="17.25" hidden="false" customHeight="true" outlineLevel="0" collapsed="false">
      <c r="A13" s="4" t="s">
        <v>5345</v>
      </c>
      <c r="B13" s="4" t="n">
        <f aca="false">COUNTIF(B41:U41,"&gt;0")</f>
        <v>2</v>
      </c>
      <c r="C13" s="4" t="n">
        <f aca="false">SUMPRODUCT(ISNUMBER(SEARCH($A13,'Config Baseline'!$K$2:$K$1017))*ISERROR(SEARCH("(",'Config Baseline'!$B$2:$B$1017)))</f>
        <v>10</v>
      </c>
      <c r="D13" s="4" t="n">
        <f aca="false">COUNTIF('Config Baseline'!$K$2:$K$1017,"*"&amp;$A13&amp;"*")</f>
        <v>32</v>
      </c>
      <c r="E13" s="4" t="n">
        <f aca="false">COUNTIFS('Config Baseline'!$K$2:$K$1017,"*"&amp;$A13&amp;"*",'Config Baseline'!$L$2:$L$1017,"Level 1*")</f>
        <v>0</v>
      </c>
      <c r="F13" s="4" t="n">
        <f aca="false">COUNTIFS('Config Baseline'!$K$2:$K$1017,"*"&amp;$A13&amp;"*",'Config Baseline'!$L$2:$L$1017,"Level 2*")</f>
        <v>3</v>
      </c>
      <c r="G13" s="4" t="n">
        <f aca="false">COUNTIFS('Config Baseline'!$K$2:$K$1017,"*"&amp;$A13&amp;"*",'Config Baseline'!$L$2:$L$1017,"Level 3*")</f>
        <v>29</v>
      </c>
      <c r="H13" s="4"/>
      <c r="I13" s="4"/>
      <c r="J13" s="4"/>
      <c r="K13" s="4"/>
      <c r="L13" s="4"/>
      <c r="M13" s="4"/>
      <c r="N13" s="4"/>
      <c r="O13" s="4"/>
      <c r="P13" s="4"/>
      <c r="Q13" s="4"/>
      <c r="R13" s="4"/>
      <c r="S13" s="4"/>
      <c r="T13" s="4"/>
      <c r="U13" s="4"/>
      <c r="V13" s="4"/>
    </row>
    <row r="14" customFormat="false" ht="17.25" hidden="false" customHeight="true" outlineLevel="0" collapsed="false">
      <c r="A14" s="4" t="s">
        <v>5451</v>
      </c>
      <c r="B14" s="4"/>
      <c r="C14" s="4" t="n">
        <f aca="false">SUMPRODUCT(ISERROR(SEARCH("(",'Config Baseline'!$B$2:$B$1017))*1)</f>
        <v>300</v>
      </c>
      <c r="D14" s="4" t="n">
        <f aca="false">COUNTA('Config Baseline'!$B$2:$B$1017)</f>
        <v>1016</v>
      </c>
      <c r="E14" s="4"/>
      <c r="F14" s="4"/>
      <c r="G14" s="4"/>
      <c r="H14" s="4"/>
      <c r="I14" s="4"/>
      <c r="J14" s="4"/>
      <c r="K14" s="4"/>
      <c r="L14" s="4"/>
      <c r="M14" s="4"/>
      <c r="N14" s="4"/>
      <c r="O14" s="4"/>
      <c r="P14" s="4"/>
      <c r="Q14" s="4"/>
      <c r="R14" s="4"/>
      <c r="S14" s="4"/>
      <c r="T14" s="4"/>
      <c r="U14" s="4"/>
      <c r="V14" s="4"/>
    </row>
    <row r="15" customFormat="false" ht="17.25" hidden="false" customHeight="true" outlineLevel="0" collapsed="false">
      <c r="A15" s="4" t="s">
        <v>5452</v>
      </c>
      <c r="B15" s="4"/>
      <c r="C15" s="4"/>
      <c r="D15" s="4"/>
      <c r="E15" s="4"/>
      <c r="F15" s="4"/>
      <c r="G15" s="4"/>
      <c r="H15" s="4"/>
      <c r="I15" s="4"/>
      <c r="J15" s="4"/>
      <c r="K15" s="4"/>
      <c r="L15" s="4"/>
      <c r="M15" s="4"/>
      <c r="N15" s="4"/>
      <c r="O15" s="4"/>
      <c r="P15" s="4"/>
      <c r="Q15" s="4"/>
      <c r="R15" s="4"/>
      <c r="S15" s="4"/>
      <c r="T15" s="4"/>
      <c r="U15" s="4"/>
      <c r="V15" s="4"/>
    </row>
    <row r="16" customFormat="false" ht="17.25" hidden="false" customHeight="true" outlineLevel="0" collapsed="false">
      <c r="A16" s="4"/>
      <c r="B16" s="4"/>
      <c r="C16" s="4"/>
      <c r="D16" s="4"/>
      <c r="E16" s="4"/>
      <c r="F16" s="4"/>
      <c r="G16" s="4"/>
      <c r="H16" s="4"/>
      <c r="I16" s="4"/>
      <c r="J16" s="4"/>
      <c r="K16" s="4"/>
      <c r="L16" s="4"/>
      <c r="M16" s="4"/>
      <c r="N16" s="4"/>
      <c r="O16" s="4"/>
      <c r="P16" s="4"/>
      <c r="Q16" s="4"/>
      <c r="R16" s="4"/>
      <c r="S16" s="4"/>
      <c r="T16" s="4"/>
      <c r="U16" s="4"/>
      <c r="V16" s="4"/>
    </row>
    <row r="17" customFormat="false" ht="18" hidden="false" customHeight="true" outlineLevel="0" collapsed="false">
      <c r="A17" s="8" t="s">
        <v>158</v>
      </c>
      <c r="B17" s="18" t="s">
        <v>5453</v>
      </c>
      <c r="C17" s="18"/>
      <c r="D17" s="18"/>
      <c r="E17" s="18"/>
      <c r="F17" s="18"/>
      <c r="G17" s="18"/>
      <c r="H17" s="18"/>
      <c r="I17" s="18"/>
      <c r="J17" s="18"/>
      <c r="K17" s="4"/>
      <c r="L17" s="4"/>
      <c r="M17" s="4"/>
      <c r="N17" s="4"/>
      <c r="O17" s="4"/>
      <c r="P17" s="4"/>
      <c r="Q17" s="4"/>
      <c r="R17" s="4"/>
      <c r="S17" s="4"/>
      <c r="T17" s="4"/>
      <c r="U17" s="4"/>
      <c r="V17" s="4"/>
    </row>
    <row r="18" customFormat="false" ht="43.5" hidden="false" customHeight="true" outlineLevel="0" collapsed="false">
      <c r="A18" s="4" t="s">
        <v>724</v>
      </c>
      <c r="B18" s="19" t="s">
        <v>5454</v>
      </c>
      <c r="C18" s="19"/>
      <c r="D18" s="19"/>
      <c r="E18" s="19"/>
      <c r="F18" s="19"/>
      <c r="G18" s="19"/>
      <c r="H18" s="19"/>
      <c r="I18" s="19"/>
      <c r="J18" s="19"/>
      <c r="K18" s="4"/>
      <c r="L18" s="4"/>
      <c r="M18" s="4"/>
      <c r="N18" s="4"/>
      <c r="O18" s="4"/>
      <c r="P18" s="4"/>
      <c r="Q18" s="4"/>
      <c r="R18" s="4"/>
      <c r="S18" s="4"/>
      <c r="T18" s="4"/>
      <c r="U18" s="4"/>
      <c r="V18" s="4"/>
    </row>
    <row r="19" customFormat="false" ht="43.5" hidden="false" customHeight="true" outlineLevel="0" collapsed="false">
      <c r="A19" s="4" t="s">
        <v>5300</v>
      </c>
      <c r="B19" s="19" t="s">
        <v>5455</v>
      </c>
      <c r="C19" s="19"/>
      <c r="D19" s="19"/>
      <c r="E19" s="19"/>
      <c r="F19" s="19"/>
      <c r="G19" s="19"/>
      <c r="H19" s="19"/>
      <c r="I19" s="19"/>
      <c r="J19" s="19"/>
      <c r="K19" s="4"/>
      <c r="L19" s="4"/>
      <c r="M19" s="4"/>
      <c r="N19" s="4"/>
      <c r="O19" s="4"/>
      <c r="P19" s="4"/>
      <c r="Q19" s="4"/>
      <c r="R19" s="4"/>
      <c r="S19" s="4"/>
      <c r="T19" s="4"/>
      <c r="U19" s="4"/>
      <c r="V19" s="4"/>
    </row>
    <row r="20" customFormat="false" ht="43.5" hidden="false" customHeight="true" outlineLevel="0" collapsed="false">
      <c r="A20" s="4" t="s">
        <v>2176</v>
      </c>
      <c r="B20" s="19" t="s">
        <v>5456</v>
      </c>
      <c r="C20" s="19"/>
      <c r="D20" s="19"/>
      <c r="E20" s="19"/>
      <c r="F20" s="19"/>
      <c r="G20" s="19"/>
      <c r="H20" s="19"/>
      <c r="I20" s="19"/>
      <c r="J20" s="19"/>
      <c r="K20" s="4"/>
      <c r="L20" s="4"/>
      <c r="M20" s="4"/>
      <c r="N20" s="4"/>
      <c r="O20" s="4"/>
      <c r="P20" s="4"/>
      <c r="Q20" s="4"/>
      <c r="R20" s="4"/>
      <c r="S20" s="4"/>
      <c r="T20" s="4"/>
      <c r="U20" s="4"/>
      <c r="V20" s="4"/>
    </row>
    <row r="21" customFormat="false" ht="43.5" hidden="false" customHeight="true" outlineLevel="0" collapsed="false">
      <c r="A21" s="4" t="s">
        <v>1173</v>
      </c>
      <c r="B21" s="19" t="s">
        <v>5457</v>
      </c>
      <c r="C21" s="19"/>
      <c r="D21" s="19"/>
      <c r="E21" s="19"/>
      <c r="F21" s="19"/>
      <c r="G21" s="19"/>
      <c r="H21" s="19"/>
      <c r="I21" s="19"/>
      <c r="J21" s="19"/>
      <c r="K21" s="4"/>
      <c r="L21" s="4"/>
      <c r="M21" s="4"/>
      <c r="N21" s="4"/>
      <c r="O21" s="4"/>
      <c r="P21" s="4"/>
      <c r="Q21" s="4"/>
      <c r="R21" s="4"/>
      <c r="S21" s="4"/>
      <c r="T21" s="4"/>
      <c r="U21" s="4"/>
      <c r="V21" s="4"/>
    </row>
    <row r="22" customFormat="false" ht="43.5" hidden="false" customHeight="true" outlineLevel="0" collapsed="false">
      <c r="A22" s="4" t="s">
        <v>814</v>
      </c>
      <c r="B22" s="19" t="s">
        <v>5458</v>
      </c>
      <c r="C22" s="19"/>
      <c r="D22" s="19"/>
      <c r="E22" s="19"/>
      <c r="F22" s="19"/>
      <c r="G22" s="19"/>
      <c r="H22" s="19"/>
      <c r="I22" s="19"/>
      <c r="J22" s="19"/>
      <c r="K22" s="4"/>
      <c r="L22" s="4"/>
      <c r="M22" s="4"/>
      <c r="N22" s="4"/>
      <c r="O22" s="4"/>
      <c r="P22" s="4"/>
      <c r="Q22" s="4"/>
      <c r="R22" s="4"/>
      <c r="S22" s="4"/>
      <c r="T22" s="4"/>
      <c r="U22" s="4"/>
      <c r="V22" s="4"/>
    </row>
    <row r="23" customFormat="false" ht="43.5" hidden="false" customHeight="true" outlineLevel="0" collapsed="false">
      <c r="A23" s="4" t="s">
        <v>603</v>
      </c>
      <c r="B23" s="19" t="s">
        <v>5459</v>
      </c>
      <c r="C23" s="19"/>
      <c r="D23" s="19"/>
      <c r="E23" s="19"/>
      <c r="F23" s="19"/>
      <c r="G23" s="19"/>
      <c r="H23" s="19"/>
      <c r="I23" s="19"/>
      <c r="J23" s="19"/>
      <c r="K23" s="4"/>
      <c r="L23" s="4"/>
      <c r="M23" s="4"/>
      <c r="N23" s="4"/>
      <c r="O23" s="4"/>
      <c r="P23" s="4"/>
      <c r="Q23" s="4"/>
      <c r="R23" s="4"/>
      <c r="S23" s="4"/>
      <c r="T23" s="4"/>
      <c r="U23" s="4"/>
      <c r="V23" s="4"/>
    </row>
    <row r="24" customFormat="false" ht="43.5" hidden="false" customHeight="true" outlineLevel="0" collapsed="false">
      <c r="A24" s="4" t="s">
        <v>1716</v>
      </c>
      <c r="B24" s="19" t="s">
        <v>5460</v>
      </c>
      <c r="C24" s="19"/>
      <c r="D24" s="19"/>
      <c r="E24" s="19"/>
      <c r="F24" s="19"/>
      <c r="G24" s="19"/>
      <c r="H24" s="19"/>
      <c r="I24" s="19"/>
      <c r="J24" s="19"/>
      <c r="K24" s="4"/>
      <c r="L24" s="4"/>
      <c r="M24" s="4"/>
      <c r="N24" s="4"/>
      <c r="O24" s="4"/>
      <c r="P24" s="4"/>
      <c r="Q24" s="4"/>
      <c r="R24" s="4"/>
      <c r="S24" s="4"/>
      <c r="T24" s="4"/>
      <c r="U24" s="4"/>
      <c r="V24" s="4"/>
    </row>
    <row r="25" customFormat="false" ht="43.5" hidden="false" customHeight="true" outlineLevel="0" collapsed="false">
      <c r="A25" s="4" t="s">
        <v>169</v>
      </c>
      <c r="B25" s="19" t="s">
        <v>5461</v>
      </c>
      <c r="C25" s="19"/>
      <c r="D25" s="19"/>
      <c r="E25" s="19"/>
      <c r="F25" s="19"/>
      <c r="G25" s="19"/>
      <c r="H25" s="19"/>
      <c r="I25" s="19"/>
      <c r="J25" s="19"/>
      <c r="K25" s="4"/>
      <c r="L25" s="4"/>
      <c r="M25" s="4"/>
      <c r="N25" s="4"/>
      <c r="O25" s="4"/>
      <c r="P25" s="4"/>
      <c r="Q25" s="4"/>
      <c r="R25" s="4"/>
      <c r="S25" s="4"/>
      <c r="T25" s="4"/>
      <c r="U25" s="4"/>
      <c r="V25" s="4"/>
    </row>
    <row r="26" customFormat="false" ht="43.5" hidden="false" customHeight="true" outlineLevel="0" collapsed="false">
      <c r="A26" s="4" t="s">
        <v>2451</v>
      </c>
      <c r="B26" s="19" t="s">
        <v>5462</v>
      </c>
      <c r="C26" s="19"/>
      <c r="D26" s="19"/>
      <c r="E26" s="19"/>
      <c r="F26" s="19"/>
      <c r="G26" s="19"/>
      <c r="H26" s="19"/>
      <c r="I26" s="19"/>
      <c r="J26" s="19"/>
      <c r="K26" s="4"/>
      <c r="L26" s="4"/>
      <c r="M26" s="4"/>
      <c r="N26" s="4"/>
      <c r="O26" s="4"/>
      <c r="P26" s="4"/>
      <c r="Q26" s="4"/>
      <c r="R26" s="4"/>
      <c r="S26" s="4"/>
      <c r="T26" s="4"/>
      <c r="U26" s="4"/>
      <c r="V26" s="4"/>
    </row>
    <row r="27" customFormat="false" ht="43.5" hidden="false" customHeight="true" outlineLevel="0" collapsed="false">
      <c r="A27" s="4" t="s">
        <v>5345</v>
      </c>
      <c r="B27" s="19" t="s">
        <v>5463</v>
      </c>
      <c r="C27" s="19"/>
      <c r="D27" s="19"/>
      <c r="E27" s="19"/>
      <c r="F27" s="19"/>
      <c r="G27" s="19"/>
      <c r="H27" s="19"/>
      <c r="I27" s="19"/>
      <c r="J27" s="19"/>
      <c r="K27" s="4"/>
      <c r="L27" s="4"/>
      <c r="M27" s="4"/>
      <c r="N27" s="4"/>
      <c r="O27" s="4"/>
      <c r="P27" s="4"/>
      <c r="Q27" s="4"/>
      <c r="R27" s="4"/>
      <c r="S27" s="4"/>
      <c r="T27" s="4"/>
      <c r="U27" s="4"/>
      <c r="V27" s="4"/>
    </row>
    <row r="28" customFormat="false" ht="17.2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row>
    <row r="29" customFormat="false" ht="17.2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row>
    <row r="30" customFormat="false" ht="52.5" hidden="false" customHeight="true" outlineLevel="0" collapsed="false">
      <c r="A30" s="15" t="s">
        <v>5464</v>
      </c>
      <c r="B30" s="4"/>
      <c r="C30" s="4"/>
      <c r="D30" s="4"/>
      <c r="E30" s="4"/>
      <c r="F30" s="4"/>
      <c r="G30" s="4"/>
      <c r="H30" s="4"/>
      <c r="I30" s="4"/>
      <c r="J30" s="4"/>
      <c r="K30" s="4"/>
      <c r="L30" s="4"/>
      <c r="M30" s="4"/>
      <c r="N30" s="4"/>
      <c r="O30" s="4"/>
      <c r="P30" s="4"/>
      <c r="Q30" s="4"/>
      <c r="R30" s="4"/>
      <c r="S30" s="4"/>
      <c r="T30" s="4"/>
      <c r="U30" s="4"/>
      <c r="V30" s="4"/>
    </row>
    <row r="31" customFormat="false" ht="18" hidden="false" customHeight="true" outlineLevel="0" collapsed="false">
      <c r="A31" s="8" t="s">
        <v>158</v>
      </c>
      <c r="B31" s="8" t="s">
        <v>5465</v>
      </c>
      <c r="C31" s="8" t="s">
        <v>5466</v>
      </c>
      <c r="D31" s="8" t="s">
        <v>5467</v>
      </c>
      <c r="E31" s="8" t="s">
        <v>5468</v>
      </c>
      <c r="F31" s="8" t="s">
        <v>5469</v>
      </c>
      <c r="G31" s="8" t="s">
        <v>5470</v>
      </c>
      <c r="H31" s="8" t="s">
        <v>5471</v>
      </c>
      <c r="I31" s="8" t="s">
        <v>5472</v>
      </c>
      <c r="J31" s="8" t="s">
        <v>5473</v>
      </c>
      <c r="K31" s="8" t="s">
        <v>5474</v>
      </c>
      <c r="L31" s="8" t="s">
        <v>5475</v>
      </c>
      <c r="M31" s="8" t="s">
        <v>5476</v>
      </c>
      <c r="N31" s="8" t="s">
        <v>5477</v>
      </c>
      <c r="O31" s="8" t="s">
        <v>5478</v>
      </c>
      <c r="P31" s="8" t="s">
        <v>5479</v>
      </c>
      <c r="Q31" s="8" t="s">
        <v>5480</v>
      </c>
      <c r="R31" s="8" t="s">
        <v>5481</v>
      </c>
      <c r="S31" s="8" t="s">
        <v>5482</v>
      </c>
      <c r="T31" s="8" t="s">
        <v>5483</v>
      </c>
      <c r="U31" s="8" t="s">
        <v>5484</v>
      </c>
      <c r="V31" s="8" t="s">
        <v>5446</v>
      </c>
    </row>
    <row r="32" customFormat="false" ht="17.25" hidden="false" customHeight="true" outlineLevel="0" collapsed="false">
      <c r="A32" s="4" t="s">
        <v>724</v>
      </c>
      <c r="B32" s="4" t="n">
        <f aca="false">COUNTIFS('Config Baseline'!$C$2:$C$1017,"*("&amp;B$31&amp;")",'Config Baseline'!$K$2:$K$1017,"*"&amp;$A32&amp;"*")</f>
        <v>97</v>
      </c>
      <c r="C32" s="4" t="n">
        <f aca="false">COUNTIFS('Config Baseline'!$C$2:$C$1017,"*("&amp;C$31&amp;")",'Config Baseline'!$K$2:$K$1017,"*"&amp;$A32&amp;"*")</f>
        <v>0</v>
      </c>
      <c r="D32" s="4" t="n">
        <f aca="false">COUNTIFS('Config Baseline'!$C$2:$C$1017,"*("&amp;D$31&amp;")",'Config Baseline'!$K$2:$K$1017,"*"&amp;$A32&amp;"*")</f>
        <v>38</v>
      </c>
      <c r="E32" s="4" t="n">
        <f aca="false">COUNTIFS('Config Baseline'!$C$2:$C$1017,"*("&amp;E$31&amp;")",'Config Baseline'!$K$2:$K$1017,"*"&amp;$A32&amp;"*")</f>
        <v>19</v>
      </c>
      <c r="F32" s="4" t="n">
        <f aca="false">COUNTIFS('Config Baseline'!$C$2:$C$1017,"*("&amp;F$31&amp;")",'Config Baseline'!$K$2:$K$1017,"*"&amp;$A32&amp;"*")</f>
        <v>46</v>
      </c>
      <c r="G32" s="4" t="n">
        <f aca="false">COUNTIFS('Config Baseline'!$C$2:$C$1017,"*("&amp;G$31&amp;")",'Config Baseline'!$K$2:$K$1017,"*"&amp;$A32&amp;"*")</f>
        <v>7</v>
      </c>
      <c r="H32" s="4" t="n">
        <f aca="false">COUNTIFS('Config Baseline'!$C$2:$C$1017,"*("&amp;H$31&amp;")",'Config Baseline'!$K$2:$K$1017,"*"&amp;$A32&amp;"*")</f>
        <v>37</v>
      </c>
      <c r="I32" s="4" t="n">
        <f aca="false">COUNTIFS('Config Baseline'!$C$2:$C$1017,"*("&amp;I$31&amp;")",'Config Baseline'!$K$2:$K$1017,"*"&amp;$A32&amp;"*")</f>
        <v>16</v>
      </c>
      <c r="J32" s="4" t="n">
        <f aca="false">COUNTIFS('Config Baseline'!$C$2:$C$1017,"*("&amp;J$31&amp;")",'Config Baseline'!$K$2:$K$1017,"*"&amp;$A32&amp;"*")</f>
        <v>7</v>
      </c>
      <c r="K32" s="4" t="n">
        <f aca="false">COUNTIFS('Config Baseline'!$C$2:$C$1017,"*("&amp;K$31&amp;")",'Config Baseline'!$K$2:$K$1017,"*"&amp;$A32&amp;"*")</f>
        <v>0</v>
      </c>
      <c r="L32" s="4" t="n">
        <f aca="false">COUNTIFS('Config Baseline'!$C$2:$C$1017,"*("&amp;L$31&amp;")",'Config Baseline'!$K$2:$K$1017,"*"&amp;$A32&amp;"*")</f>
        <v>0</v>
      </c>
      <c r="M32" s="4" t="n">
        <f aca="false">COUNTIFS('Config Baseline'!$C$2:$C$1017,"*("&amp;M$31&amp;")",'Config Baseline'!$K$2:$K$1017,"*"&amp;$A32&amp;"*")</f>
        <v>3</v>
      </c>
      <c r="N32" s="4" t="n">
        <f aca="false">COUNTIFS('Config Baseline'!$C$2:$C$1017,"*("&amp;N$31&amp;")",'Config Baseline'!$K$2:$K$1017,"*"&amp;$A32&amp;"*")</f>
        <v>0</v>
      </c>
      <c r="O32" s="4" t="n">
        <f aca="false">COUNTIFS('Config Baseline'!$C$2:$C$1017,"*("&amp;O$31&amp;")",'Config Baseline'!$K$2:$K$1017,"*"&amp;$A32&amp;"*")</f>
        <v>0</v>
      </c>
      <c r="P32" s="4" t="n">
        <f aca="false">COUNTIFS('Config Baseline'!$C$2:$C$1017,"*("&amp;P$31&amp;")",'Config Baseline'!$K$2:$K$1017,"*"&amp;$A32&amp;"*")</f>
        <v>0</v>
      </c>
      <c r="Q32" s="4" t="n">
        <f aca="false">COUNTIFS('Config Baseline'!$C$2:$C$1017,"*("&amp;Q$31&amp;")",'Config Baseline'!$K$2:$K$1017,"*"&amp;$A32&amp;"*")</f>
        <v>14</v>
      </c>
      <c r="R32" s="4" t="n">
        <f aca="false">COUNTIFS('Config Baseline'!$C$2:$C$1017,"*("&amp;R$31&amp;")",'Config Baseline'!$K$2:$K$1017,"*"&amp;$A32&amp;"*")</f>
        <v>2</v>
      </c>
      <c r="S32" s="4" t="n">
        <f aca="false">COUNTIFS('Config Baseline'!$C$2:$C$1017,"*("&amp;S$31&amp;")",'Config Baseline'!$K$2:$K$1017,"*"&amp;$A32&amp;"*")</f>
        <v>70</v>
      </c>
      <c r="T32" s="4" t="n">
        <f aca="false">COUNTIFS('Config Baseline'!$C$2:$C$1017,"*("&amp;T$31&amp;")",'Config Baseline'!$K$2:$K$1017,"*"&amp;$A32&amp;"*")</f>
        <v>53</v>
      </c>
      <c r="U32" s="4" t="n">
        <f aca="false">COUNTIFS('Config Baseline'!$C$2:$C$1017,"*("&amp;U$31&amp;")",'Config Baseline'!$K$2:$K$1017,"*"&amp;$A32&amp;"*")</f>
        <v>4</v>
      </c>
      <c r="V32" s="4" t="n">
        <f aca="false">SUM(B32:U32)</f>
        <v>413</v>
      </c>
    </row>
    <row r="33" customFormat="false" ht="17.25" hidden="false" customHeight="true" outlineLevel="0" collapsed="false">
      <c r="A33" s="4" t="s">
        <v>5300</v>
      </c>
      <c r="B33" s="4" t="n">
        <f aca="false">COUNTIFS('Config Baseline'!$C$2:$C$1017,"*("&amp;B$31&amp;")",'Config Baseline'!$K$2:$K$1017,"*"&amp;$A33&amp;"*")</f>
        <v>95</v>
      </c>
      <c r="C33" s="4" t="n">
        <f aca="false">COUNTIFS('Config Baseline'!$C$2:$C$1017,"*("&amp;C$31&amp;")",'Config Baseline'!$K$2:$K$1017,"*"&amp;$A33&amp;"*")</f>
        <v>0</v>
      </c>
      <c r="D33" s="4" t="n">
        <f aca="false">COUNTIFS('Config Baseline'!$C$2:$C$1017,"*("&amp;D$31&amp;")",'Config Baseline'!$K$2:$K$1017,"*"&amp;$A33&amp;"*")</f>
        <v>40</v>
      </c>
      <c r="E33" s="4" t="n">
        <f aca="false">COUNTIFS('Config Baseline'!$C$2:$C$1017,"*("&amp;E$31&amp;")",'Config Baseline'!$K$2:$K$1017,"*"&amp;$A33&amp;"*")</f>
        <v>21</v>
      </c>
      <c r="F33" s="4" t="n">
        <f aca="false">COUNTIFS('Config Baseline'!$C$2:$C$1017,"*("&amp;F$31&amp;")",'Config Baseline'!$K$2:$K$1017,"*"&amp;$A33&amp;"*")</f>
        <v>49</v>
      </c>
      <c r="G33" s="4" t="n">
        <f aca="false">COUNTIFS('Config Baseline'!$C$2:$C$1017,"*("&amp;G$31&amp;")",'Config Baseline'!$K$2:$K$1017,"*"&amp;$A33&amp;"*")</f>
        <v>36</v>
      </c>
      <c r="H33" s="4" t="n">
        <f aca="false">COUNTIFS('Config Baseline'!$C$2:$C$1017,"*("&amp;H$31&amp;")",'Config Baseline'!$K$2:$K$1017,"*"&amp;$A33&amp;"*")</f>
        <v>52</v>
      </c>
      <c r="I33" s="4" t="n">
        <f aca="false">COUNTIFS('Config Baseline'!$C$2:$C$1017,"*("&amp;I$31&amp;")",'Config Baseline'!$K$2:$K$1017,"*"&amp;$A33&amp;"*")</f>
        <v>26</v>
      </c>
      <c r="J33" s="4" t="n">
        <f aca="false">COUNTIFS('Config Baseline'!$C$2:$C$1017,"*("&amp;J$31&amp;")",'Config Baseline'!$K$2:$K$1017,"*"&amp;$A33&amp;"*")</f>
        <v>0</v>
      </c>
      <c r="K33" s="4" t="n">
        <f aca="false">COUNTIFS('Config Baseline'!$C$2:$C$1017,"*("&amp;K$31&amp;")",'Config Baseline'!$K$2:$K$1017,"*"&amp;$A33&amp;"*")</f>
        <v>6</v>
      </c>
      <c r="L33" s="4" t="n">
        <f aca="false">COUNTIFS('Config Baseline'!$C$2:$C$1017,"*("&amp;L$31&amp;")",'Config Baseline'!$K$2:$K$1017,"*"&amp;$A33&amp;"*")</f>
        <v>0</v>
      </c>
      <c r="M33" s="4" t="n">
        <f aca="false">COUNTIFS('Config Baseline'!$C$2:$C$1017,"*("&amp;M$31&amp;")",'Config Baseline'!$K$2:$K$1017,"*"&amp;$A33&amp;"*")</f>
        <v>4</v>
      </c>
      <c r="N33" s="4" t="n">
        <f aca="false">COUNTIFS('Config Baseline'!$C$2:$C$1017,"*("&amp;N$31&amp;")",'Config Baseline'!$K$2:$K$1017,"*"&amp;$A33&amp;"*")</f>
        <v>0</v>
      </c>
      <c r="O33" s="4" t="n">
        <f aca="false">COUNTIFS('Config Baseline'!$C$2:$C$1017,"*("&amp;O$31&amp;")",'Config Baseline'!$K$2:$K$1017,"*"&amp;$A33&amp;"*")</f>
        <v>4</v>
      </c>
      <c r="P33" s="4" t="n">
        <f aca="false">COUNTIFS('Config Baseline'!$C$2:$C$1017,"*("&amp;P$31&amp;")",'Config Baseline'!$K$2:$K$1017,"*"&amp;$A33&amp;"*")</f>
        <v>0</v>
      </c>
      <c r="Q33" s="4" t="n">
        <f aca="false">COUNTIFS('Config Baseline'!$C$2:$C$1017,"*("&amp;Q$31&amp;")",'Config Baseline'!$K$2:$K$1017,"*"&amp;$A33&amp;"*")</f>
        <v>19</v>
      </c>
      <c r="R33" s="4" t="n">
        <f aca="false">COUNTIFS('Config Baseline'!$C$2:$C$1017,"*("&amp;R$31&amp;")",'Config Baseline'!$K$2:$K$1017,"*"&amp;$A33&amp;"*")</f>
        <v>91</v>
      </c>
      <c r="S33" s="4" t="n">
        <f aca="false">COUNTIFS('Config Baseline'!$C$2:$C$1017,"*("&amp;S$31&amp;")",'Config Baseline'!$K$2:$K$1017,"*"&amp;$A33&amp;"*")</f>
        <v>70</v>
      </c>
      <c r="T33" s="4" t="n">
        <f aca="false">COUNTIFS('Config Baseline'!$C$2:$C$1017,"*("&amp;T$31&amp;")",'Config Baseline'!$K$2:$K$1017,"*"&amp;$A33&amp;"*")</f>
        <v>71</v>
      </c>
      <c r="U33" s="4" t="n">
        <f aca="false">COUNTIFS('Config Baseline'!$C$2:$C$1017,"*("&amp;U$31&amp;")",'Config Baseline'!$K$2:$K$1017,"*"&amp;$A33&amp;"*")</f>
        <v>12</v>
      </c>
      <c r="V33" s="4" t="n">
        <f aca="false">SUM(B33:U33)</f>
        <v>596</v>
      </c>
    </row>
    <row r="34" customFormat="false" ht="17.25" hidden="false" customHeight="true" outlineLevel="0" collapsed="false">
      <c r="A34" s="4" t="s">
        <v>2176</v>
      </c>
      <c r="B34" s="4" t="n">
        <f aca="false">COUNTIFS('Config Baseline'!$C$2:$C$1017,"*("&amp;B$31&amp;")",'Config Baseline'!$K$2:$K$1017,"*"&amp;$A34&amp;"*")</f>
        <v>61</v>
      </c>
      <c r="C34" s="4" t="n">
        <f aca="false">COUNTIFS('Config Baseline'!$C$2:$C$1017,"*("&amp;C$31&amp;")",'Config Baseline'!$K$2:$K$1017,"*"&amp;$A34&amp;"*")</f>
        <v>0</v>
      </c>
      <c r="D34" s="4" t="n">
        <f aca="false">COUNTIFS('Config Baseline'!$C$2:$C$1017,"*("&amp;D$31&amp;")",'Config Baseline'!$K$2:$K$1017,"*"&amp;$A34&amp;"*")</f>
        <v>0</v>
      </c>
      <c r="E34" s="4" t="n">
        <f aca="false">COUNTIFS('Config Baseline'!$C$2:$C$1017,"*("&amp;E$31&amp;")",'Config Baseline'!$K$2:$K$1017,"*"&amp;$A34&amp;"*")</f>
        <v>0</v>
      </c>
      <c r="F34" s="4" t="n">
        <f aca="false">COUNTIFS('Config Baseline'!$C$2:$C$1017,"*("&amp;F$31&amp;")",'Config Baseline'!$K$2:$K$1017,"*"&amp;$A34&amp;"*")</f>
        <v>0</v>
      </c>
      <c r="G34" s="4" t="n">
        <f aca="false">COUNTIFS('Config Baseline'!$C$2:$C$1017,"*("&amp;G$31&amp;")",'Config Baseline'!$K$2:$K$1017,"*"&amp;$A34&amp;"*")</f>
        <v>0</v>
      </c>
      <c r="H34" s="4" t="n">
        <f aca="false">COUNTIFS('Config Baseline'!$C$2:$C$1017,"*("&amp;H$31&amp;")",'Config Baseline'!$K$2:$K$1017,"*"&amp;$A34&amp;"*")</f>
        <v>54</v>
      </c>
      <c r="I34" s="4" t="n">
        <f aca="false">COUNTIFS('Config Baseline'!$C$2:$C$1017,"*("&amp;I$31&amp;")",'Config Baseline'!$K$2:$K$1017,"*"&amp;$A34&amp;"*")</f>
        <v>0</v>
      </c>
      <c r="J34" s="4" t="n">
        <f aca="false">COUNTIFS('Config Baseline'!$C$2:$C$1017,"*("&amp;J$31&amp;")",'Config Baseline'!$K$2:$K$1017,"*"&amp;$A34&amp;"*")</f>
        <v>0</v>
      </c>
      <c r="K34" s="4" t="n">
        <f aca="false">COUNTIFS('Config Baseline'!$C$2:$C$1017,"*("&amp;K$31&amp;")",'Config Baseline'!$K$2:$K$1017,"*"&amp;$A34&amp;"*")</f>
        <v>0</v>
      </c>
      <c r="L34" s="4" t="n">
        <f aca="false">COUNTIFS('Config Baseline'!$C$2:$C$1017,"*("&amp;L$31&amp;")",'Config Baseline'!$K$2:$K$1017,"*"&amp;$A34&amp;"*")</f>
        <v>0</v>
      </c>
      <c r="M34" s="4" t="n">
        <f aca="false">COUNTIFS('Config Baseline'!$C$2:$C$1017,"*("&amp;M$31&amp;")",'Config Baseline'!$K$2:$K$1017,"*"&amp;$A34&amp;"*")</f>
        <v>0</v>
      </c>
      <c r="N34" s="4" t="n">
        <f aca="false">COUNTIFS('Config Baseline'!$C$2:$C$1017,"*("&amp;N$31&amp;")",'Config Baseline'!$K$2:$K$1017,"*"&amp;$A34&amp;"*")</f>
        <v>0</v>
      </c>
      <c r="O34" s="4" t="n">
        <f aca="false">COUNTIFS('Config Baseline'!$C$2:$C$1017,"*("&amp;O$31&amp;")",'Config Baseline'!$K$2:$K$1017,"*"&amp;$A34&amp;"*")</f>
        <v>4</v>
      </c>
      <c r="P34" s="4" t="n">
        <f aca="false">COUNTIFS('Config Baseline'!$C$2:$C$1017,"*("&amp;P$31&amp;")",'Config Baseline'!$K$2:$K$1017,"*"&amp;$A34&amp;"*")</f>
        <v>0</v>
      </c>
      <c r="Q34" s="4" t="n">
        <f aca="false">COUNTIFS('Config Baseline'!$C$2:$C$1017,"*("&amp;Q$31&amp;")",'Config Baseline'!$K$2:$K$1017,"*"&amp;$A34&amp;"*")</f>
        <v>0</v>
      </c>
      <c r="R34" s="4" t="n">
        <f aca="false">COUNTIFS('Config Baseline'!$C$2:$C$1017,"*("&amp;R$31&amp;")",'Config Baseline'!$K$2:$K$1017,"*"&amp;$A34&amp;"*")</f>
        <v>0</v>
      </c>
      <c r="S34" s="4" t="n">
        <f aca="false">COUNTIFS('Config Baseline'!$C$2:$C$1017,"*("&amp;S$31&amp;")",'Config Baseline'!$K$2:$K$1017,"*"&amp;$A34&amp;"*")</f>
        <v>0</v>
      </c>
      <c r="T34" s="4" t="n">
        <f aca="false">COUNTIFS('Config Baseline'!$C$2:$C$1017,"*("&amp;T$31&amp;")",'Config Baseline'!$K$2:$K$1017,"*"&amp;$A34&amp;"*")</f>
        <v>0</v>
      </c>
      <c r="U34" s="4" t="n">
        <f aca="false">COUNTIFS('Config Baseline'!$C$2:$C$1017,"*("&amp;U$31&amp;")",'Config Baseline'!$K$2:$K$1017,"*"&amp;$A34&amp;"*")</f>
        <v>0</v>
      </c>
      <c r="V34" s="4" t="n">
        <f aca="false">SUM(B34:U34)</f>
        <v>119</v>
      </c>
    </row>
    <row r="35" customFormat="false" ht="17.25" hidden="false" customHeight="true" outlineLevel="0" collapsed="false">
      <c r="A35" s="4" t="s">
        <v>1173</v>
      </c>
      <c r="B35" s="4" t="n">
        <f aca="false">COUNTIFS('Config Baseline'!$C$2:$C$1017,"*("&amp;B$31&amp;")",'Config Baseline'!$K$2:$K$1017,"*"&amp;$A35&amp;"*")</f>
        <v>0</v>
      </c>
      <c r="C35" s="4" t="n">
        <f aca="false">COUNTIFS('Config Baseline'!$C$2:$C$1017,"*("&amp;C$31&amp;")",'Config Baseline'!$K$2:$K$1017,"*"&amp;$A35&amp;"*")</f>
        <v>0</v>
      </c>
      <c r="D35" s="4" t="n">
        <f aca="false">COUNTIFS('Config Baseline'!$C$2:$C$1017,"*("&amp;D$31&amp;")",'Config Baseline'!$K$2:$K$1017,"*"&amp;$A35&amp;"*")</f>
        <v>50</v>
      </c>
      <c r="E35" s="4" t="n">
        <f aca="false">COUNTIFS('Config Baseline'!$C$2:$C$1017,"*("&amp;E$31&amp;")",'Config Baseline'!$K$2:$K$1017,"*"&amp;$A35&amp;"*")</f>
        <v>6</v>
      </c>
      <c r="F35" s="4" t="n">
        <f aca="false">COUNTIFS('Config Baseline'!$C$2:$C$1017,"*("&amp;F$31&amp;")",'Config Baseline'!$K$2:$K$1017,"*"&amp;$A35&amp;"*")</f>
        <v>0</v>
      </c>
      <c r="G35" s="4" t="n">
        <f aca="false">COUNTIFS('Config Baseline'!$C$2:$C$1017,"*("&amp;G$31&amp;")",'Config Baseline'!$K$2:$K$1017,"*"&amp;$A35&amp;"*")</f>
        <v>0</v>
      </c>
      <c r="H35" s="4" t="n">
        <f aca="false">COUNTIFS('Config Baseline'!$C$2:$C$1017,"*("&amp;H$31&amp;")",'Config Baseline'!$K$2:$K$1017,"*"&amp;$A35&amp;"*")</f>
        <v>0</v>
      </c>
      <c r="I35" s="4" t="n">
        <f aca="false">COUNTIFS('Config Baseline'!$C$2:$C$1017,"*("&amp;I$31&amp;")",'Config Baseline'!$K$2:$K$1017,"*"&amp;$A35&amp;"*")</f>
        <v>18</v>
      </c>
      <c r="J35" s="4" t="n">
        <f aca="false">COUNTIFS('Config Baseline'!$C$2:$C$1017,"*("&amp;J$31&amp;")",'Config Baseline'!$K$2:$K$1017,"*"&amp;$A35&amp;"*")</f>
        <v>0</v>
      </c>
      <c r="K35" s="4" t="n">
        <f aca="false">COUNTIFS('Config Baseline'!$C$2:$C$1017,"*("&amp;K$31&amp;")",'Config Baseline'!$K$2:$K$1017,"*"&amp;$A35&amp;"*")</f>
        <v>0</v>
      </c>
      <c r="L35" s="4" t="n">
        <f aca="false">COUNTIFS('Config Baseline'!$C$2:$C$1017,"*("&amp;L$31&amp;")",'Config Baseline'!$K$2:$K$1017,"*"&amp;$A35&amp;"*")</f>
        <v>0</v>
      </c>
      <c r="M35" s="4" t="n">
        <f aca="false">COUNTIFS('Config Baseline'!$C$2:$C$1017,"*("&amp;M$31&amp;")",'Config Baseline'!$K$2:$K$1017,"*"&amp;$A35&amp;"*")</f>
        <v>1</v>
      </c>
      <c r="N35" s="4" t="n">
        <f aca="false">COUNTIFS('Config Baseline'!$C$2:$C$1017,"*("&amp;N$31&amp;")",'Config Baseline'!$K$2:$K$1017,"*"&amp;$A35&amp;"*")</f>
        <v>0</v>
      </c>
      <c r="O35" s="4" t="n">
        <f aca="false">COUNTIFS('Config Baseline'!$C$2:$C$1017,"*("&amp;O$31&amp;")",'Config Baseline'!$K$2:$K$1017,"*"&amp;$A35&amp;"*")</f>
        <v>0</v>
      </c>
      <c r="P35" s="4" t="n">
        <f aca="false">COUNTIFS('Config Baseline'!$C$2:$C$1017,"*("&amp;P$31&amp;")",'Config Baseline'!$K$2:$K$1017,"*"&amp;$A35&amp;"*")</f>
        <v>0</v>
      </c>
      <c r="Q35" s="4" t="n">
        <f aca="false">COUNTIFS('Config Baseline'!$C$2:$C$1017,"*("&amp;Q$31&amp;")",'Config Baseline'!$K$2:$K$1017,"*"&amp;$A35&amp;"*")</f>
        <v>1</v>
      </c>
      <c r="R35" s="4" t="n">
        <f aca="false">COUNTIFS('Config Baseline'!$C$2:$C$1017,"*("&amp;R$31&amp;")",'Config Baseline'!$K$2:$K$1017,"*"&amp;$A35&amp;"*")</f>
        <v>0</v>
      </c>
      <c r="S35" s="4" t="n">
        <f aca="false">COUNTIFS('Config Baseline'!$C$2:$C$1017,"*("&amp;S$31&amp;")",'Config Baseline'!$K$2:$K$1017,"*"&amp;$A35&amp;"*")</f>
        <v>0</v>
      </c>
      <c r="T35" s="4" t="n">
        <f aca="false">COUNTIFS('Config Baseline'!$C$2:$C$1017,"*("&amp;T$31&amp;")",'Config Baseline'!$K$2:$K$1017,"*"&amp;$A35&amp;"*")</f>
        <v>24</v>
      </c>
      <c r="U35" s="4" t="n">
        <f aca="false">COUNTIFS('Config Baseline'!$C$2:$C$1017,"*("&amp;U$31&amp;")",'Config Baseline'!$K$2:$K$1017,"*"&amp;$A35&amp;"*")</f>
        <v>0</v>
      </c>
      <c r="V35" s="4" t="n">
        <f aca="false">SUM(B35:U35)</f>
        <v>100</v>
      </c>
    </row>
    <row r="36" customFormat="false" ht="17.25" hidden="false" customHeight="true" outlineLevel="0" collapsed="false">
      <c r="A36" s="4" t="s">
        <v>814</v>
      </c>
      <c r="B36" s="4" t="n">
        <f aca="false">COUNTIFS('Config Baseline'!$C$2:$C$1017,"*("&amp;B$31&amp;")",'Config Baseline'!$K$2:$K$1017,"*"&amp;$A36&amp;"*")</f>
        <v>42</v>
      </c>
      <c r="C36" s="4" t="n">
        <f aca="false">COUNTIFS('Config Baseline'!$C$2:$C$1017,"*("&amp;C$31&amp;")",'Config Baseline'!$K$2:$K$1017,"*"&amp;$A36&amp;"*")</f>
        <v>0</v>
      </c>
      <c r="D36" s="4" t="n">
        <f aca="false">COUNTIFS('Config Baseline'!$C$2:$C$1017,"*("&amp;D$31&amp;")",'Config Baseline'!$K$2:$K$1017,"*"&amp;$A36&amp;"*")</f>
        <v>0</v>
      </c>
      <c r="E36" s="4" t="n">
        <f aca="false">COUNTIFS('Config Baseline'!$C$2:$C$1017,"*("&amp;E$31&amp;")",'Config Baseline'!$K$2:$K$1017,"*"&amp;$A36&amp;"*")</f>
        <v>0</v>
      </c>
      <c r="F36" s="4" t="n">
        <f aca="false">COUNTIFS('Config Baseline'!$C$2:$C$1017,"*("&amp;F$31&amp;")",'Config Baseline'!$K$2:$K$1017,"*"&amp;$A36&amp;"*")</f>
        <v>10</v>
      </c>
      <c r="G36" s="4" t="n">
        <f aca="false">COUNTIFS('Config Baseline'!$C$2:$C$1017,"*("&amp;G$31&amp;")",'Config Baseline'!$K$2:$K$1017,"*"&amp;$A36&amp;"*")</f>
        <v>12</v>
      </c>
      <c r="H36" s="4" t="n">
        <f aca="false">COUNTIFS('Config Baseline'!$C$2:$C$1017,"*("&amp;H$31&amp;")",'Config Baseline'!$K$2:$K$1017,"*"&amp;$A36&amp;"*")</f>
        <v>16</v>
      </c>
      <c r="I36" s="4" t="n">
        <f aca="false">COUNTIFS('Config Baseline'!$C$2:$C$1017,"*("&amp;I$31&amp;")",'Config Baseline'!$K$2:$K$1017,"*"&amp;$A36&amp;"*")</f>
        <v>0</v>
      </c>
      <c r="J36" s="4" t="n">
        <f aca="false">COUNTIFS('Config Baseline'!$C$2:$C$1017,"*("&amp;J$31&amp;")",'Config Baseline'!$K$2:$K$1017,"*"&amp;$A36&amp;"*")</f>
        <v>0</v>
      </c>
      <c r="K36" s="4" t="n">
        <f aca="false">COUNTIFS('Config Baseline'!$C$2:$C$1017,"*("&amp;K$31&amp;")",'Config Baseline'!$K$2:$K$1017,"*"&amp;$A36&amp;"*")</f>
        <v>0</v>
      </c>
      <c r="L36" s="4" t="n">
        <f aca="false">COUNTIFS('Config Baseline'!$C$2:$C$1017,"*("&amp;L$31&amp;")",'Config Baseline'!$K$2:$K$1017,"*"&amp;$A36&amp;"*")</f>
        <v>0</v>
      </c>
      <c r="M36" s="4" t="n">
        <f aca="false">COUNTIFS('Config Baseline'!$C$2:$C$1017,"*("&amp;M$31&amp;")",'Config Baseline'!$K$2:$K$1017,"*"&amp;$A36&amp;"*")</f>
        <v>0</v>
      </c>
      <c r="N36" s="4" t="n">
        <f aca="false">COUNTIFS('Config Baseline'!$C$2:$C$1017,"*("&amp;N$31&amp;")",'Config Baseline'!$K$2:$K$1017,"*"&amp;$A36&amp;"*")</f>
        <v>0</v>
      </c>
      <c r="O36" s="4" t="n">
        <f aca="false">COUNTIFS('Config Baseline'!$C$2:$C$1017,"*("&amp;O$31&amp;")",'Config Baseline'!$K$2:$K$1017,"*"&amp;$A36&amp;"*")</f>
        <v>0</v>
      </c>
      <c r="P36" s="4" t="n">
        <f aca="false">COUNTIFS('Config Baseline'!$C$2:$C$1017,"*("&amp;P$31&amp;")",'Config Baseline'!$K$2:$K$1017,"*"&amp;$A36&amp;"*")</f>
        <v>0</v>
      </c>
      <c r="Q36" s="4" t="n">
        <f aca="false">COUNTIFS('Config Baseline'!$C$2:$C$1017,"*("&amp;Q$31&amp;")",'Config Baseline'!$K$2:$K$1017,"*"&amp;$A36&amp;"*")</f>
        <v>9</v>
      </c>
      <c r="R36" s="4" t="n">
        <f aca="false">COUNTIFS('Config Baseline'!$C$2:$C$1017,"*("&amp;R$31&amp;")",'Config Baseline'!$K$2:$K$1017,"*"&amp;$A36&amp;"*")</f>
        <v>0</v>
      </c>
      <c r="S36" s="4" t="n">
        <f aca="false">COUNTIFS('Config Baseline'!$C$2:$C$1017,"*("&amp;S$31&amp;")",'Config Baseline'!$K$2:$K$1017,"*"&amp;$A36&amp;"*")</f>
        <v>4</v>
      </c>
      <c r="T36" s="4" t="n">
        <f aca="false">COUNTIFS('Config Baseline'!$C$2:$C$1017,"*("&amp;T$31&amp;")",'Config Baseline'!$K$2:$K$1017,"*"&amp;$A36&amp;"*")</f>
        <v>22</v>
      </c>
      <c r="U36" s="4" t="n">
        <f aca="false">COUNTIFS('Config Baseline'!$C$2:$C$1017,"*("&amp;U$31&amp;")",'Config Baseline'!$K$2:$K$1017,"*"&amp;$A36&amp;"*")</f>
        <v>0</v>
      </c>
      <c r="V36" s="4" t="n">
        <f aca="false">SUM(B36:U36)</f>
        <v>115</v>
      </c>
    </row>
    <row r="37" customFormat="false" ht="17.25" hidden="false" customHeight="true" outlineLevel="0" collapsed="false">
      <c r="A37" s="4" t="s">
        <v>603</v>
      </c>
      <c r="B37" s="4" t="n">
        <f aca="false">COUNTIFS('Config Baseline'!$C$2:$C$1017,"*("&amp;B$31&amp;")",'Config Baseline'!$K$2:$K$1017,"*"&amp;$A37&amp;"*")</f>
        <v>63</v>
      </c>
      <c r="C37" s="4" t="n">
        <f aca="false">COUNTIFS('Config Baseline'!$C$2:$C$1017,"*("&amp;C$31&amp;")",'Config Baseline'!$K$2:$K$1017,"*"&amp;$A37&amp;"*")</f>
        <v>0</v>
      </c>
      <c r="D37" s="4" t="n">
        <f aca="false">COUNTIFS('Config Baseline'!$C$2:$C$1017,"*("&amp;D$31&amp;")",'Config Baseline'!$K$2:$K$1017,"*"&amp;$A37&amp;"*")</f>
        <v>17</v>
      </c>
      <c r="E37" s="4" t="n">
        <f aca="false">COUNTIFS('Config Baseline'!$C$2:$C$1017,"*("&amp;E$31&amp;")",'Config Baseline'!$K$2:$K$1017,"*"&amp;$A37&amp;"*")</f>
        <v>6</v>
      </c>
      <c r="F37" s="4" t="n">
        <f aca="false">COUNTIFS('Config Baseline'!$C$2:$C$1017,"*("&amp;F$31&amp;")",'Config Baseline'!$K$2:$K$1017,"*"&amp;$A37&amp;"*")</f>
        <v>54</v>
      </c>
      <c r="G37" s="4" t="n">
        <f aca="false">COUNTIFS('Config Baseline'!$C$2:$C$1017,"*("&amp;G$31&amp;")",'Config Baseline'!$K$2:$K$1017,"*"&amp;$A37&amp;"*")</f>
        <v>20</v>
      </c>
      <c r="H37" s="4" t="n">
        <f aca="false">COUNTIFS('Config Baseline'!$C$2:$C$1017,"*("&amp;H$31&amp;")",'Config Baseline'!$K$2:$K$1017,"*"&amp;$A37&amp;"*")</f>
        <v>40</v>
      </c>
      <c r="I37" s="4" t="n">
        <f aca="false">COUNTIFS('Config Baseline'!$C$2:$C$1017,"*("&amp;I$31&amp;")",'Config Baseline'!$K$2:$K$1017,"*"&amp;$A37&amp;"*")</f>
        <v>0</v>
      </c>
      <c r="J37" s="4" t="n">
        <f aca="false">COUNTIFS('Config Baseline'!$C$2:$C$1017,"*("&amp;J$31&amp;")",'Config Baseline'!$K$2:$K$1017,"*"&amp;$A37&amp;"*")</f>
        <v>0</v>
      </c>
      <c r="K37" s="4" t="n">
        <f aca="false">COUNTIFS('Config Baseline'!$C$2:$C$1017,"*("&amp;K$31&amp;")",'Config Baseline'!$K$2:$K$1017,"*"&amp;$A37&amp;"*")</f>
        <v>0</v>
      </c>
      <c r="L37" s="4" t="n">
        <f aca="false">COUNTIFS('Config Baseline'!$C$2:$C$1017,"*("&amp;L$31&amp;")",'Config Baseline'!$K$2:$K$1017,"*"&amp;$A37&amp;"*")</f>
        <v>1</v>
      </c>
      <c r="M37" s="4" t="n">
        <f aca="false">COUNTIFS('Config Baseline'!$C$2:$C$1017,"*("&amp;M$31&amp;")",'Config Baseline'!$K$2:$K$1017,"*"&amp;$A37&amp;"*")</f>
        <v>4</v>
      </c>
      <c r="N37" s="4" t="n">
        <f aca="false">COUNTIFS('Config Baseline'!$C$2:$C$1017,"*("&amp;N$31&amp;")",'Config Baseline'!$K$2:$K$1017,"*"&amp;$A37&amp;"*")</f>
        <v>0</v>
      </c>
      <c r="O37" s="4" t="n">
        <f aca="false">COUNTIFS('Config Baseline'!$C$2:$C$1017,"*("&amp;O$31&amp;")",'Config Baseline'!$K$2:$K$1017,"*"&amp;$A37&amp;"*")</f>
        <v>0</v>
      </c>
      <c r="P37" s="4" t="n">
        <f aca="false">COUNTIFS('Config Baseline'!$C$2:$C$1017,"*("&amp;P$31&amp;")",'Config Baseline'!$K$2:$K$1017,"*"&amp;$A37&amp;"*")</f>
        <v>0</v>
      </c>
      <c r="Q37" s="4" t="n">
        <f aca="false">COUNTIFS('Config Baseline'!$C$2:$C$1017,"*("&amp;Q$31&amp;")",'Config Baseline'!$K$2:$K$1017,"*"&amp;$A37&amp;"*")</f>
        <v>10</v>
      </c>
      <c r="R37" s="4" t="n">
        <f aca="false">COUNTIFS('Config Baseline'!$C$2:$C$1017,"*("&amp;R$31&amp;")",'Config Baseline'!$K$2:$K$1017,"*"&amp;$A37&amp;"*")</f>
        <v>99</v>
      </c>
      <c r="S37" s="4" t="n">
        <f aca="false">COUNTIFS('Config Baseline'!$C$2:$C$1017,"*("&amp;S$31&amp;")",'Config Baseline'!$K$2:$K$1017,"*"&amp;$A37&amp;"*")</f>
        <v>82</v>
      </c>
      <c r="T37" s="4" t="n">
        <f aca="false">COUNTIFS('Config Baseline'!$C$2:$C$1017,"*("&amp;T$31&amp;")",'Config Baseline'!$K$2:$K$1017,"*"&amp;$A37&amp;"*")</f>
        <v>88</v>
      </c>
      <c r="U37" s="4" t="n">
        <f aca="false">COUNTIFS('Config Baseline'!$C$2:$C$1017,"*("&amp;U$31&amp;")",'Config Baseline'!$K$2:$K$1017,"*"&amp;$A37&amp;"*")</f>
        <v>0</v>
      </c>
      <c r="V37" s="4" t="n">
        <f aca="false">SUM(B37:U37)</f>
        <v>484</v>
      </c>
    </row>
    <row r="38" customFormat="false" ht="17.25" hidden="false" customHeight="true" outlineLevel="0" collapsed="false">
      <c r="A38" s="4" t="s">
        <v>1716</v>
      </c>
      <c r="B38" s="4" t="n">
        <f aca="false">COUNTIFS('Config Baseline'!$C$2:$C$1017,"*("&amp;B$31&amp;")",'Config Baseline'!$K$2:$K$1017,"*"&amp;$A38&amp;"*")</f>
        <v>0</v>
      </c>
      <c r="C38" s="4" t="n">
        <f aca="false">COUNTIFS('Config Baseline'!$C$2:$C$1017,"*("&amp;C$31&amp;")",'Config Baseline'!$K$2:$K$1017,"*"&amp;$A38&amp;"*")</f>
        <v>0</v>
      </c>
      <c r="D38" s="4" t="n">
        <f aca="false">COUNTIFS('Config Baseline'!$C$2:$C$1017,"*("&amp;D$31&amp;")",'Config Baseline'!$K$2:$K$1017,"*"&amp;$A38&amp;"*")</f>
        <v>0</v>
      </c>
      <c r="E38" s="4" t="n">
        <f aca="false">COUNTIFS('Config Baseline'!$C$2:$C$1017,"*("&amp;E$31&amp;")",'Config Baseline'!$K$2:$K$1017,"*"&amp;$A38&amp;"*")</f>
        <v>0</v>
      </c>
      <c r="F38" s="4" t="n">
        <f aca="false">COUNTIFS('Config Baseline'!$C$2:$C$1017,"*("&amp;F$31&amp;")",'Config Baseline'!$K$2:$K$1017,"*"&amp;$A38&amp;"*")</f>
        <v>0</v>
      </c>
      <c r="G38" s="4" t="n">
        <f aca="false">COUNTIFS('Config Baseline'!$C$2:$C$1017,"*("&amp;G$31&amp;")",'Config Baseline'!$K$2:$K$1017,"*"&amp;$A38&amp;"*")</f>
        <v>33</v>
      </c>
      <c r="H38" s="4" t="n">
        <f aca="false">COUNTIFS('Config Baseline'!$C$2:$C$1017,"*("&amp;H$31&amp;")",'Config Baseline'!$K$2:$K$1017,"*"&amp;$A38&amp;"*")</f>
        <v>0</v>
      </c>
      <c r="I38" s="4" t="n">
        <f aca="false">COUNTIFS('Config Baseline'!$C$2:$C$1017,"*("&amp;I$31&amp;")",'Config Baseline'!$K$2:$K$1017,"*"&amp;$A38&amp;"*")</f>
        <v>0</v>
      </c>
      <c r="J38" s="4" t="n">
        <f aca="false">COUNTIFS('Config Baseline'!$C$2:$C$1017,"*("&amp;J$31&amp;")",'Config Baseline'!$K$2:$K$1017,"*"&amp;$A38&amp;"*")</f>
        <v>0</v>
      </c>
      <c r="K38" s="4" t="n">
        <f aca="false">COUNTIFS('Config Baseline'!$C$2:$C$1017,"*("&amp;K$31&amp;")",'Config Baseline'!$K$2:$K$1017,"*"&amp;$A38&amp;"*")</f>
        <v>0</v>
      </c>
      <c r="L38" s="4" t="n">
        <f aca="false">COUNTIFS('Config Baseline'!$C$2:$C$1017,"*("&amp;L$31&amp;")",'Config Baseline'!$K$2:$K$1017,"*"&amp;$A38&amp;"*")</f>
        <v>0</v>
      </c>
      <c r="M38" s="4" t="n">
        <f aca="false">COUNTIFS('Config Baseline'!$C$2:$C$1017,"*("&amp;M$31&amp;")",'Config Baseline'!$K$2:$K$1017,"*"&amp;$A38&amp;"*")</f>
        <v>0</v>
      </c>
      <c r="N38" s="4" t="n">
        <f aca="false">COUNTIFS('Config Baseline'!$C$2:$C$1017,"*("&amp;N$31&amp;")",'Config Baseline'!$K$2:$K$1017,"*"&amp;$A38&amp;"*")</f>
        <v>0</v>
      </c>
      <c r="O38" s="4" t="n">
        <f aca="false">COUNTIFS('Config Baseline'!$C$2:$C$1017,"*("&amp;O$31&amp;")",'Config Baseline'!$K$2:$K$1017,"*"&amp;$A38&amp;"*")</f>
        <v>0</v>
      </c>
      <c r="P38" s="4" t="n">
        <f aca="false">COUNTIFS('Config Baseline'!$C$2:$C$1017,"*("&amp;P$31&amp;")",'Config Baseline'!$K$2:$K$1017,"*"&amp;$A38&amp;"*")</f>
        <v>0</v>
      </c>
      <c r="Q38" s="4" t="n">
        <f aca="false">COUNTIFS('Config Baseline'!$C$2:$C$1017,"*("&amp;Q$31&amp;")",'Config Baseline'!$K$2:$K$1017,"*"&amp;$A38&amp;"*")</f>
        <v>0</v>
      </c>
      <c r="R38" s="4" t="n">
        <f aca="false">COUNTIFS('Config Baseline'!$C$2:$C$1017,"*("&amp;R$31&amp;")",'Config Baseline'!$K$2:$K$1017,"*"&amp;$A38&amp;"*")</f>
        <v>0</v>
      </c>
      <c r="S38" s="4" t="n">
        <f aca="false">COUNTIFS('Config Baseline'!$C$2:$C$1017,"*("&amp;S$31&amp;")",'Config Baseline'!$K$2:$K$1017,"*"&amp;$A38&amp;"*")</f>
        <v>0</v>
      </c>
      <c r="T38" s="4" t="n">
        <f aca="false">COUNTIFS('Config Baseline'!$C$2:$C$1017,"*("&amp;T$31&amp;")",'Config Baseline'!$K$2:$K$1017,"*"&amp;$A38&amp;"*")</f>
        <v>0</v>
      </c>
      <c r="U38" s="4" t="n">
        <f aca="false">COUNTIFS('Config Baseline'!$C$2:$C$1017,"*("&amp;U$31&amp;")",'Config Baseline'!$K$2:$K$1017,"*"&amp;$A38&amp;"*")</f>
        <v>0</v>
      </c>
      <c r="V38" s="4" t="n">
        <f aca="false">SUM(B38:U38)</f>
        <v>33</v>
      </c>
    </row>
    <row r="39" customFormat="false" ht="17.25" hidden="false" customHeight="true" outlineLevel="0" collapsed="false">
      <c r="A39" s="4" t="s">
        <v>169</v>
      </c>
      <c r="B39" s="4" t="n">
        <f aca="false">COUNTIFS('Config Baseline'!$C$2:$C$1017,"*("&amp;B$31&amp;")",'Config Baseline'!$K$2:$K$1017,"*"&amp;$A39&amp;"*")</f>
        <v>1</v>
      </c>
      <c r="C39" s="4" t="n">
        <f aca="false">COUNTIFS('Config Baseline'!$C$2:$C$1017,"*("&amp;C$31&amp;")",'Config Baseline'!$K$2:$K$1017,"*"&amp;$A39&amp;"*")</f>
        <v>16</v>
      </c>
      <c r="D39" s="4" t="n">
        <f aca="false">COUNTIFS('Config Baseline'!$C$2:$C$1017,"*("&amp;D$31&amp;")",'Config Baseline'!$K$2:$K$1017,"*"&amp;$A39&amp;"*")</f>
        <v>10</v>
      </c>
      <c r="E39" s="4" t="n">
        <f aca="false">COUNTIFS('Config Baseline'!$C$2:$C$1017,"*("&amp;E$31&amp;")",'Config Baseline'!$K$2:$K$1017,"*"&amp;$A39&amp;"*")</f>
        <v>14</v>
      </c>
      <c r="F39" s="4" t="n">
        <f aca="false">COUNTIFS('Config Baseline'!$C$2:$C$1017,"*("&amp;F$31&amp;")",'Config Baseline'!$K$2:$K$1017,"*"&amp;$A39&amp;"*")</f>
        <v>1</v>
      </c>
      <c r="G39" s="4" t="n">
        <f aca="false">COUNTIFS('Config Baseline'!$C$2:$C$1017,"*("&amp;G$31&amp;")",'Config Baseline'!$K$2:$K$1017,"*"&amp;$A39&amp;"*")</f>
        <v>1</v>
      </c>
      <c r="H39" s="4" t="n">
        <f aca="false">COUNTIFS('Config Baseline'!$C$2:$C$1017,"*("&amp;H$31&amp;")",'Config Baseline'!$K$2:$K$1017,"*"&amp;$A39&amp;"*")</f>
        <v>1</v>
      </c>
      <c r="I39" s="4" t="n">
        <f aca="false">COUNTIFS('Config Baseline'!$C$2:$C$1017,"*("&amp;I$31&amp;")",'Config Baseline'!$K$2:$K$1017,"*"&amp;$A39&amp;"*")</f>
        <v>37</v>
      </c>
      <c r="J39" s="4" t="n">
        <f aca="false">COUNTIFS('Config Baseline'!$C$2:$C$1017,"*("&amp;J$31&amp;")",'Config Baseline'!$K$2:$K$1017,"*"&amp;$A39&amp;"*")</f>
        <v>1</v>
      </c>
      <c r="K39" s="4" t="n">
        <f aca="false">COUNTIFS('Config Baseline'!$C$2:$C$1017,"*("&amp;K$31&amp;")",'Config Baseline'!$K$2:$K$1017,"*"&amp;$A39&amp;"*")</f>
        <v>0</v>
      </c>
      <c r="L39" s="4" t="n">
        <f aca="false">COUNTIFS('Config Baseline'!$C$2:$C$1017,"*("&amp;L$31&amp;")",'Config Baseline'!$K$2:$K$1017,"*"&amp;$A39&amp;"*")</f>
        <v>1</v>
      </c>
      <c r="M39" s="4" t="n">
        <f aca="false">COUNTIFS('Config Baseline'!$C$2:$C$1017,"*("&amp;M$31&amp;")",'Config Baseline'!$K$2:$K$1017,"*"&amp;$A39&amp;"*")</f>
        <v>7</v>
      </c>
      <c r="N39" s="4" t="n">
        <f aca="false">COUNTIFS('Config Baseline'!$C$2:$C$1017,"*("&amp;N$31&amp;")",'Config Baseline'!$K$2:$K$1017,"*"&amp;$A39&amp;"*")</f>
        <v>37</v>
      </c>
      <c r="O39" s="4" t="n">
        <f aca="false">COUNTIFS('Config Baseline'!$C$2:$C$1017,"*("&amp;O$31&amp;")",'Config Baseline'!$K$2:$K$1017,"*"&amp;$A39&amp;"*")</f>
        <v>13</v>
      </c>
      <c r="P39" s="4" t="n">
        <f aca="false">COUNTIFS('Config Baseline'!$C$2:$C$1017,"*("&amp;P$31&amp;")",'Config Baseline'!$K$2:$K$1017,"*"&amp;$A39&amp;"*")</f>
        <v>21</v>
      </c>
      <c r="Q39" s="4" t="n">
        <f aca="false">COUNTIFS('Config Baseline'!$C$2:$C$1017,"*("&amp;Q$31&amp;")",'Config Baseline'!$K$2:$K$1017,"*"&amp;$A39&amp;"*")</f>
        <v>12</v>
      </c>
      <c r="R39" s="4" t="n">
        <f aca="false">COUNTIFS('Config Baseline'!$C$2:$C$1017,"*("&amp;R$31&amp;")",'Config Baseline'!$K$2:$K$1017,"*"&amp;$A39&amp;"*")</f>
        <v>1</v>
      </c>
      <c r="S39" s="4" t="n">
        <f aca="false">COUNTIFS('Config Baseline'!$C$2:$C$1017,"*("&amp;S$31&amp;")",'Config Baseline'!$K$2:$K$1017,"*"&amp;$A39&amp;"*")</f>
        <v>1</v>
      </c>
      <c r="T39" s="4" t="n">
        <f aca="false">COUNTIFS('Config Baseline'!$C$2:$C$1017,"*("&amp;T$31&amp;")",'Config Baseline'!$K$2:$K$1017,"*"&amp;$A39&amp;"*")</f>
        <v>3</v>
      </c>
      <c r="U39" s="4" t="n">
        <f aca="false">COUNTIFS('Config Baseline'!$C$2:$C$1017,"*("&amp;U$31&amp;")",'Config Baseline'!$K$2:$K$1017,"*"&amp;$A39&amp;"*")</f>
        <v>1</v>
      </c>
      <c r="V39" s="4" t="n">
        <f aca="false">SUM(B39:U39)</f>
        <v>179</v>
      </c>
    </row>
    <row r="40" customFormat="false" ht="17.25" hidden="false" customHeight="true" outlineLevel="0" collapsed="false">
      <c r="A40" s="4" t="s">
        <v>2451</v>
      </c>
      <c r="B40" s="4" t="n">
        <f aca="false">COUNTIFS('Config Baseline'!$C$2:$C$1017,"*("&amp;B$31&amp;")",'Config Baseline'!$K$2:$K$1017,"*"&amp;$A40&amp;"*")</f>
        <v>0</v>
      </c>
      <c r="C40" s="4" t="n">
        <f aca="false">COUNTIFS('Config Baseline'!$C$2:$C$1017,"*("&amp;C$31&amp;")",'Config Baseline'!$K$2:$K$1017,"*"&amp;$A40&amp;"*")</f>
        <v>0</v>
      </c>
      <c r="D40" s="4" t="n">
        <f aca="false">COUNTIFS('Config Baseline'!$C$2:$C$1017,"*("&amp;D$31&amp;")",'Config Baseline'!$K$2:$K$1017,"*"&amp;$A40&amp;"*")</f>
        <v>0</v>
      </c>
      <c r="E40" s="4" t="n">
        <f aca="false">COUNTIFS('Config Baseline'!$C$2:$C$1017,"*("&amp;E$31&amp;")",'Config Baseline'!$K$2:$K$1017,"*"&amp;$A40&amp;"*")</f>
        <v>0</v>
      </c>
      <c r="F40" s="4" t="n">
        <f aca="false">COUNTIFS('Config Baseline'!$C$2:$C$1017,"*("&amp;F$31&amp;")",'Config Baseline'!$K$2:$K$1017,"*"&amp;$A40&amp;"*")</f>
        <v>0</v>
      </c>
      <c r="G40" s="4" t="n">
        <f aca="false">COUNTIFS('Config Baseline'!$C$2:$C$1017,"*("&amp;G$31&amp;")",'Config Baseline'!$K$2:$K$1017,"*"&amp;$A40&amp;"*")</f>
        <v>0</v>
      </c>
      <c r="H40" s="4" t="n">
        <f aca="false">COUNTIFS('Config Baseline'!$C$2:$C$1017,"*("&amp;H$31&amp;")",'Config Baseline'!$K$2:$K$1017,"*"&amp;$A40&amp;"*")</f>
        <v>0</v>
      </c>
      <c r="I40" s="4" t="n">
        <f aca="false">COUNTIFS('Config Baseline'!$C$2:$C$1017,"*("&amp;I$31&amp;")",'Config Baseline'!$K$2:$K$1017,"*"&amp;$A40&amp;"*")</f>
        <v>0</v>
      </c>
      <c r="J40" s="4" t="n">
        <f aca="false">COUNTIFS('Config Baseline'!$C$2:$C$1017,"*("&amp;J$31&amp;")",'Config Baseline'!$K$2:$K$1017,"*"&amp;$A40&amp;"*")</f>
        <v>27</v>
      </c>
      <c r="K40" s="4" t="n">
        <f aca="false">COUNTIFS('Config Baseline'!$C$2:$C$1017,"*("&amp;K$31&amp;")",'Config Baseline'!$K$2:$K$1017,"*"&amp;$A40&amp;"*")</f>
        <v>20</v>
      </c>
      <c r="L40" s="4" t="n">
        <f aca="false">COUNTIFS('Config Baseline'!$C$2:$C$1017,"*("&amp;L$31&amp;")",'Config Baseline'!$K$2:$K$1017,"*"&amp;$A40&amp;"*")</f>
        <v>49</v>
      </c>
      <c r="M40" s="4" t="n">
        <f aca="false">COUNTIFS('Config Baseline'!$C$2:$C$1017,"*("&amp;M$31&amp;")",'Config Baseline'!$K$2:$K$1017,"*"&amp;$A40&amp;"*")</f>
        <v>0</v>
      </c>
      <c r="N40" s="4" t="n">
        <f aca="false">COUNTIFS('Config Baseline'!$C$2:$C$1017,"*("&amp;N$31&amp;")",'Config Baseline'!$K$2:$K$1017,"*"&amp;$A40&amp;"*")</f>
        <v>0</v>
      </c>
      <c r="O40" s="4" t="n">
        <f aca="false">COUNTIFS('Config Baseline'!$C$2:$C$1017,"*("&amp;O$31&amp;")",'Config Baseline'!$K$2:$K$1017,"*"&amp;$A40&amp;"*")</f>
        <v>0</v>
      </c>
      <c r="P40" s="4" t="n">
        <f aca="false">COUNTIFS('Config Baseline'!$C$2:$C$1017,"*("&amp;P$31&amp;")",'Config Baseline'!$K$2:$K$1017,"*"&amp;$A40&amp;"*")</f>
        <v>0</v>
      </c>
      <c r="Q40" s="4" t="n">
        <f aca="false">COUNTIFS('Config Baseline'!$C$2:$C$1017,"*("&amp;Q$31&amp;")",'Config Baseline'!$K$2:$K$1017,"*"&amp;$A40&amp;"*")</f>
        <v>0</v>
      </c>
      <c r="R40" s="4" t="n">
        <f aca="false">COUNTIFS('Config Baseline'!$C$2:$C$1017,"*("&amp;R$31&amp;")",'Config Baseline'!$K$2:$K$1017,"*"&amp;$A40&amp;"*")</f>
        <v>0</v>
      </c>
      <c r="S40" s="4" t="n">
        <f aca="false">COUNTIFS('Config Baseline'!$C$2:$C$1017,"*("&amp;S$31&amp;")",'Config Baseline'!$K$2:$K$1017,"*"&amp;$A40&amp;"*")</f>
        <v>0</v>
      </c>
      <c r="T40" s="4" t="n">
        <f aca="false">COUNTIFS('Config Baseline'!$C$2:$C$1017,"*("&amp;T$31&amp;")",'Config Baseline'!$K$2:$K$1017,"*"&amp;$A40&amp;"*")</f>
        <v>0</v>
      </c>
      <c r="U40" s="4" t="n">
        <f aca="false">COUNTIFS('Config Baseline'!$C$2:$C$1017,"*("&amp;U$31&amp;")",'Config Baseline'!$K$2:$K$1017,"*"&amp;$A40&amp;"*")</f>
        <v>7</v>
      </c>
      <c r="V40" s="4" t="n">
        <f aca="false">SUM(B40:U40)</f>
        <v>103</v>
      </c>
    </row>
    <row r="41" customFormat="false" ht="17.25" hidden="false" customHeight="true" outlineLevel="0" collapsed="false">
      <c r="A41" s="4" t="s">
        <v>5345</v>
      </c>
      <c r="B41" s="4" t="n">
        <f aca="false">COUNTIFS('Config Baseline'!$C$2:$C$1017,"*("&amp;B$31&amp;")",'Config Baseline'!$K$2:$K$1017,"*"&amp;$A41&amp;"*")</f>
        <v>0</v>
      </c>
      <c r="C41" s="4" t="n">
        <f aca="false">COUNTIFS('Config Baseline'!$C$2:$C$1017,"*("&amp;C$31&amp;")",'Config Baseline'!$K$2:$K$1017,"*"&amp;$A41&amp;"*")</f>
        <v>0</v>
      </c>
      <c r="D41" s="4" t="n">
        <f aca="false">COUNTIFS('Config Baseline'!$C$2:$C$1017,"*("&amp;D$31&amp;")",'Config Baseline'!$K$2:$K$1017,"*"&amp;$A41&amp;"*")</f>
        <v>0</v>
      </c>
      <c r="E41" s="4" t="n">
        <f aca="false">COUNTIFS('Config Baseline'!$C$2:$C$1017,"*("&amp;E$31&amp;")",'Config Baseline'!$K$2:$K$1017,"*"&amp;$A41&amp;"*")</f>
        <v>0</v>
      </c>
      <c r="F41" s="4" t="n">
        <f aca="false">COUNTIFS('Config Baseline'!$C$2:$C$1017,"*("&amp;F$31&amp;")",'Config Baseline'!$K$2:$K$1017,"*"&amp;$A41&amp;"*")</f>
        <v>0</v>
      </c>
      <c r="G41" s="4" t="n">
        <f aca="false">COUNTIFS('Config Baseline'!$C$2:$C$1017,"*("&amp;G$31&amp;")",'Config Baseline'!$K$2:$K$1017,"*"&amp;$A41&amp;"*")</f>
        <v>0</v>
      </c>
      <c r="H41" s="4" t="n">
        <f aca="false">COUNTIFS('Config Baseline'!$C$2:$C$1017,"*("&amp;H$31&amp;")",'Config Baseline'!$K$2:$K$1017,"*"&amp;$A41&amp;"*")</f>
        <v>0</v>
      </c>
      <c r="I41" s="4" t="n">
        <f aca="false">COUNTIFS('Config Baseline'!$C$2:$C$1017,"*("&amp;I$31&amp;")",'Config Baseline'!$K$2:$K$1017,"*"&amp;$A41&amp;"*")</f>
        <v>0</v>
      </c>
      <c r="J41" s="4" t="n">
        <f aca="false">COUNTIFS('Config Baseline'!$C$2:$C$1017,"*("&amp;J$31&amp;")",'Config Baseline'!$K$2:$K$1017,"*"&amp;$A41&amp;"*")</f>
        <v>0</v>
      </c>
      <c r="K41" s="4" t="n">
        <f aca="false">COUNTIFS('Config Baseline'!$C$2:$C$1017,"*("&amp;K$31&amp;")",'Config Baseline'!$K$2:$K$1017,"*"&amp;$A41&amp;"*")</f>
        <v>0</v>
      </c>
      <c r="L41" s="4" t="n">
        <f aca="false">COUNTIFS('Config Baseline'!$C$2:$C$1017,"*("&amp;L$31&amp;")",'Config Baseline'!$K$2:$K$1017,"*"&amp;$A41&amp;"*")</f>
        <v>0</v>
      </c>
      <c r="M41" s="4" t="n">
        <f aca="false">COUNTIFS('Config Baseline'!$C$2:$C$1017,"*("&amp;M$31&amp;")",'Config Baseline'!$K$2:$K$1017,"*"&amp;$A41&amp;"*")</f>
        <v>0</v>
      </c>
      <c r="N41" s="4" t="n">
        <f aca="false">COUNTIFS('Config Baseline'!$C$2:$C$1017,"*("&amp;N$31&amp;")",'Config Baseline'!$K$2:$K$1017,"*"&amp;$A41&amp;"*")</f>
        <v>0</v>
      </c>
      <c r="O41" s="4" t="n">
        <f aca="false">COUNTIFS('Config Baseline'!$C$2:$C$1017,"*("&amp;O$31&amp;")",'Config Baseline'!$K$2:$K$1017,"*"&amp;$A41&amp;"*")</f>
        <v>0</v>
      </c>
      <c r="P41" s="4" t="n">
        <f aca="false">COUNTIFS('Config Baseline'!$C$2:$C$1017,"*("&amp;P$31&amp;")",'Config Baseline'!$K$2:$K$1017,"*"&amp;$A41&amp;"*")</f>
        <v>0</v>
      </c>
      <c r="Q41" s="4" t="n">
        <f aca="false">COUNTIFS('Config Baseline'!$C$2:$C$1017,"*("&amp;Q$31&amp;")",'Config Baseline'!$K$2:$K$1017,"*"&amp;$A41&amp;"*")</f>
        <v>0</v>
      </c>
      <c r="R41" s="4" t="n">
        <f aca="false">COUNTIFS('Config Baseline'!$C$2:$C$1017,"*("&amp;R$31&amp;")",'Config Baseline'!$K$2:$K$1017,"*"&amp;$A41&amp;"*")</f>
        <v>9</v>
      </c>
      <c r="S41" s="4" t="n">
        <f aca="false">COUNTIFS('Config Baseline'!$C$2:$C$1017,"*("&amp;S$31&amp;")",'Config Baseline'!$K$2:$K$1017,"*"&amp;$A41&amp;"*")</f>
        <v>0</v>
      </c>
      <c r="T41" s="4" t="n">
        <f aca="false">COUNTIFS('Config Baseline'!$C$2:$C$1017,"*("&amp;T$31&amp;")",'Config Baseline'!$K$2:$K$1017,"*"&amp;$A41&amp;"*")</f>
        <v>0</v>
      </c>
      <c r="U41" s="4" t="n">
        <f aca="false">COUNTIFS('Config Baseline'!$C$2:$C$1017,"*("&amp;U$31&amp;")",'Config Baseline'!$K$2:$K$1017,"*"&amp;$A41&amp;"*")</f>
        <v>23</v>
      </c>
      <c r="V41" s="4" t="n">
        <f aca="false">SUM(B41:U41)</f>
        <v>32</v>
      </c>
    </row>
    <row r="42" customFormat="false" ht="17.2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row>
    <row r="43" customFormat="false" ht="17.2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row>
    <row r="44" customFormat="false" ht="35.25" hidden="false" customHeight="true" outlineLevel="0" collapsed="false">
      <c r="A44" s="15" t="s">
        <v>5485</v>
      </c>
      <c r="B44" s="4"/>
      <c r="C44" s="4"/>
      <c r="D44" s="4"/>
      <c r="E44" s="4"/>
      <c r="F44" s="4"/>
      <c r="G44" s="4"/>
      <c r="H44" s="4"/>
      <c r="I44" s="4"/>
      <c r="J44" s="4"/>
      <c r="K44" s="4"/>
      <c r="L44" s="4"/>
      <c r="M44" s="4"/>
      <c r="N44" s="4"/>
      <c r="O44" s="4"/>
      <c r="P44" s="4"/>
      <c r="Q44" s="4"/>
      <c r="R44" s="4"/>
      <c r="S44" s="4"/>
      <c r="T44" s="4"/>
      <c r="U44" s="4"/>
      <c r="V44" s="4"/>
    </row>
    <row r="45" customFormat="false" ht="18" hidden="false" customHeight="true" outlineLevel="0" collapsed="false">
      <c r="A45" s="8" t="s">
        <v>158</v>
      </c>
      <c r="B45" s="8" t="s">
        <v>5465</v>
      </c>
      <c r="C45" s="8" t="s">
        <v>5466</v>
      </c>
      <c r="D45" s="8" t="s">
        <v>5467</v>
      </c>
      <c r="E45" s="8" t="s">
        <v>5468</v>
      </c>
      <c r="F45" s="8" t="s">
        <v>5469</v>
      </c>
      <c r="G45" s="8" t="s">
        <v>5470</v>
      </c>
      <c r="H45" s="8" t="s">
        <v>5471</v>
      </c>
      <c r="I45" s="8" t="s">
        <v>5472</v>
      </c>
      <c r="J45" s="8" t="s">
        <v>5473</v>
      </c>
      <c r="K45" s="8" t="s">
        <v>5474</v>
      </c>
      <c r="L45" s="8" t="s">
        <v>5475</v>
      </c>
      <c r="M45" s="8" t="s">
        <v>5476</v>
      </c>
      <c r="N45" s="8" t="s">
        <v>5477</v>
      </c>
      <c r="O45" s="8" t="s">
        <v>5478</v>
      </c>
      <c r="P45" s="8" t="s">
        <v>5479</v>
      </c>
      <c r="Q45" s="8" t="s">
        <v>5480</v>
      </c>
      <c r="R45" s="8" t="s">
        <v>5481</v>
      </c>
      <c r="S45" s="8" t="s">
        <v>5482</v>
      </c>
      <c r="T45" s="8" t="s">
        <v>5483</v>
      </c>
      <c r="U45" s="8" t="s">
        <v>5484</v>
      </c>
      <c r="V45" s="8" t="s">
        <v>5446</v>
      </c>
    </row>
    <row r="46" customFormat="false" ht="17.25" hidden="false" customHeight="true" outlineLevel="0" collapsed="false">
      <c r="A46" s="4" t="s">
        <v>724</v>
      </c>
      <c r="B46" s="4" t="n">
        <f aca="false">SUMPRODUCT(ISNUMBER(SEARCH("("&amp;B$45&amp;")",'Config Baseline'!$C$2:$C$1017))*ISNUMBER(SEARCH($A46,'Config Baseline'!$K$2:$K$1017))*ISERROR(SEARCH("(",'Config Baseline'!$B$2:$B$1017)))</f>
        <v>13</v>
      </c>
      <c r="C46" s="4" t="n">
        <f aca="false">SUMPRODUCT(ISNUMBER(SEARCH("("&amp;C$45&amp;")",'Config Baseline'!$C$2:$C$1017))*ISNUMBER(SEARCH($A46,'Config Baseline'!$K$2:$K$1017))*ISERROR(SEARCH("(",'Config Baseline'!$B$2:$B$1017)))</f>
        <v>0</v>
      </c>
      <c r="D46" s="4" t="n">
        <f aca="false">SUMPRODUCT(ISNUMBER(SEARCH("("&amp;D$45&amp;")",'Config Baseline'!$C$2:$C$1017))*ISNUMBER(SEARCH($A46,'Config Baseline'!$K$2:$K$1017))*ISERROR(SEARCH("(",'Config Baseline'!$B$2:$B$1017)))</f>
        <v>9</v>
      </c>
      <c r="E46" s="4" t="n">
        <f aca="false">SUMPRODUCT(ISNUMBER(SEARCH("("&amp;E$45&amp;")",'Config Baseline'!$C$2:$C$1017))*ISNUMBER(SEARCH($A46,'Config Baseline'!$K$2:$K$1017))*ISERROR(SEARCH("(",'Config Baseline'!$B$2:$B$1017)))</f>
        <v>5</v>
      </c>
      <c r="F46" s="4" t="n">
        <f aca="false">SUMPRODUCT(ISNUMBER(SEARCH("("&amp;F$45&amp;")",'Config Baseline'!$C$2:$C$1017))*ISNUMBER(SEARCH($A46,'Config Baseline'!$K$2:$K$1017))*ISERROR(SEARCH("(",'Config Baseline'!$B$2:$B$1017)))</f>
        <v>8</v>
      </c>
      <c r="G46" s="4" t="n">
        <f aca="false">SUMPRODUCT(ISNUMBER(SEARCH("("&amp;G$45&amp;")",'Config Baseline'!$C$2:$C$1017))*ISNUMBER(SEARCH($A46,'Config Baseline'!$K$2:$K$1017))*ISERROR(SEARCH("(",'Config Baseline'!$B$2:$B$1017)))</f>
        <v>2</v>
      </c>
      <c r="H46" s="4" t="n">
        <f aca="false">SUMPRODUCT(ISNUMBER(SEARCH("("&amp;H$45&amp;")",'Config Baseline'!$C$2:$C$1017))*ISNUMBER(SEARCH($A46,'Config Baseline'!$K$2:$K$1017))*ISERROR(SEARCH("(",'Config Baseline'!$B$2:$B$1017)))</f>
        <v>5</v>
      </c>
      <c r="I46" s="4" t="n">
        <f aca="false">SUMPRODUCT(ISNUMBER(SEARCH("("&amp;I$45&amp;")",'Config Baseline'!$C$2:$C$1017))*ISNUMBER(SEARCH($A46,'Config Baseline'!$K$2:$K$1017))*ISERROR(SEARCH("(",'Config Baseline'!$B$2:$B$1017)))</f>
        <v>1</v>
      </c>
      <c r="J46" s="4" t="n">
        <f aca="false">SUMPRODUCT(ISNUMBER(SEARCH("("&amp;J$45&amp;")",'Config Baseline'!$C$2:$C$1017))*ISNUMBER(SEARCH($A46,'Config Baseline'!$K$2:$K$1017))*ISERROR(SEARCH("(",'Config Baseline'!$B$2:$B$1017)))</f>
        <v>1</v>
      </c>
      <c r="K46" s="4" t="n">
        <f aca="false">SUMPRODUCT(ISNUMBER(SEARCH("("&amp;K$45&amp;")",'Config Baseline'!$C$2:$C$1017))*ISNUMBER(SEARCH($A46,'Config Baseline'!$K$2:$K$1017))*ISERROR(SEARCH("(",'Config Baseline'!$B$2:$B$1017)))</f>
        <v>0</v>
      </c>
      <c r="L46" s="4" t="n">
        <f aca="false">SUMPRODUCT(ISNUMBER(SEARCH("("&amp;L$45&amp;")",'Config Baseline'!$C$2:$C$1017))*ISNUMBER(SEARCH($A46,'Config Baseline'!$K$2:$K$1017))*ISERROR(SEARCH("(",'Config Baseline'!$B$2:$B$1017)))</f>
        <v>0</v>
      </c>
      <c r="M46" s="4" t="n">
        <f aca="false">SUMPRODUCT(ISNUMBER(SEARCH("("&amp;M$45&amp;")",'Config Baseline'!$C$2:$C$1017))*ISNUMBER(SEARCH($A46,'Config Baseline'!$K$2:$K$1017))*ISERROR(SEARCH("(",'Config Baseline'!$B$2:$B$1017)))</f>
        <v>1</v>
      </c>
      <c r="N46" s="4" t="n">
        <f aca="false">SUMPRODUCT(ISNUMBER(SEARCH("("&amp;N$45&amp;")",'Config Baseline'!$C$2:$C$1017))*ISNUMBER(SEARCH($A46,'Config Baseline'!$K$2:$K$1017))*ISERROR(SEARCH("(",'Config Baseline'!$B$2:$B$1017)))</f>
        <v>0</v>
      </c>
      <c r="O46" s="4" t="n">
        <f aca="false">SUMPRODUCT(ISNUMBER(SEARCH("("&amp;O$45&amp;")",'Config Baseline'!$C$2:$C$1017))*ISNUMBER(SEARCH($A46,'Config Baseline'!$K$2:$K$1017))*ISERROR(SEARCH("(",'Config Baseline'!$B$2:$B$1017)))</f>
        <v>0</v>
      </c>
      <c r="P46" s="4" t="n">
        <f aca="false">SUMPRODUCT(ISNUMBER(SEARCH("("&amp;P$45&amp;")",'Config Baseline'!$C$2:$C$1017))*ISNUMBER(SEARCH($A46,'Config Baseline'!$K$2:$K$1017))*ISERROR(SEARCH("(",'Config Baseline'!$B$2:$B$1017)))</f>
        <v>0</v>
      </c>
      <c r="Q46" s="4" t="n">
        <f aca="false">SUMPRODUCT(ISNUMBER(SEARCH("("&amp;Q$45&amp;")",'Config Baseline'!$C$2:$C$1017))*ISNUMBER(SEARCH($A46,'Config Baseline'!$K$2:$K$1017))*ISERROR(SEARCH("(",'Config Baseline'!$B$2:$B$1017)))</f>
        <v>2</v>
      </c>
      <c r="R46" s="4" t="n">
        <f aca="false">SUMPRODUCT(ISNUMBER(SEARCH("("&amp;R$45&amp;")",'Config Baseline'!$C$2:$C$1017))*ISNUMBER(SEARCH($A46,'Config Baseline'!$K$2:$K$1017))*ISERROR(SEARCH("(",'Config Baseline'!$B$2:$B$1017)))</f>
        <v>1</v>
      </c>
      <c r="S46" s="4" t="n">
        <f aca="false">SUMPRODUCT(ISNUMBER(SEARCH("("&amp;S$45&amp;")",'Config Baseline'!$C$2:$C$1017))*ISNUMBER(SEARCH($A46,'Config Baseline'!$K$2:$K$1017))*ISERROR(SEARCH("(",'Config Baseline'!$B$2:$B$1017)))</f>
        <v>22</v>
      </c>
      <c r="T46" s="4" t="n">
        <f aca="false">SUMPRODUCT(ISNUMBER(SEARCH("("&amp;T$45&amp;")",'Config Baseline'!$C$2:$C$1017))*ISNUMBER(SEARCH($A46,'Config Baseline'!$K$2:$K$1017))*ISERROR(SEARCH("(",'Config Baseline'!$B$2:$B$1017)))</f>
        <v>5</v>
      </c>
      <c r="U46" s="4" t="n">
        <f aca="false">SUMPRODUCT(ISNUMBER(SEARCH("("&amp;U$45&amp;")",'Config Baseline'!$C$2:$C$1017))*ISNUMBER(SEARCH($A46,'Config Baseline'!$K$2:$K$1017))*ISERROR(SEARCH("(",'Config Baseline'!$B$2:$B$1017)))</f>
        <v>1</v>
      </c>
      <c r="V46" s="4" t="n">
        <f aca="false">SUM(B46:U46)</f>
        <v>76</v>
      </c>
    </row>
    <row r="47" customFormat="false" ht="17.25" hidden="false" customHeight="true" outlineLevel="0" collapsed="false">
      <c r="A47" s="4" t="s">
        <v>5300</v>
      </c>
      <c r="B47" s="4" t="n">
        <f aca="false">SUMPRODUCT(ISNUMBER(SEARCH("("&amp;B$45&amp;")",'Config Baseline'!$C$2:$C$1017))*ISNUMBER(SEARCH($A47,'Config Baseline'!$K$2:$K$1017))*ISERROR(SEARCH("(",'Config Baseline'!$B$2:$B$1017)))</f>
        <v>13</v>
      </c>
      <c r="C47" s="4" t="n">
        <f aca="false">SUMPRODUCT(ISNUMBER(SEARCH("("&amp;C$45&amp;")",'Config Baseline'!$C$2:$C$1017))*ISNUMBER(SEARCH($A47,'Config Baseline'!$K$2:$K$1017))*ISERROR(SEARCH("(",'Config Baseline'!$B$2:$B$1017)))</f>
        <v>0</v>
      </c>
      <c r="D47" s="4" t="n">
        <f aca="false">SUMPRODUCT(ISNUMBER(SEARCH("("&amp;D$45&amp;")",'Config Baseline'!$C$2:$C$1017))*ISNUMBER(SEARCH($A47,'Config Baseline'!$K$2:$K$1017))*ISERROR(SEARCH("(",'Config Baseline'!$B$2:$B$1017)))</f>
        <v>10</v>
      </c>
      <c r="E47" s="4" t="n">
        <f aca="false">SUMPRODUCT(ISNUMBER(SEARCH("("&amp;E$45&amp;")",'Config Baseline'!$C$2:$C$1017))*ISNUMBER(SEARCH($A47,'Config Baseline'!$K$2:$K$1017))*ISERROR(SEARCH("(",'Config Baseline'!$B$2:$B$1017)))</f>
        <v>6</v>
      </c>
      <c r="F47" s="4" t="n">
        <f aca="false">SUMPRODUCT(ISNUMBER(SEARCH("("&amp;F$45&amp;")",'Config Baseline'!$C$2:$C$1017))*ISNUMBER(SEARCH($A47,'Config Baseline'!$K$2:$K$1017))*ISERROR(SEARCH("(",'Config Baseline'!$B$2:$B$1017)))</f>
        <v>10</v>
      </c>
      <c r="G47" s="4" t="n">
        <f aca="false">SUMPRODUCT(ISNUMBER(SEARCH("("&amp;G$45&amp;")",'Config Baseline'!$C$2:$C$1017))*ISNUMBER(SEARCH($A47,'Config Baseline'!$K$2:$K$1017))*ISERROR(SEARCH("(",'Config Baseline'!$B$2:$B$1017)))</f>
        <v>6</v>
      </c>
      <c r="H47" s="4" t="n">
        <f aca="false">SUMPRODUCT(ISNUMBER(SEARCH("("&amp;H$45&amp;")",'Config Baseline'!$C$2:$C$1017))*ISNUMBER(SEARCH($A47,'Config Baseline'!$K$2:$K$1017))*ISERROR(SEARCH("(",'Config Baseline'!$B$2:$B$1017)))</f>
        <v>10</v>
      </c>
      <c r="I47" s="4" t="n">
        <f aca="false">SUMPRODUCT(ISNUMBER(SEARCH("("&amp;I$45&amp;")",'Config Baseline'!$C$2:$C$1017))*ISNUMBER(SEARCH($A47,'Config Baseline'!$K$2:$K$1017))*ISERROR(SEARCH("(",'Config Baseline'!$B$2:$B$1017)))</f>
        <v>5</v>
      </c>
      <c r="J47" s="4" t="n">
        <f aca="false">SUMPRODUCT(ISNUMBER(SEARCH("("&amp;J$45&amp;")",'Config Baseline'!$C$2:$C$1017))*ISNUMBER(SEARCH($A47,'Config Baseline'!$K$2:$K$1017))*ISERROR(SEARCH("(",'Config Baseline'!$B$2:$B$1017)))</f>
        <v>0</v>
      </c>
      <c r="K47" s="4" t="n">
        <f aca="false">SUMPRODUCT(ISNUMBER(SEARCH("("&amp;K$45&amp;")",'Config Baseline'!$C$2:$C$1017))*ISNUMBER(SEARCH($A47,'Config Baseline'!$K$2:$K$1017))*ISERROR(SEARCH("(",'Config Baseline'!$B$2:$B$1017)))</f>
        <v>1</v>
      </c>
      <c r="L47" s="4" t="n">
        <f aca="false">SUMPRODUCT(ISNUMBER(SEARCH("("&amp;L$45&amp;")",'Config Baseline'!$C$2:$C$1017))*ISNUMBER(SEARCH($A47,'Config Baseline'!$K$2:$K$1017))*ISERROR(SEARCH("(",'Config Baseline'!$B$2:$B$1017)))</f>
        <v>0</v>
      </c>
      <c r="M47" s="4" t="n">
        <f aca="false">SUMPRODUCT(ISNUMBER(SEARCH("("&amp;M$45&amp;")",'Config Baseline'!$C$2:$C$1017))*ISNUMBER(SEARCH($A47,'Config Baseline'!$K$2:$K$1017))*ISERROR(SEARCH("(",'Config Baseline'!$B$2:$B$1017)))</f>
        <v>2</v>
      </c>
      <c r="N47" s="4" t="n">
        <f aca="false">SUMPRODUCT(ISNUMBER(SEARCH("("&amp;N$45&amp;")",'Config Baseline'!$C$2:$C$1017))*ISNUMBER(SEARCH($A47,'Config Baseline'!$K$2:$K$1017))*ISERROR(SEARCH("(",'Config Baseline'!$B$2:$B$1017)))</f>
        <v>0</v>
      </c>
      <c r="O47" s="4" t="n">
        <f aca="false">SUMPRODUCT(ISNUMBER(SEARCH("("&amp;O$45&amp;")",'Config Baseline'!$C$2:$C$1017))*ISNUMBER(SEARCH($A47,'Config Baseline'!$K$2:$K$1017))*ISERROR(SEARCH("(",'Config Baseline'!$B$2:$B$1017)))</f>
        <v>2</v>
      </c>
      <c r="P47" s="4" t="n">
        <f aca="false">SUMPRODUCT(ISNUMBER(SEARCH("("&amp;P$45&amp;")",'Config Baseline'!$C$2:$C$1017))*ISNUMBER(SEARCH($A47,'Config Baseline'!$K$2:$K$1017))*ISERROR(SEARCH("(",'Config Baseline'!$B$2:$B$1017)))</f>
        <v>0</v>
      </c>
      <c r="Q47" s="4" t="n">
        <f aca="false">SUMPRODUCT(ISNUMBER(SEARCH("("&amp;Q$45&amp;")",'Config Baseline'!$C$2:$C$1017))*ISNUMBER(SEARCH($A47,'Config Baseline'!$K$2:$K$1017))*ISERROR(SEARCH("(",'Config Baseline'!$B$2:$B$1017)))</f>
        <v>6</v>
      </c>
      <c r="R47" s="4" t="n">
        <f aca="false">SUMPRODUCT(ISNUMBER(SEARCH("("&amp;R$45&amp;")",'Config Baseline'!$C$2:$C$1017))*ISNUMBER(SEARCH($A47,'Config Baseline'!$K$2:$K$1017))*ISERROR(SEARCH("(",'Config Baseline'!$B$2:$B$1017)))</f>
        <v>9</v>
      </c>
      <c r="S47" s="4" t="n">
        <f aca="false">SUMPRODUCT(ISNUMBER(SEARCH("("&amp;S$45&amp;")",'Config Baseline'!$C$2:$C$1017))*ISNUMBER(SEARCH($A47,'Config Baseline'!$K$2:$K$1017))*ISERROR(SEARCH("(",'Config Baseline'!$B$2:$B$1017)))</f>
        <v>19</v>
      </c>
      <c r="T47" s="4" t="n">
        <f aca="false">SUMPRODUCT(ISNUMBER(SEARCH("("&amp;T$45&amp;")",'Config Baseline'!$C$2:$C$1017))*ISNUMBER(SEARCH($A47,'Config Baseline'!$K$2:$K$1017))*ISERROR(SEARCH("(",'Config Baseline'!$B$2:$B$1017)))</f>
        <v>11</v>
      </c>
      <c r="U47" s="4" t="n">
        <f aca="false">SUMPRODUCT(ISNUMBER(SEARCH("("&amp;U$45&amp;")",'Config Baseline'!$C$2:$C$1017))*ISNUMBER(SEARCH($A47,'Config Baseline'!$K$2:$K$1017))*ISERROR(SEARCH("(",'Config Baseline'!$B$2:$B$1017)))</f>
        <v>5</v>
      </c>
      <c r="V47" s="4" t="n">
        <f aca="false">SUM(B47:U47)</f>
        <v>115</v>
      </c>
    </row>
    <row r="48" customFormat="false" ht="17.25" hidden="false" customHeight="true" outlineLevel="0" collapsed="false">
      <c r="A48" s="4" t="s">
        <v>2176</v>
      </c>
      <c r="B48" s="4" t="n">
        <f aca="false">SUMPRODUCT(ISNUMBER(SEARCH("("&amp;B$45&amp;")",'Config Baseline'!$C$2:$C$1017))*ISNUMBER(SEARCH($A48,'Config Baseline'!$K$2:$K$1017))*ISERROR(SEARCH("(",'Config Baseline'!$B$2:$B$1017)))</f>
        <v>10</v>
      </c>
      <c r="C48" s="4" t="n">
        <f aca="false">SUMPRODUCT(ISNUMBER(SEARCH("("&amp;C$45&amp;")",'Config Baseline'!$C$2:$C$1017))*ISNUMBER(SEARCH($A48,'Config Baseline'!$K$2:$K$1017))*ISERROR(SEARCH("(",'Config Baseline'!$B$2:$B$1017)))</f>
        <v>0</v>
      </c>
      <c r="D48" s="4" t="n">
        <f aca="false">SUMPRODUCT(ISNUMBER(SEARCH("("&amp;D$45&amp;")",'Config Baseline'!$C$2:$C$1017))*ISNUMBER(SEARCH($A48,'Config Baseline'!$K$2:$K$1017))*ISERROR(SEARCH("(",'Config Baseline'!$B$2:$B$1017)))</f>
        <v>0</v>
      </c>
      <c r="E48" s="4" t="n">
        <f aca="false">SUMPRODUCT(ISNUMBER(SEARCH("("&amp;E$45&amp;")",'Config Baseline'!$C$2:$C$1017))*ISNUMBER(SEARCH($A48,'Config Baseline'!$K$2:$K$1017))*ISERROR(SEARCH("(",'Config Baseline'!$B$2:$B$1017)))</f>
        <v>0</v>
      </c>
      <c r="F48" s="4" t="n">
        <f aca="false">SUMPRODUCT(ISNUMBER(SEARCH("("&amp;F$45&amp;")",'Config Baseline'!$C$2:$C$1017))*ISNUMBER(SEARCH($A48,'Config Baseline'!$K$2:$K$1017))*ISERROR(SEARCH("(",'Config Baseline'!$B$2:$B$1017)))</f>
        <v>0</v>
      </c>
      <c r="G48" s="4" t="n">
        <f aca="false">SUMPRODUCT(ISNUMBER(SEARCH("("&amp;G$45&amp;")",'Config Baseline'!$C$2:$C$1017))*ISNUMBER(SEARCH($A48,'Config Baseline'!$K$2:$K$1017))*ISERROR(SEARCH("(",'Config Baseline'!$B$2:$B$1017)))</f>
        <v>0</v>
      </c>
      <c r="H48" s="4" t="n">
        <f aca="false">SUMPRODUCT(ISNUMBER(SEARCH("("&amp;H$45&amp;")",'Config Baseline'!$C$2:$C$1017))*ISNUMBER(SEARCH($A48,'Config Baseline'!$K$2:$K$1017))*ISERROR(SEARCH("(",'Config Baseline'!$B$2:$B$1017)))</f>
        <v>9</v>
      </c>
      <c r="I48" s="4" t="n">
        <f aca="false">SUMPRODUCT(ISNUMBER(SEARCH("("&amp;I$45&amp;")",'Config Baseline'!$C$2:$C$1017))*ISNUMBER(SEARCH($A48,'Config Baseline'!$K$2:$K$1017))*ISERROR(SEARCH("(",'Config Baseline'!$B$2:$B$1017)))</f>
        <v>0</v>
      </c>
      <c r="J48" s="4" t="n">
        <f aca="false">SUMPRODUCT(ISNUMBER(SEARCH("("&amp;J$45&amp;")",'Config Baseline'!$C$2:$C$1017))*ISNUMBER(SEARCH($A48,'Config Baseline'!$K$2:$K$1017))*ISERROR(SEARCH("(",'Config Baseline'!$B$2:$B$1017)))</f>
        <v>0</v>
      </c>
      <c r="K48" s="4" t="n">
        <f aca="false">SUMPRODUCT(ISNUMBER(SEARCH("("&amp;K$45&amp;")",'Config Baseline'!$C$2:$C$1017))*ISNUMBER(SEARCH($A48,'Config Baseline'!$K$2:$K$1017))*ISERROR(SEARCH("(",'Config Baseline'!$B$2:$B$1017)))</f>
        <v>0</v>
      </c>
      <c r="L48" s="4" t="n">
        <f aca="false">SUMPRODUCT(ISNUMBER(SEARCH("("&amp;L$45&amp;")",'Config Baseline'!$C$2:$C$1017))*ISNUMBER(SEARCH($A48,'Config Baseline'!$K$2:$K$1017))*ISERROR(SEARCH("(",'Config Baseline'!$B$2:$B$1017)))</f>
        <v>0</v>
      </c>
      <c r="M48" s="4" t="n">
        <f aca="false">SUMPRODUCT(ISNUMBER(SEARCH("("&amp;M$45&amp;")",'Config Baseline'!$C$2:$C$1017))*ISNUMBER(SEARCH($A48,'Config Baseline'!$K$2:$K$1017))*ISERROR(SEARCH("(",'Config Baseline'!$B$2:$B$1017)))</f>
        <v>0</v>
      </c>
      <c r="N48" s="4" t="n">
        <f aca="false">SUMPRODUCT(ISNUMBER(SEARCH("("&amp;N$45&amp;")",'Config Baseline'!$C$2:$C$1017))*ISNUMBER(SEARCH($A48,'Config Baseline'!$K$2:$K$1017))*ISERROR(SEARCH("(",'Config Baseline'!$B$2:$B$1017)))</f>
        <v>0</v>
      </c>
      <c r="O48" s="4" t="n">
        <f aca="false">SUMPRODUCT(ISNUMBER(SEARCH("("&amp;O$45&amp;")",'Config Baseline'!$C$2:$C$1017))*ISNUMBER(SEARCH($A48,'Config Baseline'!$K$2:$K$1017))*ISERROR(SEARCH("(",'Config Baseline'!$B$2:$B$1017)))</f>
        <v>2</v>
      </c>
      <c r="P48" s="4" t="n">
        <f aca="false">SUMPRODUCT(ISNUMBER(SEARCH("("&amp;P$45&amp;")",'Config Baseline'!$C$2:$C$1017))*ISNUMBER(SEARCH($A48,'Config Baseline'!$K$2:$K$1017))*ISERROR(SEARCH("(",'Config Baseline'!$B$2:$B$1017)))</f>
        <v>0</v>
      </c>
      <c r="Q48" s="4" t="n">
        <f aca="false">SUMPRODUCT(ISNUMBER(SEARCH("("&amp;Q$45&amp;")",'Config Baseline'!$C$2:$C$1017))*ISNUMBER(SEARCH($A48,'Config Baseline'!$K$2:$K$1017))*ISERROR(SEARCH("(",'Config Baseline'!$B$2:$B$1017)))</f>
        <v>0</v>
      </c>
      <c r="R48" s="4" t="n">
        <f aca="false">SUMPRODUCT(ISNUMBER(SEARCH("("&amp;R$45&amp;")",'Config Baseline'!$C$2:$C$1017))*ISNUMBER(SEARCH($A48,'Config Baseline'!$K$2:$K$1017))*ISERROR(SEARCH("(",'Config Baseline'!$B$2:$B$1017)))</f>
        <v>0</v>
      </c>
      <c r="S48" s="4" t="n">
        <f aca="false">SUMPRODUCT(ISNUMBER(SEARCH("("&amp;S$45&amp;")",'Config Baseline'!$C$2:$C$1017))*ISNUMBER(SEARCH($A48,'Config Baseline'!$K$2:$K$1017))*ISERROR(SEARCH("(",'Config Baseline'!$B$2:$B$1017)))</f>
        <v>0</v>
      </c>
      <c r="T48" s="4" t="n">
        <f aca="false">SUMPRODUCT(ISNUMBER(SEARCH("("&amp;T$45&amp;")",'Config Baseline'!$C$2:$C$1017))*ISNUMBER(SEARCH($A48,'Config Baseline'!$K$2:$K$1017))*ISERROR(SEARCH("(",'Config Baseline'!$B$2:$B$1017)))</f>
        <v>0</v>
      </c>
      <c r="U48" s="4" t="n">
        <f aca="false">SUMPRODUCT(ISNUMBER(SEARCH("("&amp;U$45&amp;")",'Config Baseline'!$C$2:$C$1017))*ISNUMBER(SEARCH($A48,'Config Baseline'!$K$2:$K$1017))*ISERROR(SEARCH("(",'Config Baseline'!$B$2:$B$1017)))</f>
        <v>0</v>
      </c>
      <c r="V48" s="4" t="n">
        <f aca="false">SUM(B48:U48)</f>
        <v>21</v>
      </c>
    </row>
    <row r="49" customFormat="false" ht="17.25" hidden="false" customHeight="true" outlineLevel="0" collapsed="false">
      <c r="A49" s="4" t="s">
        <v>1173</v>
      </c>
      <c r="B49" s="4" t="n">
        <f aca="false">SUMPRODUCT(ISNUMBER(SEARCH("("&amp;B$45&amp;")",'Config Baseline'!$C$2:$C$1017))*ISNUMBER(SEARCH($A49,'Config Baseline'!$K$2:$K$1017))*ISERROR(SEARCH("(",'Config Baseline'!$B$2:$B$1017)))</f>
        <v>0</v>
      </c>
      <c r="C49" s="4" t="n">
        <f aca="false">SUMPRODUCT(ISNUMBER(SEARCH("("&amp;C$45&amp;")",'Config Baseline'!$C$2:$C$1017))*ISNUMBER(SEARCH($A49,'Config Baseline'!$K$2:$K$1017))*ISERROR(SEARCH("(",'Config Baseline'!$B$2:$B$1017)))</f>
        <v>0</v>
      </c>
      <c r="D49" s="4" t="n">
        <f aca="false">SUMPRODUCT(ISNUMBER(SEARCH("("&amp;D$45&amp;")",'Config Baseline'!$C$2:$C$1017))*ISNUMBER(SEARCH($A49,'Config Baseline'!$K$2:$K$1017))*ISERROR(SEARCH("(",'Config Baseline'!$B$2:$B$1017)))</f>
        <v>12</v>
      </c>
      <c r="E49" s="4" t="n">
        <f aca="false">SUMPRODUCT(ISNUMBER(SEARCH("("&amp;E$45&amp;")",'Config Baseline'!$C$2:$C$1017))*ISNUMBER(SEARCH($A49,'Config Baseline'!$K$2:$K$1017))*ISERROR(SEARCH("(",'Config Baseline'!$B$2:$B$1017)))</f>
        <v>1</v>
      </c>
      <c r="F49" s="4" t="n">
        <f aca="false">SUMPRODUCT(ISNUMBER(SEARCH("("&amp;F$45&amp;")",'Config Baseline'!$C$2:$C$1017))*ISNUMBER(SEARCH($A49,'Config Baseline'!$K$2:$K$1017))*ISERROR(SEARCH("(",'Config Baseline'!$B$2:$B$1017)))</f>
        <v>0</v>
      </c>
      <c r="G49" s="4" t="n">
        <f aca="false">SUMPRODUCT(ISNUMBER(SEARCH("("&amp;G$45&amp;")",'Config Baseline'!$C$2:$C$1017))*ISNUMBER(SEARCH($A49,'Config Baseline'!$K$2:$K$1017))*ISERROR(SEARCH("(",'Config Baseline'!$B$2:$B$1017)))</f>
        <v>0</v>
      </c>
      <c r="H49" s="4" t="n">
        <f aca="false">SUMPRODUCT(ISNUMBER(SEARCH("("&amp;H$45&amp;")",'Config Baseline'!$C$2:$C$1017))*ISNUMBER(SEARCH($A49,'Config Baseline'!$K$2:$K$1017))*ISERROR(SEARCH("(",'Config Baseline'!$B$2:$B$1017)))</f>
        <v>0</v>
      </c>
      <c r="I49" s="4" t="n">
        <f aca="false">SUMPRODUCT(ISNUMBER(SEARCH("("&amp;I$45&amp;")",'Config Baseline'!$C$2:$C$1017))*ISNUMBER(SEARCH($A49,'Config Baseline'!$K$2:$K$1017))*ISERROR(SEARCH("(",'Config Baseline'!$B$2:$B$1017)))</f>
        <v>2</v>
      </c>
      <c r="J49" s="4" t="n">
        <f aca="false">SUMPRODUCT(ISNUMBER(SEARCH("("&amp;J$45&amp;")",'Config Baseline'!$C$2:$C$1017))*ISNUMBER(SEARCH($A49,'Config Baseline'!$K$2:$K$1017))*ISERROR(SEARCH("(",'Config Baseline'!$B$2:$B$1017)))</f>
        <v>0</v>
      </c>
      <c r="K49" s="4" t="n">
        <f aca="false">SUMPRODUCT(ISNUMBER(SEARCH("("&amp;K$45&amp;")",'Config Baseline'!$C$2:$C$1017))*ISNUMBER(SEARCH($A49,'Config Baseline'!$K$2:$K$1017))*ISERROR(SEARCH("(",'Config Baseline'!$B$2:$B$1017)))</f>
        <v>0</v>
      </c>
      <c r="L49" s="4" t="n">
        <f aca="false">SUMPRODUCT(ISNUMBER(SEARCH("("&amp;L$45&amp;")",'Config Baseline'!$C$2:$C$1017))*ISNUMBER(SEARCH($A49,'Config Baseline'!$K$2:$K$1017))*ISERROR(SEARCH("(",'Config Baseline'!$B$2:$B$1017)))</f>
        <v>0</v>
      </c>
      <c r="M49" s="4" t="n">
        <f aca="false">SUMPRODUCT(ISNUMBER(SEARCH("("&amp;M$45&amp;")",'Config Baseline'!$C$2:$C$1017))*ISNUMBER(SEARCH($A49,'Config Baseline'!$K$2:$K$1017))*ISERROR(SEARCH("(",'Config Baseline'!$B$2:$B$1017)))</f>
        <v>1</v>
      </c>
      <c r="N49" s="4" t="n">
        <f aca="false">SUMPRODUCT(ISNUMBER(SEARCH("("&amp;N$45&amp;")",'Config Baseline'!$C$2:$C$1017))*ISNUMBER(SEARCH($A49,'Config Baseline'!$K$2:$K$1017))*ISERROR(SEARCH("(",'Config Baseline'!$B$2:$B$1017)))</f>
        <v>0</v>
      </c>
      <c r="O49" s="4" t="n">
        <f aca="false">SUMPRODUCT(ISNUMBER(SEARCH("("&amp;O$45&amp;")",'Config Baseline'!$C$2:$C$1017))*ISNUMBER(SEARCH($A49,'Config Baseline'!$K$2:$K$1017))*ISERROR(SEARCH("(",'Config Baseline'!$B$2:$B$1017)))</f>
        <v>0</v>
      </c>
      <c r="P49" s="4" t="n">
        <f aca="false">SUMPRODUCT(ISNUMBER(SEARCH("("&amp;P$45&amp;")",'Config Baseline'!$C$2:$C$1017))*ISNUMBER(SEARCH($A49,'Config Baseline'!$K$2:$K$1017))*ISERROR(SEARCH("(",'Config Baseline'!$B$2:$B$1017)))</f>
        <v>0</v>
      </c>
      <c r="Q49" s="4" t="n">
        <f aca="false">SUMPRODUCT(ISNUMBER(SEARCH("("&amp;Q$45&amp;")",'Config Baseline'!$C$2:$C$1017))*ISNUMBER(SEARCH($A49,'Config Baseline'!$K$2:$K$1017))*ISERROR(SEARCH("(",'Config Baseline'!$B$2:$B$1017)))</f>
        <v>1</v>
      </c>
      <c r="R49" s="4" t="n">
        <f aca="false">SUMPRODUCT(ISNUMBER(SEARCH("("&amp;R$45&amp;")",'Config Baseline'!$C$2:$C$1017))*ISNUMBER(SEARCH($A49,'Config Baseline'!$K$2:$K$1017))*ISERROR(SEARCH("(",'Config Baseline'!$B$2:$B$1017)))</f>
        <v>0</v>
      </c>
      <c r="S49" s="4" t="n">
        <f aca="false">SUMPRODUCT(ISNUMBER(SEARCH("("&amp;S$45&amp;")",'Config Baseline'!$C$2:$C$1017))*ISNUMBER(SEARCH($A49,'Config Baseline'!$K$2:$K$1017))*ISERROR(SEARCH("(",'Config Baseline'!$B$2:$B$1017)))</f>
        <v>0</v>
      </c>
      <c r="T49" s="4" t="n">
        <f aca="false">SUMPRODUCT(ISNUMBER(SEARCH("("&amp;T$45&amp;")",'Config Baseline'!$C$2:$C$1017))*ISNUMBER(SEARCH($A49,'Config Baseline'!$K$2:$K$1017))*ISERROR(SEARCH("(",'Config Baseline'!$B$2:$B$1017)))</f>
        <v>1</v>
      </c>
      <c r="U49" s="4" t="n">
        <f aca="false">SUMPRODUCT(ISNUMBER(SEARCH("("&amp;U$45&amp;")",'Config Baseline'!$C$2:$C$1017))*ISNUMBER(SEARCH($A49,'Config Baseline'!$K$2:$K$1017))*ISERROR(SEARCH("(",'Config Baseline'!$B$2:$B$1017)))</f>
        <v>0</v>
      </c>
      <c r="V49" s="4" t="n">
        <f aca="false">SUM(B49:U49)</f>
        <v>18</v>
      </c>
    </row>
    <row r="50" customFormat="false" ht="17.25" hidden="false" customHeight="true" outlineLevel="0" collapsed="false">
      <c r="A50" s="4" t="s">
        <v>814</v>
      </c>
      <c r="B50" s="4" t="n">
        <f aca="false">SUMPRODUCT(ISNUMBER(SEARCH("("&amp;B$45&amp;")",'Config Baseline'!$C$2:$C$1017))*ISNUMBER(SEARCH($A50,'Config Baseline'!$K$2:$K$1017))*ISERROR(SEARCH("(",'Config Baseline'!$B$2:$B$1017)))</f>
        <v>6</v>
      </c>
      <c r="C50" s="4" t="n">
        <f aca="false">SUMPRODUCT(ISNUMBER(SEARCH("("&amp;C$45&amp;")",'Config Baseline'!$C$2:$C$1017))*ISNUMBER(SEARCH($A50,'Config Baseline'!$K$2:$K$1017))*ISERROR(SEARCH("(",'Config Baseline'!$B$2:$B$1017)))</f>
        <v>0</v>
      </c>
      <c r="D50" s="4" t="n">
        <f aca="false">SUMPRODUCT(ISNUMBER(SEARCH("("&amp;D$45&amp;")",'Config Baseline'!$C$2:$C$1017))*ISNUMBER(SEARCH($A50,'Config Baseline'!$K$2:$K$1017))*ISERROR(SEARCH("(",'Config Baseline'!$B$2:$B$1017)))</f>
        <v>0</v>
      </c>
      <c r="E50" s="4" t="n">
        <f aca="false">SUMPRODUCT(ISNUMBER(SEARCH("("&amp;E$45&amp;")",'Config Baseline'!$C$2:$C$1017))*ISNUMBER(SEARCH($A50,'Config Baseline'!$K$2:$K$1017))*ISERROR(SEARCH("(",'Config Baseline'!$B$2:$B$1017)))</f>
        <v>0</v>
      </c>
      <c r="F50" s="4" t="n">
        <f aca="false">SUMPRODUCT(ISNUMBER(SEARCH("("&amp;F$45&amp;")",'Config Baseline'!$C$2:$C$1017))*ISNUMBER(SEARCH($A50,'Config Baseline'!$K$2:$K$1017))*ISERROR(SEARCH("(",'Config Baseline'!$B$2:$B$1017)))</f>
        <v>3</v>
      </c>
      <c r="G50" s="4" t="n">
        <f aca="false">SUMPRODUCT(ISNUMBER(SEARCH("("&amp;G$45&amp;")",'Config Baseline'!$C$2:$C$1017))*ISNUMBER(SEARCH($A50,'Config Baseline'!$K$2:$K$1017))*ISERROR(SEARCH("(",'Config Baseline'!$B$2:$B$1017)))</f>
        <v>2</v>
      </c>
      <c r="H50" s="4" t="n">
        <f aca="false">SUMPRODUCT(ISNUMBER(SEARCH("("&amp;H$45&amp;")",'Config Baseline'!$C$2:$C$1017))*ISNUMBER(SEARCH($A50,'Config Baseline'!$K$2:$K$1017))*ISERROR(SEARCH("(",'Config Baseline'!$B$2:$B$1017)))</f>
        <v>1</v>
      </c>
      <c r="I50" s="4" t="n">
        <f aca="false">SUMPRODUCT(ISNUMBER(SEARCH("("&amp;I$45&amp;")",'Config Baseline'!$C$2:$C$1017))*ISNUMBER(SEARCH($A50,'Config Baseline'!$K$2:$K$1017))*ISERROR(SEARCH("(",'Config Baseline'!$B$2:$B$1017)))</f>
        <v>0</v>
      </c>
      <c r="J50" s="4" t="n">
        <f aca="false">SUMPRODUCT(ISNUMBER(SEARCH("("&amp;J$45&amp;")",'Config Baseline'!$C$2:$C$1017))*ISNUMBER(SEARCH($A50,'Config Baseline'!$K$2:$K$1017))*ISERROR(SEARCH("(",'Config Baseline'!$B$2:$B$1017)))</f>
        <v>0</v>
      </c>
      <c r="K50" s="4" t="n">
        <f aca="false">SUMPRODUCT(ISNUMBER(SEARCH("("&amp;K$45&amp;")",'Config Baseline'!$C$2:$C$1017))*ISNUMBER(SEARCH($A50,'Config Baseline'!$K$2:$K$1017))*ISERROR(SEARCH("(",'Config Baseline'!$B$2:$B$1017)))</f>
        <v>0</v>
      </c>
      <c r="L50" s="4" t="n">
        <f aca="false">SUMPRODUCT(ISNUMBER(SEARCH("("&amp;L$45&amp;")",'Config Baseline'!$C$2:$C$1017))*ISNUMBER(SEARCH($A50,'Config Baseline'!$K$2:$K$1017))*ISERROR(SEARCH("(",'Config Baseline'!$B$2:$B$1017)))</f>
        <v>0</v>
      </c>
      <c r="M50" s="4" t="n">
        <f aca="false">SUMPRODUCT(ISNUMBER(SEARCH("("&amp;M$45&amp;")",'Config Baseline'!$C$2:$C$1017))*ISNUMBER(SEARCH($A50,'Config Baseline'!$K$2:$K$1017))*ISERROR(SEARCH("(",'Config Baseline'!$B$2:$B$1017)))</f>
        <v>0</v>
      </c>
      <c r="N50" s="4" t="n">
        <f aca="false">SUMPRODUCT(ISNUMBER(SEARCH("("&amp;N$45&amp;")",'Config Baseline'!$C$2:$C$1017))*ISNUMBER(SEARCH($A50,'Config Baseline'!$K$2:$K$1017))*ISERROR(SEARCH("(",'Config Baseline'!$B$2:$B$1017)))</f>
        <v>0</v>
      </c>
      <c r="O50" s="4" t="n">
        <f aca="false">SUMPRODUCT(ISNUMBER(SEARCH("("&amp;O$45&amp;")",'Config Baseline'!$C$2:$C$1017))*ISNUMBER(SEARCH($A50,'Config Baseline'!$K$2:$K$1017))*ISERROR(SEARCH("(",'Config Baseline'!$B$2:$B$1017)))</f>
        <v>0</v>
      </c>
      <c r="P50" s="4" t="n">
        <f aca="false">SUMPRODUCT(ISNUMBER(SEARCH("("&amp;P$45&amp;")",'Config Baseline'!$C$2:$C$1017))*ISNUMBER(SEARCH($A50,'Config Baseline'!$K$2:$K$1017))*ISERROR(SEARCH("(",'Config Baseline'!$B$2:$B$1017)))</f>
        <v>0</v>
      </c>
      <c r="Q50" s="4" t="n">
        <f aca="false">SUMPRODUCT(ISNUMBER(SEARCH("("&amp;Q$45&amp;")",'Config Baseline'!$C$2:$C$1017))*ISNUMBER(SEARCH($A50,'Config Baseline'!$K$2:$K$1017))*ISERROR(SEARCH("(",'Config Baseline'!$B$2:$B$1017)))</f>
        <v>1</v>
      </c>
      <c r="R50" s="4" t="n">
        <f aca="false">SUMPRODUCT(ISNUMBER(SEARCH("("&amp;R$45&amp;")",'Config Baseline'!$C$2:$C$1017))*ISNUMBER(SEARCH($A50,'Config Baseline'!$K$2:$K$1017))*ISERROR(SEARCH("(",'Config Baseline'!$B$2:$B$1017)))</f>
        <v>0</v>
      </c>
      <c r="S50" s="4" t="n">
        <f aca="false">SUMPRODUCT(ISNUMBER(SEARCH("("&amp;S$45&amp;")",'Config Baseline'!$C$2:$C$1017))*ISNUMBER(SEARCH($A50,'Config Baseline'!$K$2:$K$1017))*ISERROR(SEARCH("(",'Config Baseline'!$B$2:$B$1017)))</f>
        <v>1</v>
      </c>
      <c r="T50" s="4" t="n">
        <f aca="false">SUMPRODUCT(ISNUMBER(SEARCH("("&amp;T$45&amp;")",'Config Baseline'!$C$2:$C$1017))*ISNUMBER(SEARCH($A50,'Config Baseline'!$K$2:$K$1017))*ISERROR(SEARCH("(",'Config Baseline'!$B$2:$B$1017)))</f>
        <v>5</v>
      </c>
      <c r="U50" s="4" t="n">
        <f aca="false">SUMPRODUCT(ISNUMBER(SEARCH("("&amp;U$45&amp;")",'Config Baseline'!$C$2:$C$1017))*ISNUMBER(SEARCH($A50,'Config Baseline'!$K$2:$K$1017))*ISERROR(SEARCH("(",'Config Baseline'!$B$2:$B$1017)))</f>
        <v>0</v>
      </c>
      <c r="V50" s="4" t="n">
        <f aca="false">SUM(B50:U50)</f>
        <v>19</v>
      </c>
    </row>
    <row r="51" customFormat="false" ht="17.25" hidden="false" customHeight="true" outlineLevel="0" collapsed="false">
      <c r="A51" s="4" t="s">
        <v>603</v>
      </c>
      <c r="B51" s="4" t="n">
        <f aca="false">SUMPRODUCT(ISNUMBER(SEARCH("("&amp;B$45&amp;")",'Config Baseline'!$C$2:$C$1017))*ISNUMBER(SEARCH($A51,'Config Baseline'!$K$2:$K$1017))*ISERROR(SEARCH("(",'Config Baseline'!$B$2:$B$1017)))</f>
        <v>16</v>
      </c>
      <c r="C51" s="4" t="n">
        <f aca="false">SUMPRODUCT(ISNUMBER(SEARCH("("&amp;C$45&amp;")",'Config Baseline'!$C$2:$C$1017))*ISNUMBER(SEARCH($A51,'Config Baseline'!$K$2:$K$1017))*ISERROR(SEARCH("(",'Config Baseline'!$B$2:$B$1017)))</f>
        <v>0</v>
      </c>
      <c r="D51" s="4" t="n">
        <f aca="false">SUMPRODUCT(ISNUMBER(SEARCH("("&amp;D$45&amp;")",'Config Baseline'!$C$2:$C$1017))*ISNUMBER(SEARCH($A51,'Config Baseline'!$K$2:$K$1017))*ISERROR(SEARCH("(",'Config Baseline'!$B$2:$B$1017)))</f>
        <v>4</v>
      </c>
      <c r="E51" s="4" t="n">
        <f aca="false">SUMPRODUCT(ISNUMBER(SEARCH("("&amp;E$45&amp;")",'Config Baseline'!$C$2:$C$1017))*ISNUMBER(SEARCH($A51,'Config Baseline'!$K$2:$K$1017))*ISERROR(SEARCH("(",'Config Baseline'!$B$2:$B$1017)))</f>
        <v>1</v>
      </c>
      <c r="F51" s="4" t="n">
        <f aca="false">SUMPRODUCT(ISNUMBER(SEARCH("("&amp;F$45&amp;")",'Config Baseline'!$C$2:$C$1017))*ISNUMBER(SEARCH($A51,'Config Baseline'!$K$2:$K$1017))*ISERROR(SEARCH("(",'Config Baseline'!$B$2:$B$1017)))</f>
        <v>12</v>
      </c>
      <c r="G51" s="4" t="n">
        <f aca="false">SUMPRODUCT(ISNUMBER(SEARCH("("&amp;G$45&amp;")",'Config Baseline'!$C$2:$C$1017))*ISNUMBER(SEARCH($A51,'Config Baseline'!$K$2:$K$1017))*ISERROR(SEARCH("(",'Config Baseline'!$B$2:$B$1017)))</f>
        <v>5</v>
      </c>
      <c r="H51" s="4" t="n">
        <f aca="false">SUMPRODUCT(ISNUMBER(SEARCH("("&amp;H$45&amp;")",'Config Baseline'!$C$2:$C$1017))*ISNUMBER(SEARCH($A51,'Config Baseline'!$K$2:$K$1017))*ISERROR(SEARCH("(",'Config Baseline'!$B$2:$B$1017)))</f>
        <v>8</v>
      </c>
      <c r="I51" s="4" t="n">
        <f aca="false">SUMPRODUCT(ISNUMBER(SEARCH("("&amp;I$45&amp;")",'Config Baseline'!$C$2:$C$1017))*ISNUMBER(SEARCH($A51,'Config Baseline'!$K$2:$K$1017))*ISERROR(SEARCH("(",'Config Baseline'!$B$2:$B$1017)))</f>
        <v>0</v>
      </c>
      <c r="J51" s="4" t="n">
        <f aca="false">SUMPRODUCT(ISNUMBER(SEARCH("("&amp;J$45&amp;")",'Config Baseline'!$C$2:$C$1017))*ISNUMBER(SEARCH($A51,'Config Baseline'!$K$2:$K$1017))*ISERROR(SEARCH("(",'Config Baseline'!$B$2:$B$1017)))</f>
        <v>0</v>
      </c>
      <c r="K51" s="4" t="n">
        <f aca="false">SUMPRODUCT(ISNUMBER(SEARCH("("&amp;K$45&amp;")",'Config Baseline'!$C$2:$C$1017))*ISNUMBER(SEARCH($A51,'Config Baseline'!$K$2:$K$1017))*ISERROR(SEARCH("(",'Config Baseline'!$B$2:$B$1017)))</f>
        <v>0</v>
      </c>
      <c r="L51" s="4" t="n">
        <f aca="false">SUMPRODUCT(ISNUMBER(SEARCH("("&amp;L$45&amp;")",'Config Baseline'!$C$2:$C$1017))*ISNUMBER(SEARCH($A51,'Config Baseline'!$K$2:$K$1017))*ISERROR(SEARCH("(",'Config Baseline'!$B$2:$B$1017)))</f>
        <v>1</v>
      </c>
      <c r="M51" s="4" t="n">
        <f aca="false">SUMPRODUCT(ISNUMBER(SEARCH("("&amp;M$45&amp;")",'Config Baseline'!$C$2:$C$1017))*ISNUMBER(SEARCH($A51,'Config Baseline'!$K$2:$K$1017))*ISERROR(SEARCH("(",'Config Baseline'!$B$2:$B$1017)))</f>
        <v>2</v>
      </c>
      <c r="N51" s="4" t="n">
        <f aca="false">SUMPRODUCT(ISNUMBER(SEARCH("("&amp;N$45&amp;")",'Config Baseline'!$C$2:$C$1017))*ISNUMBER(SEARCH($A51,'Config Baseline'!$K$2:$K$1017))*ISERROR(SEARCH("(",'Config Baseline'!$B$2:$B$1017)))</f>
        <v>0</v>
      </c>
      <c r="O51" s="4" t="n">
        <f aca="false">SUMPRODUCT(ISNUMBER(SEARCH("("&amp;O$45&amp;")",'Config Baseline'!$C$2:$C$1017))*ISNUMBER(SEARCH($A51,'Config Baseline'!$K$2:$K$1017))*ISERROR(SEARCH("(",'Config Baseline'!$B$2:$B$1017)))</f>
        <v>0</v>
      </c>
      <c r="P51" s="4" t="n">
        <f aca="false">SUMPRODUCT(ISNUMBER(SEARCH("("&amp;P$45&amp;")",'Config Baseline'!$C$2:$C$1017))*ISNUMBER(SEARCH($A51,'Config Baseline'!$K$2:$K$1017))*ISERROR(SEARCH("(",'Config Baseline'!$B$2:$B$1017)))</f>
        <v>0</v>
      </c>
      <c r="Q51" s="4" t="n">
        <f aca="false">SUMPRODUCT(ISNUMBER(SEARCH("("&amp;Q$45&amp;")",'Config Baseline'!$C$2:$C$1017))*ISNUMBER(SEARCH($A51,'Config Baseline'!$K$2:$K$1017))*ISERROR(SEARCH("(",'Config Baseline'!$B$2:$B$1017)))</f>
        <v>2</v>
      </c>
      <c r="R51" s="4" t="n">
        <f aca="false">SUMPRODUCT(ISNUMBER(SEARCH("("&amp;R$45&amp;")",'Config Baseline'!$C$2:$C$1017))*ISNUMBER(SEARCH($A51,'Config Baseline'!$K$2:$K$1017))*ISERROR(SEARCH("(",'Config Baseline'!$B$2:$B$1017)))</f>
        <v>15</v>
      </c>
      <c r="S51" s="4" t="n">
        <f aca="false">SUMPRODUCT(ISNUMBER(SEARCH("("&amp;S$45&amp;")",'Config Baseline'!$C$2:$C$1017))*ISNUMBER(SEARCH($A51,'Config Baseline'!$K$2:$K$1017))*ISERROR(SEARCH("(",'Config Baseline'!$B$2:$B$1017)))</f>
        <v>31</v>
      </c>
      <c r="T51" s="4" t="n">
        <f aca="false">SUMPRODUCT(ISNUMBER(SEARCH("("&amp;T$45&amp;")",'Config Baseline'!$C$2:$C$1017))*ISNUMBER(SEARCH($A51,'Config Baseline'!$K$2:$K$1017))*ISERROR(SEARCH("(",'Config Baseline'!$B$2:$B$1017)))</f>
        <v>16</v>
      </c>
      <c r="U51" s="4" t="n">
        <f aca="false">SUMPRODUCT(ISNUMBER(SEARCH("("&amp;U$45&amp;")",'Config Baseline'!$C$2:$C$1017))*ISNUMBER(SEARCH($A51,'Config Baseline'!$K$2:$K$1017))*ISERROR(SEARCH("(",'Config Baseline'!$B$2:$B$1017)))</f>
        <v>0</v>
      </c>
      <c r="V51" s="4" t="n">
        <f aca="false">SUM(B51:U51)</f>
        <v>113</v>
      </c>
    </row>
    <row r="52" customFormat="false" ht="17.25" hidden="false" customHeight="true" outlineLevel="0" collapsed="false">
      <c r="A52" s="4" t="s">
        <v>1716</v>
      </c>
      <c r="B52" s="4" t="n">
        <f aca="false">SUMPRODUCT(ISNUMBER(SEARCH("("&amp;B$45&amp;")",'Config Baseline'!$C$2:$C$1017))*ISNUMBER(SEARCH($A52,'Config Baseline'!$K$2:$K$1017))*ISERROR(SEARCH("(",'Config Baseline'!$B$2:$B$1017)))</f>
        <v>0</v>
      </c>
      <c r="C52" s="4" t="n">
        <f aca="false">SUMPRODUCT(ISNUMBER(SEARCH("("&amp;C$45&amp;")",'Config Baseline'!$C$2:$C$1017))*ISNUMBER(SEARCH($A52,'Config Baseline'!$K$2:$K$1017))*ISERROR(SEARCH("(",'Config Baseline'!$B$2:$B$1017)))</f>
        <v>0</v>
      </c>
      <c r="D52" s="4" t="n">
        <f aca="false">SUMPRODUCT(ISNUMBER(SEARCH("("&amp;D$45&amp;")",'Config Baseline'!$C$2:$C$1017))*ISNUMBER(SEARCH($A52,'Config Baseline'!$K$2:$K$1017))*ISERROR(SEARCH("(",'Config Baseline'!$B$2:$B$1017)))</f>
        <v>0</v>
      </c>
      <c r="E52" s="4" t="n">
        <f aca="false">SUMPRODUCT(ISNUMBER(SEARCH("("&amp;E$45&amp;")",'Config Baseline'!$C$2:$C$1017))*ISNUMBER(SEARCH($A52,'Config Baseline'!$K$2:$K$1017))*ISERROR(SEARCH("(",'Config Baseline'!$B$2:$B$1017)))</f>
        <v>0</v>
      </c>
      <c r="F52" s="4" t="n">
        <f aca="false">SUMPRODUCT(ISNUMBER(SEARCH("("&amp;F$45&amp;")",'Config Baseline'!$C$2:$C$1017))*ISNUMBER(SEARCH($A52,'Config Baseline'!$K$2:$K$1017))*ISERROR(SEARCH("(",'Config Baseline'!$B$2:$B$1017)))</f>
        <v>0</v>
      </c>
      <c r="G52" s="4" t="n">
        <f aca="false">SUMPRODUCT(ISNUMBER(SEARCH("("&amp;G$45&amp;")",'Config Baseline'!$C$2:$C$1017))*ISNUMBER(SEARCH($A52,'Config Baseline'!$K$2:$K$1017))*ISERROR(SEARCH("(",'Config Baseline'!$B$2:$B$1017)))</f>
        <v>6</v>
      </c>
      <c r="H52" s="4" t="n">
        <f aca="false">SUMPRODUCT(ISNUMBER(SEARCH("("&amp;H$45&amp;")",'Config Baseline'!$C$2:$C$1017))*ISNUMBER(SEARCH($A52,'Config Baseline'!$K$2:$K$1017))*ISERROR(SEARCH("(",'Config Baseline'!$B$2:$B$1017)))</f>
        <v>0</v>
      </c>
      <c r="I52" s="4" t="n">
        <f aca="false">SUMPRODUCT(ISNUMBER(SEARCH("("&amp;I$45&amp;")",'Config Baseline'!$C$2:$C$1017))*ISNUMBER(SEARCH($A52,'Config Baseline'!$K$2:$K$1017))*ISERROR(SEARCH("(",'Config Baseline'!$B$2:$B$1017)))</f>
        <v>0</v>
      </c>
      <c r="J52" s="4" t="n">
        <f aca="false">SUMPRODUCT(ISNUMBER(SEARCH("("&amp;J$45&amp;")",'Config Baseline'!$C$2:$C$1017))*ISNUMBER(SEARCH($A52,'Config Baseline'!$K$2:$K$1017))*ISERROR(SEARCH("(",'Config Baseline'!$B$2:$B$1017)))</f>
        <v>0</v>
      </c>
      <c r="K52" s="4" t="n">
        <f aca="false">SUMPRODUCT(ISNUMBER(SEARCH("("&amp;K$45&amp;")",'Config Baseline'!$C$2:$C$1017))*ISNUMBER(SEARCH($A52,'Config Baseline'!$K$2:$K$1017))*ISERROR(SEARCH("(",'Config Baseline'!$B$2:$B$1017)))</f>
        <v>0</v>
      </c>
      <c r="L52" s="4" t="n">
        <f aca="false">SUMPRODUCT(ISNUMBER(SEARCH("("&amp;L$45&amp;")",'Config Baseline'!$C$2:$C$1017))*ISNUMBER(SEARCH($A52,'Config Baseline'!$K$2:$K$1017))*ISERROR(SEARCH("(",'Config Baseline'!$B$2:$B$1017)))</f>
        <v>0</v>
      </c>
      <c r="M52" s="4" t="n">
        <f aca="false">SUMPRODUCT(ISNUMBER(SEARCH("("&amp;M$45&amp;")",'Config Baseline'!$C$2:$C$1017))*ISNUMBER(SEARCH($A52,'Config Baseline'!$K$2:$K$1017))*ISERROR(SEARCH("(",'Config Baseline'!$B$2:$B$1017)))</f>
        <v>0</v>
      </c>
      <c r="N52" s="4" t="n">
        <f aca="false">SUMPRODUCT(ISNUMBER(SEARCH("("&amp;N$45&amp;")",'Config Baseline'!$C$2:$C$1017))*ISNUMBER(SEARCH($A52,'Config Baseline'!$K$2:$K$1017))*ISERROR(SEARCH("(",'Config Baseline'!$B$2:$B$1017)))</f>
        <v>0</v>
      </c>
      <c r="O52" s="4" t="n">
        <f aca="false">SUMPRODUCT(ISNUMBER(SEARCH("("&amp;O$45&amp;")",'Config Baseline'!$C$2:$C$1017))*ISNUMBER(SEARCH($A52,'Config Baseline'!$K$2:$K$1017))*ISERROR(SEARCH("(",'Config Baseline'!$B$2:$B$1017)))</f>
        <v>0</v>
      </c>
      <c r="P52" s="4" t="n">
        <f aca="false">SUMPRODUCT(ISNUMBER(SEARCH("("&amp;P$45&amp;")",'Config Baseline'!$C$2:$C$1017))*ISNUMBER(SEARCH($A52,'Config Baseline'!$K$2:$K$1017))*ISERROR(SEARCH("(",'Config Baseline'!$B$2:$B$1017)))</f>
        <v>0</v>
      </c>
      <c r="Q52" s="4" t="n">
        <f aca="false">SUMPRODUCT(ISNUMBER(SEARCH("("&amp;Q$45&amp;")",'Config Baseline'!$C$2:$C$1017))*ISNUMBER(SEARCH($A52,'Config Baseline'!$K$2:$K$1017))*ISERROR(SEARCH("(",'Config Baseline'!$B$2:$B$1017)))</f>
        <v>0</v>
      </c>
      <c r="R52" s="4" t="n">
        <f aca="false">SUMPRODUCT(ISNUMBER(SEARCH("("&amp;R$45&amp;")",'Config Baseline'!$C$2:$C$1017))*ISNUMBER(SEARCH($A52,'Config Baseline'!$K$2:$K$1017))*ISERROR(SEARCH("(",'Config Baseline'!$B$2:$B$1017)))</f>
        <v>0</v>
      </c>
      <c r="S52" s="4" t="n">
        <f aca="false">SUMPRODUCT(ISNUMBER(SEARCH("("&amp;S$45&amp;")",'Config Baseline'!$C$2:$C$1017))*ISNUMBER(SEARCH($A52,'Config Baseline'!$K$2:$K$1017))*ISERROR(SEARCH("(",'Config Baseline'!$B$2:$B$1017)))</f>
        <v>0</v>
      </c>
      <c r="T52" s="4" t="n">
        <f aca="false">SUMPRODUCT(ISNUMBER(SEARCH("("&amp;T$45&amp;")",'Config Baseline'!$C$2:$C$1017))*ISNUMBER(SEARCH($A52,'Config Baseline'!$K$2:$K$1017))*ISERROR(SEARCH("(",'Config Baseline'!$B$2:$B$1017)))</f>
        <v>0</v>
      </c>
      <c r="U52" s="4" t="n">
        <f aca="false">SUMPRODUCT(ISNUMBER(SEARCH("("&amp;U$45&amp;")",'Config Baseline'!$C$2:$C$1017))*ISNUMBER(SEARCH($A52,'Config Baseline'!$K$2:$K$1017))*ISERROR(SEARCH("(",'Config Baseline'!$B$2:$B$1017)))</f>
        <v>0</v>
      </c>
      <c r="V52" s="4" t="n">
        <f aca="false">SUM(B52:U52)</f>
        <v>6</v>
      </c>
    </row>
    <row r="53" customFormat="false" ht="17.25" hidden="false" customHeight="true" outlineLevel="0" collapsed="false">
      <c r="A53" s="4" t="s">
        <v>169</v>
      </c>
      <c r="B53" s="4" t="n">
        <f aca="false">SUMPRODUCT(ISNUMBER(SEARCH("("&amp;B$45&amp;")",'Config Baseline'!$C$2:$C$1017))*ISNUMBER(SEARCH($A53,'Config Baseline'!$K$2:$K$1017))*ISERROR(SEARCH("(",'Config Baseline'!$B$2:$B$1017)))</f>
        <v>1</v>
      </c>
      <c r="C53" s="4" t="n">
        <f aca="false">SUMPRODUCT(ISNUMBER(SEARCH("("&amp;C$45&amp;")",'Config Baseline'!$C$2:$C$1017))*ISNUMBER(SEARCH($A53,'Config Baseline'!$K$2:$K$1017))*ISERROR(SEARCH("(",'Config Baseline'!$B$2:$B$1017)))</f>
        <v>5</v>
      </c>
      <c r="D53" s="4" t="n">
        <f aca="false">SUMPRODUCT(ISNUMBER(SEARCH("("&amp;D$45&amp;")",'Config Baseline'!$C$2:$C$1017))*ISNUMBER(SEARCH($A53,'Config Baseline'!$K$2:$K$1017))*ISERROR(SEARCH("(",'Config Baseline'!$B$2:$B$1017)))</f>
        <v>2</v>
      </c>
      <c r="E53" s="4" t="n">
        <f aca="false">SUMPRODUCT(ISNUMBER(SEARCH("("&amp;E$45&amp;")",'Config Baseline'!$C$2:$C$1017))*ISNUMBER(SEARCH($A53,'Config Baseline'!$K$2:$K$1017))*ISERROR(SEARCH("(",'Config Baseline'!$B$2:$B$1017)))</f>
        <v>5</v>
      </c>
      <c r="F53" s="4" t="n">
        <f aca="false">SUMPRODUCT(ISNUMBER(SEARCH("("&amp;F$45&amp;")",'Config Baseline'!$C$2:$C$1017))*ISNUMBER(SEARCH($A53,'Config Baseline'!$K$2:$K$1017))*ISERROR(SEARCH("(",'Config Baseline'!$B$2:$B$1017)))</f>
        <v>1</v>
      </c>
      <c r="G53" s="4" t="n">
        <f aca="false">SUMPRODUCT(ISNUMBER(SEARCH("("&amp;G$45&amp;")",'Config Baseline'!$C$2:$C$1017))*ISNUMBER(SEARCH($A53,'Config Baseline'!$K$2:$K$1017))*ISERROR(SEARCH("(",'Config Baseline'!$B$2:$B$1017)))</f>
        <v>1</v>
      </c>
      <c r="H53" s="4" t="n">
        <f aca="false">SUMPRODUCT(ISNUMBER(SEARCH("("&amp;H$45&amp;")",'Config Baseline'!$C$2:$C$1017))*ISNUMBER(SEARCH($A53,'Config Baseline'!$K$2:$K$1017))*ISERROR(SEARCH("(",'Config Baseline'!$B$2:$B$1017)))</f>
        <v>1</v>
      </c>
      <c r="I53" s="4" t="n">
        <f aca="false">SUMPRODUCT(ISNUMBER(SEARCH("("&amp;I$45&amp;")",'Config Baseline'!$C$2:$C$1017))*ISNUMBER(SEARCH($A53,'Config Baseline'!$K$2:$K$1017))*ISERROR(SEARCH("(",'Config Baseline'!$B$2:$B$1017)))</f>
        <v>8</v>
      </c>
      <c r="J53" s="4" t="n">
        <f aca="false">SUMPRODUCT(ISNUMBER(SEARCH("("&amp;J$45&amp;")",'Config Baseline'!$C$2:$C$1017))*ISNUMBER(SEARCH($A53,'Config Baseline'!$K$2:$K$1017))*ISERROR(SEARCH("(",'Config Baseline'!$B$2:$B$1017)))</f>
        <v>1</v>
      </c>
      <c r="K53" s="4" t="n">
        <f aca="false">SUMPRODUCT(ISNUMBER(SEARCH("("&amp;K$45&amp;")",'Config Baseline'!$C$2:$C$1017))*ISNUMBER(SEARCH($A53,'Config Baseline'!$K$2:$K$1017))*ISERROR(SEARCH("(",'Config Baseline'!$B$2:$B$1017)))</f>
        <v>0</v>
      </c>
      <c r="L53" s="4" t="n">
        <f aca="false">SUMPRODUCT(ISNUMBER(SEARCH("("&amp;L$45&amp;")",'Config Baseline'!$C$2:$C$1017))*ISNUMBER(SEARCH($A53,'Config Baseline'!$K$2:$K$1017))*ISERROR(SEARCH("(",'Config Baseline'!$B$2:$B$1017)))</f>
        <v>1</v>
      </c>
      <c r="M53" s="4" t="n">
        <f aca="false">SUMPRODUCT(ISNUMBER(SEARCH("("&amp;M$45&amp;")",'Config Baseline'!$C$2:$C$1017))*ISNUMBER(SEARCH($A53,'Config Baseline'!$K$2:$K$1017))*ISERROR(SEARCH("(",'Config Baseline'!$B$2:$B$1017)))</f>
        <v>6</v>
      </c>
      <c r="N53" s="4" t="n">
        <f aca="false">SUMPRODUCT(ISNUMBER(SEARCH("("&amp;N$45&amp;")",'Config Baseline'!$C$2:$C$1017))*ISNUMBER(SEARCH($A53,'Config Baseline'!$K$2:$K$1017))*ISERROR(SEARCH("(",'Config Baseline'!$B$2:$B$1017)))</f>
        <v>32</v>
      </c>
      <c r="O53" s="4" t="n">
        <f aca="false">SUMPRODUCT(ISNUMBER(SEARCH("("&amp;O$45&amp;")",'Config Baseline'!$C$2:$C$1017))*ISNUMBER(SEARCH($A53,'Config Baseline'!$K$2:$K$1017))*ISERROR(SEARCH("(",'Config Baseline'!$B$2:$B$1017)))</f>
        <v>7</v>
      </c>
      <c r="P53" s="4" t="n">
        <f aca="false">SUMPRODUCT(ISNUMBER(SEARCH("("&amp;P$45&amp;")",'Config Baseline'!$C$2:$C$1017))*ISNUMBER(SEARCH($A53,'Config Baseline'!$K$2:$K$1017))*ISERROR(SEARCH("(",'Config Baseline'!$B$2:$B$1017)))</f>
        <v>8</v>
      </c>
      <c r="Q53" s="4" t="n">
        <f aca="false">SUMPRODUCT(ISNUMBER(SEARCH("("&amp;Q$45&amp;")",'Config Baseline'!$C$2:$C$1017))*ISNUMBER(SEARCH($A53,'Config Baseline'!$K$2:$K$1017))*ISERROR(SEARCH("(",'Config Baseline'!$B$2:$B$1017)))</f>
        <v>7</v>
      </c>
      <c r="R53" s="4" t="n">
        <f aca="false">SUMPRODUCT(ISNUMBER(SEARCH("("&amp;R$45&amp;")",'Config Baseline'!$C$2:$C$1017))*ISNUMBER(SEARCH($A53,'Config Baseline'!$K$2:$K$1017))*ISERROR(SEARCH("(",'Config Baseline'!$B$2:$B$1017)))</f>
        <v>1</v>
      </c>
      <c r="S53" s="4" t="n">
        <f aca="false">SUMPRODUCT(ISNUMBER(SEARCH("("&amp;S$45&amp;")",'Config Baseline'!$C$2:$C$1017))*ISNUMBER(SEARCH($A53,'Config Baseline'!$K$2:$K$1017))*ISERROR(SEARCH("(",'Config Baseline'!$B$2:$B$1017)))</f>
        <v>1</v>
      </c>
      <c r="T53" s="4" t="n">
        <f aca="false">SUMPRODUCT(ISNUMBER(SEARCH("("&amp;T$45&amp;")",'Config Baseline'!$C$2:$C$1017))*ISNUMBER(SEARCH($A53,'Config Baseline'!$K$2:$K$1017))*ISERROR(SEARCH("(",'Config Baseline'!$B$2:$B$1017)))</f>
        <v>2</v>
      </c>
      <c r="U53" s="4" t="n">
        <f aca="false">SUMPRODUCT(ISNUMBER(SEARCH("("&amp;U$45&amp;")",'Config Baseline'!$C$2:$C$1017))*ISNUMBER(SEARCH($A53,'Config Baseline'!$K$2:$K$1017))*ISERROR(SEARCH("(",'Config Baseline'!$B$2:$B$1017)))</f>
        <v>1</v>
      </c>
      <c r="V53" s="4" t="n">
        <f aca="false">SUM(B53:U53)</f>
        <v>91</v>
      </c>
    </row>
    <row r="54" customFormat="false" ht="17.25" hidden="false" customHeight="true" outlineLevel="0" collapsed="false">
      <c r="A54" s="4" t="s">
        <v>2451</v>
      </c>
      <c r="B54" s="4" t="n">
        <f aca="false">SUMPRODUCT(ISNUMBER(SEARCH("("&amp;B$45&amp;")",'Config Baseline'!$C$2:$C$1017))*ISNUMBER(SEARCH($A54,'Config Baseline'!$K$2:$K$1017))*ISERROR(SEARCH("(",'Config Baseline'!$B$2:$B$1017)))</f>
        <v>0</v>
      </c>
      <c r="C54" s="4" t="n">
        <f aca="false">SUMPRODUCT(ISNUMBER(SEARCH("("&amp;C$45&amp;")",'Config Baseline'!$C$2:$C$1017))*ISNUMBER(SEARCH($A54,'Config Baseline'!$K$2:$K$1017))*ISERROR(SEARCH("(",'Config Baseline'!$B$2:$B$1017)))</f>
        <v>0</v>
      </c>
      <c r="D54" s="4" t="n">
        <f aca="false">SUMPRODUCT(ISNUMBER(SEARCH("("&amp;D$45&amp;")",'Config Baseline'!$C$2:$C$1017))*ISNUMBER(SEARCH($A54,'Config Baseline'!$K$2:$K$1017))*ISERROR(SEARCH("(",'Config Baseline'!$B$2:$B$1017)))</f>
        <v>0</v>
      </c>
      <c r="E54" s="4" t="n">
        <f aca="false">SUMPRODUCT(ISNUMBER(SEARCH("("&amp;E$45&amp;")",'Config Baseline'!$C$2:$C$1017))*ISNUMBER(SEARCH($A54,'Config Baseline'!$K$2:$K$1017))*ISERROR(SEARCH("(",'Config Baseline'!$B$2:$B$1017)))</f>
        <v>0</v>
      </c>
      <c r="F54" s="4" t="n">
        <f aca="false">SUMPRODUCT(ISNUMBER(SEARCH("("&amp;F$45&amp;")",'Config Baseline'!$C$2:$C$1017))*ISNUMBER(SEARCH($A54,'Config Baseline'!$K$2:$K$1017))*ISERROR(SEARCH("(",'Config Baseline'!$B$2:$B$1017)))</f>
        <v>0</v>
      </c>
      <c r="G54" s="4" t="n">
        <f aca="false">SUMPRODUCT(ISNUMBER(SEARCH("("&amp;G$45&amp;")",'Config Baseline'!$C$2:$C$1017))*ISNUMBER(SEARCH($A54,'Config Baseline'!$K$2:$K$1017))*ISERROR(SEARCH("(",'Config Baseline'!$B$2:$B$1017)))</f>
        <v>0</v>
      </c>
      <c r="H54" s="4" t="n">
        <f aca="false">SUMPRODUCT(ISNUMBER(SEARCH("("&amp;H$45&amp;")",'Config Baseline'!$C$2:$C$1017))*ISNUMBER(SEARCH($A54,'Config Baseline'!$K$2:$K$1017))*ISERROR(SEARCH("(",'Config Baseline'!$B$2:$B$1017)))</f>
        <v>0</v>
      </c>
      <c r="I54" s="4" t="n">
        <f aca="false">SUMPRODUCT(ISNUMBER(SEARCH("("&amp;I$45&amp;")",'Config Baseline'!$C$2:$C$1017))*ISNUMBER(SEARCH($A54,'Config Baseline'!$K$2:$K$1017))*ISERROR(SEARCH("(",'Config Baseline'!$B$2:$B$1017)))</f>
        <v>0</v>
      </c>
      <c r="J54" s="4" t="n">
        <f aca="false">SUMPRODUCT(ISNUMBER(SEARCH("("&amp;J$45&amp;")",'Config Baseline'!$C$2:$C$1017))*ISNUMBER(SEARCH($A54,'Config Baseline'!$K$2:$K$1017))*ISERROR(SEARCH("(",'Config Baseline'!$B$2:$B$1017)))</f>
        <v>6</v>
      </c>
      <c r="K54" s="4" t="n">
        <f aca="false">SUMPRODUCT(ISNUMBER(SEARCH("("&amp;K$45&amp;")",'Config Baseline'!$C$2:$C$1017))*ISNUMBER(SEARCH($A54,'Config Baseline'!$K$2:$K$1017))*ISERROR(SEARCH("(",'Config Baseline'!$B$2:$B$1017)))</f>
        <v>8</v>
      </c>
      <c r="L54" s="4" t="n">
        <f aca="false">SUMPRODUCT(ISNUMBER(SEARCH("("&amp;L$45&amp;")",'Config Baseline'!$C$2:$C$1017))*ISNUMBER(SEARCH($A54,'Config Baseline'!$K$2:$K$1017))*ISERROR(SEARCH("(",'Config Baseline'!$B$2:$B$1017)))</f>
        <v>21</v>
      </c>
      <c r="M54" s="4" t="n">
        <f aca="false">SUMPRODUCT(ISNUMBER(SEARCH("("&amp;M$45&amp;")",'Config Baseline'!$C$2:$C$1017))*ISNUMBER(SEARCH($A54,'Config Baseline'!$K$2:$K$1017))*ISERROR(SEARCH("(",'Config Baseline'!$B$2:$B$1017)))</f>
        <v>0</v>
      </c>
      <c r="N54" s="4" t="n">
        <f aca="false">SUMPRODUCT(ISNUMBER(SEARCH("("&amp;N$45&amp;")",'Config Baseline'!$C$2:$C$1017))*ISNUMBER(SEARCH($A54,'Config Baseline'!$K$2:$K$1017))*ISERROR(SEARCH("(",'Config Baseline'!$B$2:$B$1017)))</f>
        <v>0</v>
      </c>
      <c r="O54" s="4" t="n">
        <f aca="false">SUMPRODUCT(ISNUMBER(SEARCH("("&amp;O$45&amp;")",'Config Baseline'!$C$2:$C$1017))*ISNUMBER(SEARCH($A54,'Config Baseline'!$K$2:$K$1017))*ISERROR(SEARCH("(",'Config Baseline'!$B$2:$B$1017)))</f>
        <v>0</v>
      </c>
      <c r="P54" s="4" t="n">
        <f aca="false">SUMPRODUCT(ISNUMBER(SEARCH("("&amp;P$45&amp;")",'Config Baseline'!$C$2:$C$1017))*ISNUMBER(SEARCH($A54,'Config Baseline'!$K$2:$K$1017))*ISERROR(SEARCH("(",'Config Baseline'!$B$2:$B$1017)))</f>
        <v>0</v>
      </c>
      <c r="Q54" s="4" t="n">
        <f aca="false">SUMPRODUCT(ISNUMBER(SEARCH("("&amp;Q$45&amp;")",'Config Baseline'!$C$2:$C$1017))*ISNUMBER(SEARCH($A54,'Config Baseline'!$K$2:$K$1017))*ISERROR(SEARCH("(",'Config Baseline'!$B$2:$B$1017)))</f>
        <v>0</v>
      </c>
      <c r="R54" s="4" t="n">
        <f aca="false">SUMPRODUCT(ISNUMBER(SEARCH("("&amp;R$45&amp;")",'Config Baseline'!$C$2:$C$1017))*ISNUMBER(SEARCH($A54,'Config Baseline'!$K$2:$K$1017))*ISERROR(SEARCH("(",'Config Baseline'!$B$2:$B$1017)))</f>
        <v>0</v>
      </c>
      <c r="S54" s="4" t="n">
        <f aca="false">SUMPRODUCT(ISNUMBER(SEARCH("("&amp;S$45&amp;")",'Config Baseline'!$C$2:$C$1017))*ISNUMBER(SEARCH($A54,'Config Baseline'!$K$2:$K$1017))*ISERROR(SEARCH("(",'Config Baseline'!$B$2:$B$1017)))</f>
        <v>0</v>
      </c>
      <c r="T54" s="4" t="n">
        <f aca="false">SUMPRODUCT(ISNUMBER(SEARCH("("&amp;T$45&amp;")",'Config Baseline'!$C$2:$C$1017))*ISNUMBER(SEARCH($A54,'Config Baseline'!$K$2:$K$1017))*ISERROR(SEARCH("(",'Config Baseline'!$B$2:$B$1017)))</f>
        <v>0</v>
      </c>
      <c r="U54" s="4" t="n">
        <f aca="false">SUMPRODUCT(ISNUMBER(SEARCH("("&amp;U$45&amp;")",'Config Baseline'!$C$2:$C$1017))*ISNUMBER(SEARCH($A54,'Config Baseline'!$K$2:$K$1017))*ISERROR(SEARCH("(",'Config Baseline'!$B$2:$B$1017)))</f>
        <v>3</v>
      </c>
      <c r="V54" s="4" t="n">
        <f aca="false">SUM(B54:U54)</f>
        <v>38</v>
      </c>
    </row>
    <row r="55" customFormat="false" ht="17.25" hidden="false" customHeight="true" outlineLevel="0" collapsed="false">
      <c r="A55" s="4" t="s">
        <v>5345</v>
      </c>
      <c r="B55" s="4" t="n">
        <f aca="false">SUMPRODUCT(ISNUMBER(SEARCH("("&amp;B$45&amp;")",'Config Baseline'!$C$2:$C$1017))*ISNUMBER(SEARCH($A55,'Config Baseline'!$K$2:$K$1017))*ISERROR(SEARCH("(",'Config Baseline'!$B$2:$B$1017)))</f>
        <v>0</v>
      </c>
      <c r="C55" s="4" t="n">
        <f aca="false">SUMPRODUCT(ISNUMBER(SEARCH("("&amp;C$45&amp;")",'Config Baseline'!$C$2:$C$1017))*ISNUMBER(SEARCH($A55,'Config Baseline'!$K$2:$K$1017))*ISERROR(SEARCH("(",'Config Baseline'!$B$2:$B$1017)))</f>
        <v>0</v>
      </c>
      <c r="D55" s="4" t="n">
        <f aca="false">SUMPRODUCT(ISNUMBER(SEARCH("("&amp;D$45&amp;")",'Config Baseline'!$C$2:$C$1017))*ISNUMBER(SEARCH($A55,'Config Baseline'!$K$2:$K$1017))*ISERROR(SEARCH("(",'Config Baseline'!$B$2:$B$1017)))</f>
        <v>0</v>
      </c>
      <c r="E55" s="4" t="n">
        <f aca="false">SUMPRODUCT(ISNUMBER(SEARCH("("&amp;E$45&amp;")",'Config Baseline'!$C$2:$C$1017))*ISNUMBER(SEARCH($A55,'Config Baseline'!$K$2:$K$1017))*ISERROR(SEARCH("(",'Config Baseline'!$B$2:$B$1017)))</f>
        <v>0</v>
      </c>
      <c r="F55" s="4" t="n">
        <f aca="false">SUMPRODUCT(ISNUMBER(SEARCH("("&amp;F$45&amp;")",'Config Baseline'!$C$2:$C$1017))*ISNUMBER(SEARCH($A55,'Config Baseline'!$K$2:$K$1017))*ISERROR(SEARCH("(",'Config Baseline'!$B$2:$B$1017)))</f>
        <v>0</v>
      </c>
      <c r="G55" s="4" t="n">
        <f aca="false">SUMPRODUCT(ISNUMBER(SEARCH("("&amp;G$45&amp;")",'Config Baseline'!$C$2:$C$1017))*ISNUMBER(SEARCH($A55,'Config Baseline'!$K$2:$K$1017))*ISERROR(SEARCH("(",'Config Baseline'!$B$2:$B$1017)))</f>
        <v>0</v>
      </c>
      <c r="H55" s="4" t="n">
        <f aca="false">SUMPRODUCT(ISNUMBER(SEARCH("("&amp;H$45&amp;")",'Config Baseline'!$C$2:$C$1017))*ISNUMBER(SEARCH($A55,'Config Baseline'!$K$2:$K$1017))*ISERROR(SEARCH("(",'Config Baseline'!$B$2:$B$1017)))</f>
        <v>0</v>
      </c>
      <c r="I55" s="4" t="n">
        <f aca="false">SUMPRODUCT(ISNUMBER(SEARCH("("&amp;I$45&amp;")",'Config Baseline'!$C$2:$C$1017))*ISNUMBER(SEARCH($A55,'Config Baseline'!$K$2:$K$1017))*ISERROR(SEARCH("(",'Config Baseline'!$B$2:$B$1017)))</f>
        <v>0</v>
      </c>
      <c r="J55" s="4" t="n">
        <f aca="false">SUMPRODUCT(ISNUMBER(SEARCH("("&amp;J$45&amp;")",'Config Baseline'!$C$2:$C$1017))*ISNUMBER(SEARCH($A55,'Config Baseline'!$K$2:$K$1017))*ISERROR(SEARCH("(",'Config Baseline'!$B$2:$B$1017)))</f>
        <v>0</v>
      </c>
      <c r="K55" s="4" t="n">
        <f aca="false">SUMPRODUCT(ISNUMBER(SEARCH("("&amp;K$45&amp;")",'Config Baseline'!$C$2:$C$1017))*ISNUMBER(SEARCH($A55,'Config Baseline'!$K$2:$K$1017))*ISERROR(SEARCH("(",'Config Baseline'!$B$2:$B$1017)))</f>
        <v>0</v>
      </c>
      <c r="L55" s="4" t="n">
        <f aca="false">SUMPRODUCT(ISNUMBER(SEARCH("("&amp;L$45&amp;")",'Config Baseline'!$C$2:$C$1017))*ISNUMBER(SEARCH($A55,'Config Baseline'!$K$2:$K$1017))*ISERROR(SEARCH("(",'Config Baseline'!$B$2:$B$1017)))</f>
        <v>0</v>
      </c>
      <c r="M55" s="4" t="n">
        <f aca="false">SUMPRODUCT(ISNUMBER(SEARCH("("&amp;M$45&amp;")",'Config Baseline'!$C$2:$C$1017))*ISNUMBER(SEARCH($A55,'Config Baseline'!$K$2:$K$1017))*ISERROR(SEARCH("(",'Config Baseline'!$B$2:$B$1017)))</f>
        <v>0</v>
      </c>
      <c r="N55" s="4" t="n">
        <f aca="false">SUMPRODUCT(ISNUMBER(SEARCH("("&amp;N$45&amp;")",'Config Baseline'!$C$2:$C$1017))*ISNUMBER(SEARCH($A55,'Config Baseline'!$K$2:$K$1017))*ISERROR(SEARCH("(",'Config Baseline'!$B$2:$B$1017)))</f>
        <v>0</v>
      </c>
      <c r="O55" s="4" t="n">
        <f aca="false">SUMPRODUCT(ISNUMBER(SEARCH("("&amp;O$45&amp;")",'Config Baseline'!$C$2:$C$1017))*ISNUMBER(SEARCH($A55,'Config Baseline'!$K$2:$K$1017))*ISERROR(SEARCH("(",'Config Baseline'!$B$2:$B$1017)))</f>
        <v>0</v>
      </c>
      <c r="P55" s="4" t="n">
        <f aca="false">SUMPRODUCT(ISNUMBER(SEARCH("("&amp;P$45&amp;")",'Config Baseline'!$C$2:$C$1017))*ISNUMBER(SEARCH($A55,'Config Baseline'!$K$2:$K$1017))*ISERROR(SEARCH("(",'Config Baseline'!$B$2:$B$1017)))</f>
        <v>0</v>
      </c>
      <c r="Q55" s="4" t="n">
        <f aca="false">SUMPRODUCT(ISNUMBER(SEARCH("("&amp;Q$45&amp;")",'Config Baseline'!$C$2:$C$1017))*ISNUMBER(SEARCH($A55,'Config Baseline'!$K$2:$K$1017))*ISERROR(SEARCH("(",'Config Baseline'!$B$2:$B$1017)))</f>
        <v>0</v>
      </c>
      <c r="R55" s="4" t="n">
        <f aca="false">SUMPRODUCT(ISNUMBER(SEARCH("("&amp;R$45&amp;")",'Config Baseline'!$C$2:$C$1017))*ISNUMBER(SEARCH($A55,'Config Baseline'!$K$2:$K$1017))*ISERROR(SEARCH("(",'Config Baseline'!$B$2:$B$1017)))</f>
        <v>1</v>
      </c>
      <c r="S55" s="4" t="n">
        <f aca="false">SUMPRODUCT(ISNUMBER(SEARCH("("&amp;S$45&amp;")",'Config Baseline'!$C$2:$C$1017))*ISNUMBER(SEARCH($A55,'Config Baseline'!$K$2:$K$1017))*ISERROR(SEARCH("(",'Config Baseline'!$B$2:$B$1017)))</f>
        <v>0</v>
      </c>
      <c r="T55" s="4" t="n">
        <f aca="false">SUMPRODUCT(ISNUMBER(SEARCH("("&amp;T$45&amp;")",'Config Baseline'!$C$2:$C$1017))*ISNUMBER(SEARCH($A55,'Config Baseline'!$K$2:$K$1017))*ISERROR(SEARCH("(",'Config Baseline'!$B$2:$B$1017)))</f>
        <v>0</v>
      </c>
      <c r="U55" s="4" t="n">
        <f aca="false">SUMPRODUCT(ISNUMBER(SEARCH("("&amp;U$45&amp;")",'Config Baseline'!$C$2:$C$1017))*ISNUMBER(SEARCH($A55,'Config Baseline'!$K$2:$K$1017))*ISERROR(SEARCH("(",'Config Baseline'!$B$2:$B$1017)))</f>
        <v>9</v>
      </c>
      <c r="V55" s="4" t="n">
        <f aca="false">SUM(B55:U55)</f>
        <v>10</v>
      </c>
    </row>
  </sheetData>
  <mergeCells count="11">
    <mergeCell ref="B17:J17"/>
    <mergeCell ref="B18:J18"/>
    <mergeCell ref="B19:J19"/>
    <mergeCell ref="B20:J20"/>
    <mergeCell ref="B21:J21"/>
    <mergeCell ref="B22:J22"/>
    <mergeCell ref="B23:J23"/>
    <mergeCell ref="B24:J24"/>
    <mergeCell ref="B25:J25"/>
    <mergeCell ref="B26:J26"/>
    <mergeCell ref="B27:J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4" min="3" style="1" width="18"/>
    <col collapsed="false" customWidth="true" hidden="false" outlineLevel="0" max="7" min="5" style="1" width="12"/>
    <col collapsed="false" customWidth="true" hidden="false" outlineLevel="0" max="10" min="8" style="1" width="20"/>
  </cols>
  <sheetData>
    <row r="1" customFormat="false" ht="31.5" hidden="false" customHeight="true" outlineLevel="0" collapsed="false">
      <c r="A1" s="2" t="s">
        <v>5486</v>
      </c>
      <c r="B1" s="2"/>
      <c r="C1" s="2"/>
      <c r="D1" s="2"/>
      <c r="E1" s="2"/>
      <c r="F1" s="2"/>
      <c r="G1" s="2"/>
      <c r="H1" s="2"/>
      <c r="I1" s="2"/>
      <c r="J1" s="2"/>
    </row>
    <row r="2" customFormat="false" ht="99.75" hidden="false" customHeight="true" outlineLevel="0" collapsed="false">
      <c r="A2" s="3" t="s">
        <v>5487</v>
      </c>
      <c r="B2" s="3"/>
      <c r="C2" s="3"/>
      <c r="D2" s="3"/>
      <c r="E2" s="3"/>
      <c r="F2" s="3"/>
      <c r="G2" s="3"/>
      <c r="H2" s="3"/>
      <c r="I2" s="3"/>
      <c r="J2" s="3"/>
    </row>
    <row r="3" customFormat="false" ht="17.25" hidden="false" customHeight="true" outlineLevel="0" collapsed="false"/>
    <row r="4" customFormat="false" ht="57" hidden="false" customHeight="true" outlineLevel="0" collapsed="false">
      <c r="A4" s="8" t="s">
        <v>5488</v>
      </c>
      <c r="B4" s="8" t="s">
        <v>5489</v>
      </c>
      <c r="C4" s="8" t="s">
        <v>5490</v>
      </c>
      <c r="D4" s="8" t="s">
        <v>5491</v>
      </c>
      <c r="E4" s="8" t="s">
        <v>132</v>
      </c>
      <c r="F4" s="8" t="s">
        <v>138</v>
      </c>
      <c r="G4" s="8" t="s">
        <v>144</v>
      </c>
      <c r="H4" s="8" t="s">
        <v>5492</v>
      </c>
      <c r="I4" s="8" t="s">
        <v>5493</v>
      </c>
      <c r="J4" s="8" t="s">
        <v>5494</v>
      </c>
    </row>
    <row r="5" customFormat="false" ht="24" hidden="false" customHeight="true" outlineLevel="0" collapsed="false">
      <c r="A5" s="7" t="s">
        <v>724</v>
      </c>
      <c r="B5" s="7" t="s">
        <v>5495</v>
      </c>
      <c r="C5" s="20" t="n">
        <f aca="false">COUNTIF('Network Config Baseline'!$B$15:$B$22,"&gt;0")</f>
        <v>8</v>
      </c>
      <c r="D5" s="20" t="n">
        <f aca="false">COUNTA('Network Config Baseline'!$B$26:$B$95)</f>
        <v>70</v>
      </c>
      <c r="E5" s="20" t="n">
        <f aca="false">COUNTIF('Network Config Baseline'!$I$26:$I$95,"Level 1*")</f>
        <v>43</v>
      </c>
      <c r="F5" s="20" t="n">
        <f aca="false">COUNTIF('Network Config Baseline'!$I$26:$I$95,"Level 2*")</f>
        <v>27</v>
      </c>
      <c r="G5" s="20" t="n">
        <f aca="false">COUNTIF('Network Config Baseline'!$I$26:$I$95,"Level 3*")</f>
        <v>0</v>
      </c>
      <c r="H5" s="20" t="n">
        <f aca="false">'Domain Summary'!B4</f>
        <v>14</v>
      </c>
      <c r="I5" s="20" t="n">
        <f aca="false">'Domain Summary'!D4</f>
        <v>413</v>
      </c>
      <c r="J5" s="21" t="n">
        <f aca="false">IF(I5=0,0,D5/I5)</f>
        <v>0.169491525423729</v>
      </c>
    </row>
    <row r="6" customFormat="false" ht="24" hidden="false" customHeight="true" outlineLevel="0" collapsed="false">
      <c r="A6" s="7" t="s">
        <v>5300</v>
      </c>
      <c r="B6" s="7" t="s">
        <v>5496</v>
      </c>
      <c r="C6" s="20" t="n">
        <f aca="false">COUNTIF('Cloud Config Baseline'!$B$16:$B$26,"&gt;0")</f>
        <v>11</v>
      </c>
      <c r="D6" s="20" t="n">
        <f aca="false">COUNTA('Cloud Config Baseline'!$B$30:$B$313)</f>
        <v>284</v>
      </c>
      <c r="E6" s="20" t="n">
        <f aca="false">COUNTIF('Cloud Config Baseline'!$I$30:$I$313,"Level 1*")</f>
        <v>69</v>
      </c>
      <c r="F6" s="20" t="n">
        <f aca="false">COUNTIF('Cloud Config Baseline'!$I$30:$I$313,"Level 2*")</f>
        <v>121</v>
      </c>
      <c r="G6" s="20" t="n">
        <f aca="false">COUNTIF('Cloud Config Baseline'!$I$30:$I$313,"Level 3*")</f>
        <v>94</v>
      </c>
      <c r="H6" s="20" t="n">
        <f aca="false">'Domain Summary'!B5</f>
        <v>15</v>
      </c>
      <c r="I6" s="20" t="n">
        <f aca="false">'Domain Summary'!D5</f>
        <v>596</v>
      </c>
      <c r="J6" s="21" t="n">
        <f aca="false">IF(I6=0,0,D6/I6)</f>
        <v>0.476510067114094</v>
      </c>
    </row>
    <row r="7" customFormat="false" ht="24" hidden="false" customHeight="true" outlineLevel="0" collapsed="false">
      <c r="A7" s="7" t="s">
        <v>2176</v>
      </c>
      <c r="B7" s="7" t="s">
        <v>5497</v>
      </c>
      <c r="C7" s="20" t="n">
        <f aca="false">COUNTIF('Identity Config Baseline'!$B$15:$B$17,"&gt;0")</f>
        <v>3</v>
      </c>
      <c r="D7" s="20" t="n">
        <f aca="false">COUNTA('Identity Config Baseline'!$B$21:$B$68)</f>
        <v>48</v>
      </c>
      <c r="E7" s="20" t="n">
        <f aca="false">COUNTIF('Identity Config Baseline'!$I$21:$I$68,"Level 1*")</f>
        <v>14</v>
      </c>
      <c r="F7" s="20" t="n">
        <f aca="false">COUNTIF('Identity Config Baseline'!$I$21:$I$68,"Level 2*")</f>
        <v>34</v>
      </c>
      <c r="G7" s="20" t="n">
        <f aca="false">COUNTIF('Identity Config Baseline'!$I$21:$I$68,"Level 3*")</f>
        <v>0</v>
      </c>
      <c r="H7" s="20" t="n">
        <f aca="false">'Domain Summary'!B6</f>
        <v>3</v>
      </c>
      <c r="I7" s="20" t="n">
        <f aca="false">'Domain Summary'!D6</f>
        <v>119</v>
      </c>
      <c r="J7" s="21" t="n">
        <f aca="false">IF(I7=0,0,D7/I7)</f>
        <v>0.403361344537815</v>
      </c>
    </row>
    <row r="8" customFormat="false" ht="24" hidden="false" customHeight="true" outlineLevel="0" collapsed="false">
      <c r="A8" s="7" t="s">
        <v>1173</v>
      </c>
      <c r="B8" s="7" t="s">
        <v>5498</v>
      </c>
      <c r="C8" s="20" t="n">
        <f aca="false">COUNTIF('Monitoring Config Baseline'!$B$15:$B$19,"&gt;0")</f>
        <v>5</v>
      </c>
      <c r="D8" s="20" t="n">
        <f aca="false">COUNTA('Monitoring Config Baseline'!$B$23:$B$58)</f>
        <v>36</v>
      </c>
      <c r="E8" s="20" t="n">
        <f aca="false">COUNTIF('Monitoring Config Baseline'!$I$23:$I$58,"Level 1*")</f>
        <v>14</v>
      </c>
      <c r="F8" s="20" t="n">
        <f aca="false">COUNTIF('Monitoring Config Baseline'!$I$23:$I$58,"Level 2*")</f>
        <v>22</v>
      </c>
      <c r="G8" s="20" t="n">
        <f aca="false">COUNTIF('Monitoring Config Baseline'!$I$23:$I$58,"Level 3*")</f>
        <v>0</v>
      </c>
      <c r="H8" s="20" t="n">
        <f aca="false">'Domain Summary'!B7</f>
        <v>6</v>
      </c>
      <c r="I8" s="20" t="n">
        <f aca="false">'Domain Summary'!D7</f>
        <v>100</v>
      </c>
      <c r="J8" s="21" t="n">
        <f aca="false">IF(I8=0,0,D8/I8)</f>
        <v>0.36</v>
      </c>
    </row>
    <row r="9" customFormat="false" ht="24" hidden="false" customHeight="true" outlineLevel="0" collapsed="false">
      <c r="A9" s="7" t="s">
        <v>814</v>
      </c>
      <c r="B9" s="7" t="s">
        <v>5499</v>
      </c>
      <c r="C9" s="20" t="n">
        <f aca="false">COUNTIF('Database Config Baseline'!$B$15:$B$21,"&gt;0")</f>
        <v>7</v>
      </c>
      <c r="D9" s="20" t="n">
        <f aca="false">COUNTA('Database Config Baseline'!$B$25:$B$66)</f>
        <v>42</v>
      </c>
      <c r="E9" s="20" t="n">
        <f aca="false">COUNTIF('Database Config Baseline'!$I$25:$I$66,"Level 1*")</f>
        <v>21</v>
      </c>
      <c r="F9" s="20" t="n">
        <f aca="false">COUNTIF('Database Config Baseline'!$I$25:$I$66,"Level 2*")</f>
        <v>21</v>
      </c>
      <c r="G9" s="20" t="n">
        <f aca="false">COUNTIF('Database Config Baseline'!$I$25:$I$66,"Level 3*")</f>
        <v>0</v>
      </c>
      <c r="H9" s="20" t="n">
        <f aca="false">'Domain Summary'!B8</f>
        <v>7</v>
      </c>
      <c r="I9" s="20" t="n">
        <f aca="false">'Domain Summary'!D8</f>
        <v>115</v>
      </c>
      <c r="J9" s="21" t="n">
        <f aca="false">IF(I9=0,0,D9/I9)</f>
        <v>0.365217391304348</v>
      </c>
    </row>
    <row r="10" customFormat="false" ht="24" hidden="false" customHeight="true" outlineLevel="0" collapsed="false">
      <c r="A10" s="7" t="s">
        <v>603</v>
      </c>
      <c r="B10" s="7" t="s">
        <v>5500</v>
      </c>
      <c r="C10" s="20" t="n">
        <f aca="false">COUNTIF('Application Config Baseline'!$B$15:$B$24,"&gt;0")</f>
        <v>10</v>
      </c>
      <c r="D10" s="20" t="n">
        <f aca="false">COUNTA('Application Config Baseline'!$B$28:$B$117)</f>
        <v>90</v>
      </c>
      <c r="E10" s="20" t="n">
        <f aca="false">COUNTIF('Application Config Baseline'!$I$28:$I$117,"Level 1*")</f>
        <v>39</v>
      </c>
      <c r="F10" s="20" t="n">
        <f aca="false">COUNTIF('Application Config Baseline'!$I$28:$I$117,"Level 2*")</f>
        <v>34</v>
      </c>
      <c r="G10" s="20" t="n">
        <f aca="false">COUNTIF('Application Config Baseline'!$I$28:$I$117,"Level 3*")</f>
        <v>17</v>
      </c>
      <c r="H10" s="20" t="n">
        <f aca="false">'Domain Summary'!B9</f>
        <v>12</v>
      </c>
      <c r="I10" s="20" t="n">
        <f aca="false">'Domain Summary'!D9</f>
        <v>484</v>
      </c>
      <c r="J10" s="21" t="n">
        <f aca="false">IF(I10=0,0,D10/I10)</f>
        <v>0.185950413223141</v>
      </c>
    </row>
    <row r="11" customFormat="false" ht="24" hidden="false" customHeight="true" outlineLevel="0" collapsed="false">
      <c r="A11" s="7" t="s">
        <v>1716</v>
      </c>
      <c r="B11" s="7" t="s">
        <v>5501</v>
      </c>
      <c r="C11" s="20" t="n">
        <f aca="false">COUNTIF('Backup Config Baseline'!$B$15:$B$15,"&gt;0")</f>
        <v>1</v>
      </c>
      <c r="D11" s="20" t="n">
        <f aca="false">COUNTA('Backup Config Baseline'!$B$19:$B$33)</f>
        <v>15</v>
      </c>
      <c r="E11" s="20" t="n">
        <f aca="false">COUNTIF('Backup Config Baseline'!$I$19:$I$33,"Level 1*")</f>
        <v>3</v>
      </c>
      <c r="F11" s="20" t="n">
        <f aca="false">COUNTIF('Backup Config Baseline'!$I$19:$I$33,"Level 2*")</f>
        <v>7</v>
      </c>
      <c r="G11" s="20" t="n">
        <f aca="false">COUNTIF('Backup Config Baseline'!$I$19:$I$33,"Level 3*")</f>
        <v>5</v>
      </c>
      <c r="H11" s="20" t="n">
        <f aca="false">'Domain Summary'!B10</f>
        <v>1</v>
      </c>
      <c r="I11" s="20" t="n">
        <f aca="false">'Domain Summary'!D10</f>
        <v>33</v>
      </c>
      <c r="J11" s="21" t="n">
        <f aca="false">IF(I11=0,0,D11/I11)</f>
        <v>0.454545454545455</v>
      </c>
    </row>
    <row r="12" customFormat="false" ht="24" hidden="false" customHeight="true" outlineLevel="0" collapsed="false">
      <c r="A12" s="7" t="s">
        <v>169</v>
      </c>
      <c r="B12" s="7" t="s">
        <v>5502</v>
      </c>
      <c r="C12" s="20" t="n">
        <f aca="false">COUNTIF('Governance Config Baseline'!$B$15:$B$33,"&gt;0")</f>
        <v>19</v>
      </c>
      <c r="D12" s="20" t="n">
        <f aca="false">COUNTA('Governance Config Baseline'!$B$37:$B$78)</f>
        <v>42</v>
      </c>
      <c r="E12" s="20" t="n">
        <f aca="false">COUNTIF('Governance Config Baseline'!$I$37:$I$78,"Level 1*")</f>
        <v>0</v>
      </c>
      <c r="F12" s="20" t="n">
        <f aca="false">COUNTIF('Governance Config Baseline'!$I$37:$I$78,"Level 2*")</f>
        <v>3</v>
      </c>
      <c r="G12" s="20" t="n">
        <f aca="false">COUNTIF('Governance Config Baseline'!$I$37:$I$78,"Level 3*")</f>
        <v>39</v>
      </c>
      <c r="H12" s="20" t="n">
        <f aca="false">'Domain Summary'!B11</f>
        <v>19</v>
      </c>
      <c r="I12" s="20" t="n">
        <f aca="false">'Domain Summary'!D11</f>
        <v>179</v>
      </c>
      <c r="J12" s="21" t="n">
        <f aca="false">IF(I12=0,0,D12/I12)</f>
        <v>0.23463687150838</v>
      </c>
    </row>
    <row r="13" customFormat="false" ht="24" hidden="false" customHeight="true" outlineLevel="0" collapsed="false">
      <c r="A13" s="7" t="s">
        <v>2451</v>
      </c>
      <c r="B13" s="7" t="s">
        <v>5503</v>
      </c>
      <c r="C13" s="20" t="n">
        <f aca="false">COUNTIF('Physical Config Baseline'!$B$15:$B$18,"&gt;0")</f>
        <v>4</v>
      </c>
      <c r="D13" s="20" t="n">
        <f aca="false">COUNTA('Physical Config Baseline'!$B$22:$B$47)</f>
        <v>26</v>
      </c>
      <c r="E13" s="20" t="n">
        <f aca="false">COUNTIF('Physical Config Baseline'!$I$22:$I$47,"Level 1*")</f>
        <v>3</v>
      </c>
      <c r="F13" s="20" t="n">
        <f aca="false">COUNTIF('Physical Config Baseline'!$I$22:$I$47,"Level 2*")</f>
        <v>7</v>
      </c>
      <c r="G13" s="20" t="n">
        <f aca="false">COUNTIF('Physical Config Baseline'!$I$22:$I$47,"Level 3*")</f>
        <v>16</v>
      </c>
      <c r="H13" s="20" t="n">
        <f aca="false">'Domain Summary'!B12</f>
        <v>4</v>
      </c>
      <c r="I13" s="20" t="n">
        <f aca="false">'Domain Summary'!D12</f>
        <v>103</v>
      </c>
      <c r="J13" s="21" t="n">
        <f aca="false">IF(I13=0,0,D13/I13)</f>
        <v>0.252427184466019</v>
      </c>
    </row>
    <row r="14" customFormat="false" ht="24" hidden="false" customHeight="true" outlineLevel="0" collapsed="false">
      <c r="A14" s="7" t="s">
        <v>5345</v>
      </c>
      <c r="B14" s="7" t="s">
        <v>5504</v>
      </c>
      <c r="C14" s="20" t="n">
        <f aca="false">COUNTIF('Third Party Config Baseline'!$B$15:$B$16,"&gt;0")</f>
        <v>2</v>
      </c>
      <c r="D14" s="20" t="n">
        <f aca="false">COUNTA('Third Party Config Baseline'!$B$20:$B$33)</f>
        <v>14</v>
      </c>
      <c r="E14" s="20" t="n">
        <f aca="false">COUNTIF('Third Party Config Baseline'!$I$20:$I$33,"Level 1*")</f>
        <v>0</v>
      </c>
      <c r="F14" s="20" t="n">
        <f aca="false">COUNTIF('Third Party Config Baseline'!$I$20:$I$33,"Level 2*")</f>
        <v>3</v>
      </c>
      <c r="G14" s="20" t="n">
        <f aca="false">COUNTIF('Third Party Config Baseline'!$I$20:$I$33,"Level 3*")</f>
        <v>11</v>
      </c>
      <c r="H14" s="20" t="n">
        <f aca="false">'Domain Summary'!B13</f>
        <v>2</v>
      </c>
      <c r="I14" s="20" t="n">
        <f aca="false">'Domain Summary'!D13</f>
        <v>32</v>
      </c>
      <c r="J14" s="21" t="n">
        <f aca="false">IF(I14=0,0,D14/I14)</f>
        <v>0.4375</v>
      </c>
    </row>
    <row r="15" customFormat="false" ht="45" hidden="false" customHeight="true" outlineLevel="0" collapsed="false">
      <c r="A15" s="22" t="s">
        <v>5505</v>
      </c>
      <c r="B15" s="22"/>
      <c r="C15" s="23"/>
      <c r="D15" s="23" t="n">
        <f aca="false">SUM(D5:D14)</f>
        <v>667</v>
      </c>
      <c r="E15" s="23" t="n">
        <f aca="false">SUM(E5:E14)</f>
        <v>206</v>
      </c>
      <c r="F15" s="23" t="n">
        <f aca="false">SUM(F5:F14)</f>
        <v>279</v>
      </c>
      <c r="G15" s="23" t="n">
        <f aca="false">SUM(G5:G14)</f>
        <v>182</v>
      </c>
      <c r="H15" s="23"/>
      <c r="I15" s="23" t="n">
        <f aca="false">SUM(I5:I14)</f>
        <v>2174</v>
      </c>
      <c r="J15" s="24" t="n">
        <f aca="false">IF(I15=0,0,D15/I15)</f>
        <v>0.306807727690892</v>
      </c>
    </row>
    <row r="16" customFormat="false" ht="35.25" hidden="false" customHeight="true" outlineLevel="0" collapsed="false">
      <c r="A16" s="25" t="s">
        <v>5506</v>
      </c>
      <c r="D16" s="1" t="n">
        <f aca="false">SUMPRODUCT(1/COUNTIF(Helper!$A$2:$A$668,Helper!$A$2:$A$668))</f>
        <v>402</v>
      </c>
    </row>
    <row r="17" customFormat="false" ht="45" hidden="false" customHeight="true" outlineLevel="0" collapsed="false">
      <c r="A17" s="3" t="s">
        <v>5507</v>
      </c>
      <c r="B17" s="3"/>
      <c r="C17" s="3"/>
      <c r="D17" s="3"/>
      <c r="E17" s="3"/>
      <c r="F17" s="3"/>
      <c r="G17" s="3"/>
      <c r="H17" s="3"/>
      <c r="I17" s="3"/>
      <c r="J17" s="3"/>
    </row>
  </sheetData>
  <mergeCells count="3">
    <mergeCell ref="A1:J1"/>
    <mergeCell ref="A2:J2"/>
    <mergeCell ref="A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44"/>
    <col collapsed="false" customWidth="true" hidden="false" outlineLevel="0" max="5" min="5" style="1" width="15"/>
    <col collapsed="false" customWidth="true" hidden="false" outlineLevel="0" max="6" min="6" style="1" width="62"/>
    <col collapsed="false" customWidth="true" hidden="false" outlineLevel="0" max="7" min="7" style="1" width="58"/>
    <col collapsed="false" customWidth="true" hidden="false" outlineLevel="0" max="8" min="8" style="1" width="36"/>
    <col collapsed="false" customWidth="true" hidden="false" outlineLevel="0" max="9" min="9" style="1" width="18"/>
    <col collapsed="false" customWidth="true" hidden="false" outlineLevel="0" max="10" min="10" style="1" width="16"/>
    <col collapsed="false" customWidth="true" hidden="false" outlineLevel="0" max="11" min="11" style="1" width="36"/>
    <col collapsed="false" customWidth="true" hidden="false" outlineLevel="0" max="12" min="12" style="1" width="20"/>
    <col collapsed="false" customWidth="true" hidden="false" outlineLevel="0" max="13" min="13" style="1" width="24"/>
    <col collapsed="false" customWidth="true" hidden="false" outlineLevel="0" max="14" min="14" style="1" width="80"/>
  </cols>
  <sheetData>
    <row r="1" customFormat="false" ht="31.5" hidden="false" customHeight="true" outlineLevel="0" collapsed="false">
      <c r="A1" s="2" t="s">
        <v>5508</v>
      </c>
      <c r="B1" s="2"/>
      <c r="C1" s="2"/>
      <c r="D1" s="2"/>
      <c r="E1" s="2"/>
      <c r="F1" s="2"/>
      <c r="G1" s="2"/>
      <c r="H1" s="2"/>
      <c r="I1" s="2"/>
      <c r="J1" s="2"/>
    </row>
    <row r="2" customFormat="false" ht="61.5" hidden="false" customHeight="true" outlineLevel="0" collapsed="false">
      <c r="A2" s="3" t="s">
        <v>5509</v>
      </c>
      <c r="B2" s="3"/>
      <c r="C2" s="3"/>
      <c r="D2" s="3"/>
      <c r="E2" s="3"/>
      <c r="F2" s="3"/>
      <c r="G2" s="3"/>
      <c r="H2" s="3"/>
      <c r="I2" s="3"/>
      <c r="J2" s="3"/>
    </row>
    <row r="3" customFormat="false" ht="94.5" hidden="false" customHeight="true" outlineLevel="0" collapsed="false">
      <c r="A3" s="3" t="s">
        <v>5510</v>
      </c>
      <c r="B3" s="3"/>
      <c r="C3" s="3"/>
      <c r="D3" s="3"/>
      <c r="E3" s="3"/>
      <c r="F3" s="3"/>
      <c r="G3" s="3"/>
      <c r="H3" s="3"/>
      <c r="I3" s="3"/>
      <c r="J3" s="3"/>
    </row>
    <row r="4" customFormat="false" ht="61.5" hidden="false" customHeight="true" outlineLevel="0" collapsed="false">
      <c r="A4" s="3" t="s">
        <v>5511</v>
      </c>
      <c r="B4" s="3"/>
      <c r="C4" s="3"/>
      <c r="D4" s="3"/>
      <c r="E4" s="3"/>
      <c r="F4" s="3"/>
      <c r="G4" s="3"/>
      <c r="H4" s="3"/>
      <c r="I4" s="3"/>
      <c r="J4" s="3"/>
    </row>
    <row r="5" customFormat="false" ht="45.75" hidden="false" customHeight="true" outlineLevel="0" collapsed="false">
      <c r="A5" s="3" t="s">
        <v>5512</v>
      </c>
      <c r="B5" s="3"/>
      <c r="C5" s="3"/>
      <c r="D5" s="3"/>
      <c r="E5" s="3"/>
      <c r="F5" s="3"/>
      <c r="G5" s="3"/>
      <c r="H5" s="3"/>
      <c r="I5" s="3"/>
      <c r="J5" s="3"/>
    </row>
    <row r="6" customFormat="false" ht="61.5" hidden="false" customHeight="true" outlineLevel="0" collapsed="false">
      <c r="A6" s="3" t="s">
        <v>5513</v>
      </c>
      <c r="B6" s="3"/>
      <c r="C6" s="3"/>
      <c r="D6" s="3"/>
      <c r="E6" s="3"/>
      <c r="F6" s="3"/>
      <c r="G6" s="3"/>
      <c r="H6" s="3"/>
      <c r="I6" s="3"/>
      <c r="J6" s="3"/>
    </row>
    <row r="7" customFormat="false" ht="17.25" hidden="false" customHeight="true" outlineLevel="0" collapsed="false"/>
    <row r="8" customFormat="false" ht="18" hidden="false" customHeight="true" outlineLevel="0" collapsed="false">
      <c r="A8" s="26" t="s">
        <v>5514</v>
      </c>
      <c r="B8" s="26"/>
      <c r="C8" s="26"/>
      <c r="D8" s="26"/>
      <c r="E8" s="26"/>
      <c r="F8" s="26"/>
      <c r="G8" s="26"/>
      <c r="H8" s="26"/>
      <c r="I8" s="26"/>
      <c r="J8" s="26"/>
    </row>
    <row r="9" customFormat="false" ht="24" hidden="false" customHeight="true" outlineLevel="0" collapsed="false">
      <c r="A9" s="3" t="s">
        <v>5515</v>
      </c>
      <c r="B9" s="3"/>
      <c r="C9" s="3"/>
      <c r="D9" s="3"/>
      <c r="E9" s="3"/>
      <c r="F9" s="3"/>
      <c r="G9" s="3"/>
      <c r="H9" s="3"/>
      <c r="I9" s="3"/>
      <c r="J9" s="3"/>
    </row>
    <row r="10" customFormat="false" ht="24" hidden="false" customHeight="true" outlineLevel="0" collapsed="false">
      <c r="A10" s="3" t="s">
        <v>5516</v>
      </c>
      <c r="B10" s="3"/>
      <c r="C10" s="3"/>
      <c r="D10" s="3"/>
      <c r="E10" s="3"/>
      <c r="F10" s="3"/>
      <c r="G10" s="3"/>
      <c r="H10" s="3"/>
      <c r="I10" s="3"/>
      <c r="J10" s="3"/>
    </row>
    <row r="11" customFormat="false" ht="24" hidden="false" customHeight="true" outlineLevel="0" collapsed="false">
      <c r="A11" s="3" t="s">
        <v>5517</v>
      </c>
      <c r="B11" s="3"/>
      <c r="C11" s="3"/>
      <c r="D11" s="3"/>
      <c r="E11" s="3"/>
      <c r="F11" s="3"/>
      <c r="G11" s="3"/>
      <c r="H11" s="3"/>
      <c r="I11" s="3"/>
      <c r="J11" s="3"/>
    </row>
    <row r="12" customFormat="false" ht="24" hidden="false" customHeight="true" outlineLevel="0" collapsed="false">
      <c r="A12" s="3" t="s">
        <v>5518</v>
      </c>
      <c r="B12" s="3"/>
      <c r="C12" s="3"/>
      <c r="D12" s="3"/>
      <c r="E12" s="3"/>
      <c r="F12" s="3"/>
      <c r="G12" s="3"/>
      <c r="H12" s="3"/>
      <c r="I12" s="3"/>
      <c r="J12" s="3"/>
    </row>
    <row r="13" customFormat="false" ht="17.25" hidden="false" customHeight="true" outlineLevel="0" collapsed="false"/>
    <row r="14" customFormat="false" ht="27.75" hidden="false" customHeight="true" outlineLevel="0" collapsed="false">
      <c r="A14" s="5" t="s">
        <v>5519</v>
      </c>
      <c r="B14" s="5"/>
      <c r="C14" s="5"/>
      <c r="D14" s="5"/>
      <c r="E14" s="5"/>
      <c r="F14" s="5"/>
      <c r="G14" s="5"/>
      <c r="H14" s="5"/>
      <c r="I14" s="5"/>
      <c r="J14" s="5"/>
    </row>
    <row r="15" customFormat="false" ht="18" hidden="false" customHeight="true" outlineLevel="0" collapsed="false">
      <c r="A15" s="6" t="s">
        <v>5520</v>
      </c>
      <c r="B15" s="6" t="s">
        <v>5521</v>
      </c>
      <c r="C15" s="6" t="s">
        <v>132</v>
      </c>
      <c r="D15" s="6" t="s">
        <v>138</v>
      </c>
      <c r="E15" s="6" t="s">
        <v>144</v>
      </c>
      <c r="F15" s="6" t="s">
        <v>5522</v>
      </c>
      <c r="G15" s="6"/>
      <c r="H15" s="6"/>
      <c r="I15" s="6"/>
      <c r="J15" s="6"/>
    </row>
    <row r="16" customFormat="false" ht="45.75" hidden="false" customHeight="true" outlineLevel="0" collapsed="false">
      <c r="A16" s="7" t="s">
        <v>162</v>
      </c>
      <c r="B16" s="7" t="n">
        <f aca="false">COUNTIF($C$30:$C$313,$A16)</f>
        <v>55</v>
      </c>
      <c r="C16" s="7" t="n">
        <f aca="false">COUNTIFS($C$30:$C$313,$A16,$I$30:$I$313,"Level 1*")</f>
        <v>18</v>
      </c>
      <c r="D16" s="7" t="n">
        <f aca="false">COUNTIFS($C$30:$C$313,$A16,$I$30:$I$313,"Level 2*")</f>
        <v>28</v>
      </c>
      <c r="E16" s="7" t="n">
        <f aca="false">COUNTIFS($C$30:$C$313,$A16,$I$30:$I$313,"Level 3*")</f>
        <v>9</v>
      </c>
      <c r="F16" s="7" t="s">
        <v>5523</v>
      </c>
      <c r="G16" s="7"/>
      <c r="H16" s="7"/>
      <c r="I16" s="7"/>
      <c r="J16" s="7"/>
    </row>
    <row r="17" customFormat="false" ht="45.75" hidden="false" customHeight="true" outlineLevel="0" collapsed="false">
      <c r="A17" s="7" t="s">
        <v>923</v>
      </c>
      <c r="B17" s="7" t="n">
        <f aca="false">COUNTIF($C$30:$C$313,$A17)</f>
        <v>29</v>
      </c>
      <c r="C17" s="7" t="n">
        <f aca="false">COUNTIFS($C$30:$C$313,$A17,$I$30:$I$313,"Level 1*")</f>
        <v>10</v>
      </c>
      <c r="D17" s="7" t="n">
        <f aca="false">COUNTIFS($C$30:$C$313,$A17,$I$30:$I$313,"Level 2*")</f>
        <v>10</v>
      </c>
      <c r="E17" s="7" t="n">
        <f aca="false">COUNTIFS($C$30:$C$313,$A17,$I$30:$I$313,"Level 3*")</f>
        <v>9</v>
      </c>
      <c r="F17" s="7" t="s">
        <v>5524</v>
      </c>
      <c r="G17" s="7"/>
      <c r="H17" s="7"/>
      <c r="I17" s="7"/>
      <c r="J17" s="7"/>
    </row>
    <row r="18" customFormat="false" ht="45.75" hidden="false" customHeight="true" outlineLevel="0" collapsed="false">
      <c r="A18" s="7" t="s">
        <v>1229</v>
      </c>
      <c r="B18" s="7" t="n">
        <f aca="false">COUNTIF($C$30:$C$313,$A18)</f>
        <v>9</v>
      </c>
      <c r="C18" s="7" t="n">
        <f aca="false">COUNTIFS($C$30:$C$313,$A18,$I$30:$I$313,"Level 1*")</f>
        <v>0</v>
      </c>
      <c r="D18" s="7" t="n">
        <f aca="false">COUNTIFS($C$30:$C$313,$A18,$I$30:$I$313,"Level 2*")</f>
        <v>3</v>
      </c>
      <c r="E18" s="7" t="n">
        <f aca="false">COUNTIFS($C$30:$C$313,$A18,$I$30:$I$313,"Level 3*")</f>
        <v>6</v>
      </c>
      <c r="F18" s="7" t="s">
        <v>5525</v>
      </c>
      <c r="G18" s="7"/>
      <c r="H18" s="7"/>
      <c r="I18" s="7"/>
      <c r="J18" s="7"/>
    </row>
    <row r="19" customFormat="false" ht="45.75" hidden="false" customHeight="true" outlineLevel="0" collapsed="false">
      <c r="A19" s="7" t="s">
        <v>1367</v>
      </c>
      <c r="B19" s="7" t="n">
        <f aca="false">COUNTIF($C$30:$C$313,$A19)</f>
        <v>19</v>
      </c>
      <c r="C19" s="7" t="n">
        <f aca="false">COUNTIFS($C$30:$C$313,$A19,$I$30:$I$313,"Level 1*")</f>
        <v>7</v>
      </c>
      <c r="D19" s="7" t="n">
        <f aca="false">COUNTIFS($C$30:$C$313,$A19,$I$30:$I$313,"Level 2*")</f>
        <v>10</v>
      </c>
      <c r="E19" s="7" t="n">
        <f aca="false">COUNTIFS($C$30:$C$313,$A19,$I$30:$I$313,"Level 3*")</f>
        <v>2</v>
      </c>
      <c r="F19" s="7" t="s">
        <v>5526</v>
      </c>
      <c r="G19" s="7"/>
      <c r="H19" s="7"/>
      <c r="I19" s="7"/>
      <c r="J19" s="7"/>
    </row>
    <row r="20" customFormat="false" ht="45.75" hidden="false" customHeight="true" outlineLevel="0" collapsed="false">
      <c r="A20" s="7" t="s">
        <v>1665</v>
      </c>
      <c r="B20" s="7" t="n">
        <f aca="false">COUNTIF($C$30:$C$313,$A20)</f>
        <v>15</v>
      </c>
      <c r="C20" s="7" t="n">
        <f aca="false">COUNTIFS($C$30:$C$313,$A20,$I$30:$I$313,"Level 1*")</f>
        <v>2</v>
      </c>
      <c r="D20" s="7" t="n">
        <f aca="false">COUNTIFS($C$30:$C$313,$A20,$I$30:$I$313,"Level 2*")</f>
        <v>5</v>
      </c>
      <c r="E20" s="7" t="n">
        <f aca="false">COUNTIFS($C$30:$C$313,$A20,$I$30:$I$313,"Level 3*")</f>
        <v>8</v>
      </c>
      <c r="F20" s="7" t="s">
        <v>5527</v>
      </c>
      <c r="G20" s="7"/>
      <c r="H20" s="7"/>
      <c r="I20" s="7"/>
      <c r="J20" s="7"/>
    </row>
    <row r="21" customFormat="false" ht="45.75" hidden="false" customHeight="true" outlineLevel="0" collapsed="false">
      <c r="A21" s="7" t="s">
        <v>1920</v>
      </c>
      <c r="B21" s="7" t="n">
        <f aca="false">COUNTIF($C$30:$C$313,$A21)</f>
        <v>17</v>
      </c>
      <c r="C21" s="7" t="n">
        <f aca="false">COUNTIFS($C$30:$C$313,$A21,$I$30:$I$313,"Level 1*")</f>
        <v>5</v>
      </c>
      <c r="D21" s="7" t="n">
        <f aca="false">COUNTIFS($C$30:$C$313,$A21,$I$30:$I$313,"Level 2*")</f>
        <v>12</v>
      </c>
      <c r="E21" s="7" t="n">
        <f aca="false">COUNTIFS($C$30:$C$313,$A21,$I$30:$I$313,"Level 3*")</f>
        <v>0</v>
      </c>
      <c r="F21" s="7" t="s">
        <v>5528</v>
      </c>
      <c r="G21" s="7"/>
      <c r="H21" s="7"/>
      <c r="I21" s="7"/>
      <c r="J21" s="7"/>
    </row>
    <row r="22" customFormat="false" ht="45.75" hidden="false" customHeight="true" outlineLevel="0" collapsed="false">
      <c r="A22" s="7" t="s">
        <v>2231</v>
      </c>
      <c r="B22" s="7" t="n">
        <f aca="false">COUNTIF($C$30:$C$313,$A22)</f>
        <v>16</v>
      </c>
      <c r="C22" s="7" t="n">
        <f aca="false">COUNTIFS($C$30:$C$313,$A22,$I$30:$I$313,"Level 1*")</f>
        <v>0</v>
      </c>
      <c r="D22" s="7" t="n">
        <f aca="false">COUNTIFS($C$30:$C$313,$A22,$I$30:$I$313,"Level 2*")</f>
        <v>1</v>
      </c>
      <c r="E22" s="7" t="n">
        <f aca="false">COUNTIFS($C$30:$C$313,$A22,$I$30:$I$313,"Level 3*")</f>
        <v>15</v>
      </c>
      <c r="F22" s="7" t="s">
        <v>5529</v>
      </c>
      <c r="G22" s="7"/>
      <c r="H22" s="7"/>
      <c r="I22" s="7"/>
      <c r="J22" s="7"/>
    </row>
    <row r="23" customFormat="false" ht="45.75" hidden="false" customHeight="true" outlineLevel="0" collapsed="false">
      <c r="A23" s="7" t="s">
        <v>3415</v>
      </c>
      <c r="B23" s="7" t="n">
        <f aca="false">COUNTIF($C$30:$C$313,$A23)</f>
        <v>12</v>
      </c>
      <c r="C23" s="7" t="n">
        <f aca="false">COUNTIFS($C$30:$C$313,$A23,$I$30:$I$313,"Level 1*")</f>
        <v>3</v>
      </c>
      <c r="D23" s="7" t="n">
        <f aca="false">COUNTIFS($C$30:$C$313,$A23,$I$30:$I$313,"Level 2*")</f>
        <v>2</v>
      </c>
      <c r="E23" s="7" t="n">
        <f aca="false">COUNTIFS($C$30:$C$313,$A23,$I$30:$I$313,"Level 3*")</f>
        <v>7</v>
      </c>
      <c r="F23" s="7" t="s">
        <v>5530</v>
      </c>
      <c r="G23" s="7"/>
      <c r="H23" s="7"/>
      <c r="I23" s="7"/>
      <c r="J23" s="7"/>
    </row>
    <row r="24" customFormat="false" ht="45.75" hidden="false" customHeight="true" outlineLevel="0" collapsed="false">
      <c r="A24" s="7" t="s">
        <v>3531</v>
      </c>
      <c r="B24" s="7" t="n">
        <f aca="false">COUNTIF($C$30:$C$313,$A24)</f>
        <v>28</v>
      </c>
      <c r="C24" s="7" t="n">
        <f aca="false">COUNTIFS($C$30:$C$313,$A24,$I$30:$I$313,"Level 1*")</f>
        <v>0</v>
      </c>
      <c r="D24" s="7" t="n">
        <f aca="false">COUNTIFS($C$30:$C$313,$A24,$I$30:$I$313,"Level 2*")</f>
        <v>4</v>
      </c>
      <c r="E24" s="7" t="n">
        <f aca="false">COUNTIFS($C$30:$C$313,$A24,$I$30:$I$313,"Level 3*")</f>
        <v>24</v>
      </c>
      <c r="F24" s="7" t="s">
        <v>5531</v>
      </c>
      <c r="G24" s="7"/>
      <c r="H24" s="7"/>
      <c r="I24" s="7"/>
      <c r="J24" s="7"/>
    </row>
    <row r="25" customFormat="false" ht="45.75" hidden="false" customHeight="true" outlineLevel="0" collapsed="false">
      <c r="A25" s="7" t="s">
        <v>4081</v>
      </c>
      <c r="B25" s="7" t="n">
        <f aca="false">COUNTIF($C$30:$C$313,$A25)</f>
        <v>46</v>
      </c>
      <c r="C25" s="7" t="n">
        <f aca="false">COUNTIFS($C$30:$C$313,$A25,$I$30:$I$313,"Level 1*")</f>
        <v>13</v>
      </c>
      <c r="D25" s="7" t="n">
        <f aca="false">COUNTIFS($C$30:$C$313,$A25,$I$30:$I$313,"Level 2*")</f>
        <v>26</v>
      </c>
      <c r="E25" s="7" t="n">
        <f aca="false">COUNTIFS($C$30:$C$313,$A25,$I$30:$I$313,"Level 3*")</f>
        <v>7</v>
      </c>
      <c r="F25" s="7" t="s">
        <v>5532</v>
      </c>
      <c r="G25" s="7"/>
      <c r="H25" s="7"/>
      <c r="I25" s="7"/>
      <c r="J25" s="7"/>
    </row>
    <row r="26" customFormat="false" ht="45.75" hidden="false" customHeight="true" outlineLevel="0" collapsed="false">
      <c r="A26" s="7" t="s">
        <v>4774</v>
      </c>
      <c r="B26" s="7" t="n">
        <f aca="false">COUNTIF($C$30:$C$313,$A26)</f>
        <v>38</v>
      </c>
      <c r="C26" s="7" t="n">
        <f aca="false">COUNTIFS($C$30:$C$313,$A26,$I$30:$I$313,"Level 1*")</f>
        <v>11</v>
      </c>
      <c r="D26" s="7" t="n">
        <f aca="false">COUNTIFS($C$30:$C$313,$A26,$I$30:$I$313,"Level 2*")</f>
        <v>20</v>
      </c>
      <c r="E26" s="7" t="n">
        <f aca="false">COUNTIFS($C$30:$C$313,$A26,$I$30:$I$313,"Level 3*")</f>
        <v>7</v>
      </c>
      <c r="F26" s="7" t="s">
        <v>5533</v>
      </c>
      <c r="G26" s="7"/>
      <c r="H26" s="7"/>
      <c r="I26" s="7"/>
      <c r="J26" s="7"/>
    </row>
    <row r="27" customFormat="false" ht="18" hidden="false" customHeight="true" outlineLevel="0" collapsed="false">
      <c r="A27" s="22" t="s">
        <v>5446</v>
      </c>
      <c r="B27" s="22" t="n">
        <f aca="false">SUM(B16:B26)</f>
        <v>284</v>
      </c>
      <c r="C27" s="22" t="n">
        <f aca="false">SUM(C16:C26)</f>
        <v>69</v>
      </c>
      <c r="D27" s="22" t="n">
        <f aca="false">SUM(D16:D26)</f>
        <v>121</v>
      </c>
      <c r="E27" s="22" t="n">
        <f aca="false">SUM(E16:E26)</f>
        <v>94</v>
      </c>
    </row>
    <row r="28" customFormat="false" ht="17.25" hidden="false" customHeight="true" outlineLevel="0" collapsed="false"/>
    <row r="29" customFormat="false" ht="39.75" hidden="false" customHeight="true" outlineLevel="0" collapsed="false">
      <c r="A29" s="8" t="s">
        <v>150</v>
      </c>
      <c r="B29" s="8" t="s">
        <v>151</v>
      </c>
      <c r="C29" s="8" t="s">
        <v>10</v>
      </c>
      <c r="D29" s="8" t="s">
        <v>152</v>
      </c>
      <c r="E29" s="8" t="s">
        <v>5534</v>
      </c>
      <c r="F29" s="8" t="s">
        <v>5535</v>
      </c>
      <c r="G29" s="8" t="s">
        <v>5536</v>
      </c>
      <c r="H29" s="8" t="s">
        <v>5537</v>
      </c>
      <c r="I29" s="8" t="s">
        <v>126</v>
      </c>
      <c r="J29" s="8" t="s">
        <v>154</v>
      </c>
      <c r="K29" s="8" t="s">
        <v>5538</v>
      </c>
      <c r="L29" s="8" t="s">
        <v>5539</v>
      </c>
      <c r="M29" s="8" t="s">
        <v>5540</v>
      </c>
      <c r="N29" s="8" t="s">
        <v>5541</v>
      </c>
    </row>
    <row r="30" customFormat="false" ht="78" hidden="false" customHeight="true" outlineLevel="0" collapsed="false">
      <c r="A30" s="7" t="s">
        <v>160</v>
      </c>
      <c r="B30" s="7" t="s">
        <v>161</v>
      </c>
      <c r="C30" s="7" t="s">
        <v>162</v>
      </c>
      <c r="D30" s="7" t="s">
        <v>163</v>
      </c>
      <c r="E30" s="7" t="s">
        <v>5542</v>
      </c>
      <c r="F30" s="7" t="s">
        <v>5543</v>
      </c>
      <c r="G30" s="7" t="s">
        <v>5544</v>
      </c>
      <c r="H30" s="7" t="s">
        <v>5545</v>
      </c>
      <c r="I30" s="10" t="s">
        <v>5546</v>
      </c>
      <c r="J30" s="7" t="s">
        <v>165</v>
      </c>
      <c r="K30" s="7" t="s">
        <v>5547</v>
      </c>
      <c r="L30" s="7" t="s">
        <v>5548</v>
      </c>
      <c r="M30" s="7" t="s">
        <v>5549</v>
      </c>
      <c r="N30" s="7" t="s">
        <v>5550</v>
      </c>
    </row>
    <row r="31" customFormat="false" ht="78" hidden="false" customHeight="true" outlineLevel="0" collapsed="false">
      <c r="A31" s="7" t="s">
        <v>171</v>
      </c>
      <c r="B31" s="7" t="s">
        <v>172</v>
      </c>
      <c r="C31" s="7" t="s">
        <v>162</v>
      </c>
      <c r="D31" s="7" t="s">
        <v>173</v>
      </c>
      <c r="E31" s="7" t="s">
        <v>5551</v>
      </c>
      <c r="F31" s="7" t="s">
        <v>5552</v>
      </c>
      <c r="G31" s="7" t="s">
        <v>5553</v>
      </c>
      <c r="H31" s="7" t="s">
        <v>5554</v>
      </c>
      <c r="I31" s="11" t="s">
        <v>5555</v>
      </c>
      <c r="J31" s="7" t="s">
        <v>175</v>
      </c>
      <c r="K31" s="7" t="s">
        <v>5547</v>
      </c>
      <c r="L31" s="7" t="s">
        <v>5556</v>
      </c>
      <c r="M31" s="7" t="s">
        <v>5557</v>
      </c>
      <c r="N31" s="7" t="s">
        <v>5558</v>
      </c>
    </row>
    <row r="32" customFormat="false" ht="58.5" hidden="false" customHeight="true" outlineLevel="0" collapsed="false">
      <c r="A32" s="7" t="s">
        <v>181</v>
      </c>
      <c r="B32" s="7" t="s">
        <v>182</v>
      </c>
      <c r="C32" s="7" t="s">
        <v>162</v>
      </c>
      <c r="D32" s="7" t="s">
        <v>183</v>
      </c>
      <c r="E32" s="7" t="s">
        <v>5542</v>
      </c>
      <c r="F32" s="7" t="s">
        <v>5559</v>
      </c>
      <c r="G32" s="7" t="s">
        <v>5560</v>
      </c>
      <c r="H32" s="7" t="s">
        <v>5561</v>
      </c>
      <c r="I32" s="12" t="s">
        <v>5562</v>
      </c>
      <c r="J32" s="7" t="s">
        <v>175</v>
      </c>
      <c r="K32" s="7" t="s">
        <v>5547</v>
      </c>
      <c r="L32" s="7" t="s">
        <v>5556</v>
      </c>
      <c r="M32" s="7" t="s">
        <v>5563</v>
      </c>
      <c r="N32" s="7" t="s">
        <v>5564</v>
      </c>
    </row>
    <row r="33" customFormat="false" ht="58.5" hidden="false" customHeight="true" outlineLevel="0" collapsed="false">
      <c r="A33" s="7" t="s">
        <v>187</v>
      </c>
      <c r="B33" s="7" t="s">
        <v>188</v>
      </c>
      <c r="C33" s="7" t="s">
        <v>162</v>
      </c>
      <c r="D33" s="7" t="s">
        <v>189</v>
      </c>
      <c r="E33" s="7" t="s">
        <v>5551</v>
      </c>
      <c r="F33" s="7" t="s">
        <v>5565</v>
      </c>
      <c r="G33" s="7" t="s">
        <v>5566</v>
      </c>
      <c r="H33" s="7" t="s">
        <v>5567</v>
      </c>
      <c r="I33" s="12" t="s">
        <v>5562</v>
      </c>
      <c r="J33" s="7" t="s">
        <v>175</v>
      </c>
      <c r="K33" s="7" t="s">
        <v>5547</v>
      </c>
      <c r="L33" s="7" t="s">
        <v>5548</v>
      </c>
      <c r="M33" s="7" t="s">
        <v>5549</v>
      </c>
      <c r="N33" s="7" t="s">
        <v>5568</v>
      </c>
    </row>
    <row r="34" customFormat="false" ht="58.5" hidden="false" customHeight="true" outlineLevel="0" collapsed="false">
      <c r="A34" s="7" t="s">
        <v>192</v>
      </c>
      <c r="B34" s="7" t="s">
        <v>193</v>
      </c>
      <c r="C34" s="7" t="s">
        <v>162</v>
      </c>
      <c r="D34" s="7" t="s">
        <v>194</v>
      </c>
      <c r="E34" s="7" t="s">
        <v>5551</v>
      </c>
      <c r="F34" s="7" t="s">
        <v>5569</v>
      </c>
      <c r="G34" s="7" t="s">
        <v>5570</v>
      </c>
      <c r="H34" s="7" t="s">
        <v>5571</v>
      </c>
      <c r="I34" s="12" t="s">
        <v>5562</v>
      </c>
      <c r="J34" s="7" t="s">
        <v>175</v>
      </c>
      <c r="K34" s="7" t="s">
        <v>5547</v>
      </c>
      <c r="L34" s="7" t="s">
        <v>5556</v>
      </c>
      <c r="M34" s="7" t="s">
        <v>5557</v>
      </c>
      <c r="N34" s="7" t="s">
        <v>5572</v>
      </c>
    </row>
    <row r="35" customFormat="false" ht="58.5" hidden="false" customHeight="true" outlineLevel="0" collapsed="false">
      <c r="A35" s="7" t="s">
        <v>197</v>
      </c>
      <c r="B35" s="7" t="s">
        <v>198</v>
      </c>
      <c r="C35" s="7" t="s">
        <v>162</v>
      </c>
      <c r="D35" s="7" t="s">
        <v>199</v>
      </c>
      <c r="E35" s="7" t="s">
        <v>5573</v>
      </c>
      <c r="F35" s="7" t="s">
        <v>5574</v>
      </c>
      <c r="G35" s="7" t="s">
        <v>5575</v>
      </c>
      <c r="H35" s="7" t="s">
        <v>5576</v>
      </c>
      <c r="I35" s="11" t="s">
        <v>5555</v>
      </c>
      <c r="J35" s="7" t="s">
        <v>175</v>
      </c>
      <c r="K35" s="7" t="s">
        <v>5547</v>
      </c>
      <c r="L35" s="7" t="s">
        <v>5556</v>
      </c>
      <c r="M35" s="7" t="s">
        <v>5577</v>
      </c>
      <c r="N35" s="7"/>
    </row>
    <row r="36" customFormat="false" ht="58.5" hidden="false" customHeight="true" outlineLevel="0" collapsed="false">
      <c r="A36" s="7" t="s">
        <v>202</v>
      </c>
      <c r="B36" s="7" t="s">
        <v>203</v>
      </c>
      <c r="C36" s="7" t="s">
        <v>162</v>
      </c>
      <c r="D36" s="7" t="s">
        <v>204</v>
      </c>
      <c r="E36" s="7" t="s">
        <v>5551</v>
      </c>
      <c r="F36" s="7" t="s">
        <v>5578</v>
      </c>
      <c r="G36" s="7" t="s">
        <v>5579</v>
      </c>
      <c r="H36" s="7" t="s">
        <v>5580</v>
      </c>
      <c r="I36" s="12" t="s">
        <v>5562</v>
      </c>
      <c r="J36" s="7" t="s">
        <v>175</v>
      </c>
      <c r="K36" s="7" t="s">
        <v>5547</v>
      </c>
      <c r="L36" s="7" t="s">
        <v>5581</v>
      </c>
      <c r="M36" s="7" t="s">
        <v>5563</v>
      </c>
      <c r="N36" s="7" t="s">
        <v>5582</v>
      </c>
    </row>
    <row r="37" customFormat="false" ht="58.5" hidden="false" customHeight="true" outlineLevel="0" collapsed="false">
      <c r="A37" s="7" t="s">
        <v>207</v>
      </c>
      <c r="B37" s="7" t="s">
        <v>208</v>
      </c>
      <c r="C37" s="7" t="s">
        <v>162</v>
      </c>
      <c r="D37" s="7" t="s">
        <v>209</v>
      </c>
      <c r="E37" s="7" t="s">
        <v>5542</v>
      </c>
      <c r="F37" s="7" t="s">
        <v>5583</v>
      </c>
      <c r="G37" s="7" t="s">
        <v>5584</v>
      </c>
      <c r="H37" s="7" t="s">
        <v>5585</v>
      </c>
      <c r="I37" s="12" t="s">
        <v>5562</v>
      </c>
      <c r="J37" s="7" t="s">
        <v>175</v>
      </c>
      <c r="K37" s="7" t="s">
        <v>5547</v>
      </c>
      <c r="L37" s="7" t="s">
        <v>5548</v>
      </c>
      <c r="M37" s="7" t="s">
        <v>5549</v>
      </c>
      <c r="N37" s="7" t="s">
        <v>5586</v>
      </c>
    </row>
    <row r="38" customFormat="false" ht="58.5" hidden="false" customHeight="true" outlineLevel="0" collapsed="false">
      <c r="A38" s="7" t="s">
        <v>212</v>
      </c>
      <c r="B38" s="7" t="s">
        <v>213</v>
      </c>
      <c r="C38" s="7" t="s">
        <v>162</v>
      </c>
      <c r="D38" s="7" t="s">
        <v>214</v>
      </c>
      <c r="E38" s="7" t="s">
        <v>5551</v>
      </c>
      <c r="F38" s="7" t="s">
        <v>5587</v>
      </c>
      <c r="G38" s="7" t="s">
        <v>5588</v>
      </c>
      <c r="H38" s="7" t="s">
        <v>5589</v>
      </c>
      <c r="I38" s="11" t="s">
        <v>5555</v>
      </c>
      <c r="J38" s="7" t="s">
        <v>175</v>
      </c>
      <c r="K38" s="7" t="s">
        <v>5547</v>
      </c>
      <c r="L38" s="7" t="s">
        <v>5556</v>
      </c>
      <c r="M38" s="7" t="s">
        <v>5577</v>
      </c>
      <c r="N38" s="7"/>
    </row>
    <row r="39" customFormat="false" ht="58.5" hidden="false" customHeight="true" outlineLevel="0" collapsed="false">
      <c r="A39" s="7" t="s">
        <v>227</v>
      </c>
      <c r="B39" s="7" t="s">
        <v>228</v>
      </c>
      <c r="C39" s="7" t="s">
        <v>162</v>
      </c>
      <c r="D39" s="7" t="s">
        <v>229</v>
      </c>
      <c r="E39" s="7" t="s">
        <v>5551</v>
      </c>
      <c r="F39" s="7" t="s">
        <v>5590</v>
      </c>
      <c r="G39" s="7" t="s">
        <v>5591</v>
      </c>
      <c r="H39" s="7" t="s">
        <v>5592</v>
      </c>
      <c r="I39" s="12" t="s">
        <v>5562</v>
      </c>
      <c r="J39" s="7" t="s">
        <v>175</v>
      </c>
      <c r="K39" s="7" t="s">
        <v>5547</v>
      </c>
      <c r="L39" s="7" t="s">
        <v>5556</v>
      </c>
      <c r="M39" s="7" t="s">
        <v>5563</v>
      </c>
      <c r="N39" s="7" t="s">
        <v>5593</v>
      </c>
    </row>
    <row r="40" customFormat="false" ht="58.5" hidden="false" customHeight="true" outlineLevel="0" collapsed="false">
      <c r="A40" s="7" t="s">
        <v>232</v>
      </c>
      <c r="B40" s="7" t="s">
        <v>233</v>
      </c>
      <c r="C40" s="7" t="s">
        <v>162</v>
      </c>
      <c r="D40" s="7" t="s">
        <v>234</v>
      </c>
      <c r="E40" s="7" t="s">
        <v>5573</v>
      </c>
      <c r="F40" s="7" t="s">
        <v>5594</v>
      </c>
      <c r="G40" s="7" t="s">
        <v>5595</v>
      </c>
      <c r="H40" s="7" t="s">
        <v>5596</v>
      </c>
      <c r="I40" s="12" t="s">
        <v>5562</v>
      </c>
      <c r="J40" s="7" t="s">
        <v>175</v>
      </c>
      <c r="K40" s="7" t="s">
        <v>5547</v>
      </c>
      <c r="L40" s="7" t="s">
        <v>5556</v>
      </c>
      <c r="M40" s="7" t="s">
        <v>5563</v>
      </c>
      <c r="N40" s="7" t="s">
        <v>5597</v>
      </c>
    </row>
    <row r="41" customFormat="false" ht="214.5" hidden="false" customHeight="true" outlineLevel="0" collapsed="false">
      <c r="A41" s="7" t="s">
        <v>242</v>
      </c>
      <c r="B41" s="7" t="s">
        <v>243</v>
      </c>
      <c r="C41" s="7" t="s">
        <v>162</v>
      </c>
      <c r="D41" s="7" t="s">
        <v>244</v>
      </c>
      <c r="E41" s="7" t="s">
        <v>5551</v>
      </c>
      <c r="F41" s="7" t="s">
        <v>5598</v>
      </c>
      <c r="G41" s="7" t="s">
        <v>5599</v>
      </c>
      <c r="H41" s="7" t="s">
        <v>5600</v>
      </c>
      <c r="I41" s="11" t="s">
        <v>5555</v>
      </c>
      <c r="J41" s="7" t="s">
        <v>245</v>
      </c>
      <c r="K41" s="7" t="s">
        <v>5547</v>
      </c>
      <c r="L41" s="7" t="s">
        <v>5556</v>
      </c>
      <c r="M41" s="7" t="s">
        <v>5557</v>
      </c>
      <c r="N41" s="7" t="s">
        <v>5601</v>
      </c>
    </row>
    <row r="42" customFormat="false" ht="78" hidden="false" customHeight="true" outlineLevel="0" collapsed="false">
      <c r="A42" s="7" t="s">
        <v>250</v>
      </c>
      <c r="B42" s="7" t="s">
        <v>251</v>
      </c>
      <c r="C42" s="7" t="s">
        <v>162</v>
      </c>
      <c r="D42" s="7" t="s">
        <v>252</v>
      </c>
      <c r="E42" s="7" t="s">
        <v>5542</v>
      </c>
      <c r="F42" s="7" t="s">
        <v>5602</v>
      </c>
      <c r="G42" s="7" t="s">
        <v>5603</v>
      </c>
      <c r="H42" s="7" t="s">
        <v>5604</v>
      </c>
      <c r="I42" s="12" t="s">
        <v>5562</v>
      </c>
      <c r="J42" s="7" t="s">
        <v>245</v>
      </c>
      <c r="K42" s="7" t="s">
        <v>5547</v>
      </c>
      <c r="L42" s="7" t="s">
        <v>5556</v>
      </c>
      <c r="M42" s="7" t="s">
        <v>5577</v>
      </c>
      <c r="N42" s="7"/>
    </row>
    <row r="43" customFormat="false" ht="58.5" hidden="false" customHeight="true" outlineLevel="0" collapsed="false">
      <c r="A43" s="7" t="s">
        <v>255</v>
      </c>
      <c r="B43" s="7" t="s">
        <v>256</v>
      </c>
      <c r="C43" s="7" t="s">
        <v>162</v>
      </c>
      <c r="D43" s="7" t="s">
        <v>257</v>
      </c>
      <c r="E43" s="7" t="s">
        <v>5551</v>
      </c>
      <c r="F43" s="7" t="s">
        <v>5605</v>
      </c>
      <c r="G43" s="7" t="s">
        <v>5606</v>
      </c>
      <c r="H43" s="7" t="s">
        <v>5607</v>
      </c>
      <c r="I43" s="12" t="s">
        <v>5562</v>
      </c>
      <c r="J43" s="7" t="s">
        <v>245</v>
      </c>
      <c r="K43" s="7" t="s">
        <v>5547</v>
      </c>
      <c r="L43" s="7" t="s">
        <v>5548</v>
      </c>
      <c r="M43" s="7" t="s">
        <v>5549</v>
      </c>
      <c r="N43" s="7" t="s">
        <v>5608</v>
      </c>
    </row>
    <row r="44" customFormat="false" ht="58.5" hidden="false" customHeight="true" outlineLevel="0" collapsed="false">
      <c r="A44" s="7" t="s">
        <v>260</v>
      </c>
      <c r="B44" s="7" t="s">
        <v>261</v>
      </c>
      <c r="C44" s="7" t="s">
        <v>162</v>
      </c>
      <c r="D44" s="7" t="s">
        <v>262</v>
      </c>
      <c r="E44" s="7" t="s">
        <v>5551</v>
      </c>
      <c r="F44" s="7" t="s">
        <v>5609</v>
      </c>
      <c r="G44" s="7" t="s">
        <v>5610</v>
      </c>
      <c r="H44" s="7" t="s">
        <v>5611</v>
      </c>
      <c r="I44" s="12" t="s">
        <v>5562</v>
      </c>
      <c r="J44" s="7" t="s">
        <v>245</v>
      </c>
      <c r="K44" s="7" t="s">
        <v>5547</v>
      </c>
      <c r="L44" s="7" t="s">
        <v>5548</v>
      </c>
      <c r="M44" s="7" t="s">
        <v>5549</v>
      </c>
      <c r="N44" s="7" t="s">
        <v>5612</v>
      </c>
    </row>
    <row r="45" customFormat="false" ht="58.5" hidden="false" customHeight="true" outlineLevel="0" collapsed="false">
      <c r="A45" s="7" t="s">
        <v>270</v>
      </c>
      <c r="B45" s="7" t="s">
        <v>271</v>
      </c>
      <c r="C45" s="7" t="s">
        <v>162</v>
      </c>
      <c r="D45" s="7" t="s">
        <v>272</v>
      </c>
      <c r="E45" s="7" t="s">
        <v>5551</v>
      </c>
      <c r="F45" s="7" t="s">
        <v>5613</v>
      </c>
      <c r="G45" s="7" t="s">
        <v>5614</v>
      </c>
      <c r="H45" s="7" t="s">
        <v>5615</v>
      </c>
      <c r="I45" s="12" t="s">
        <v>5562</v>
      </c>
      <c r="J45" s="7" t="s">
        <v>245</v>
      </c>
      <c r="K45" s="7" t="s">
        <v>5547</v>
      </c>
      <c r="L45" s="7" t="s">
        <v>5556</v>
      </c>
      <c r="M45" s="7" t="s">
        <v>5577</v>
      </c>
      <c r="N45" s="7"/>
    </row>
    <row r="46" customFormat="false" ht="58.5" hidden="false" customHeight="true" outlineLevel="0" collapsed="false">
      <c r="A46" s="7" t="s">
        <v>300</v>
      </c>
      <c r="B46" s="7" t="s">
        <v>301</v>
      </c>
      <c r="C46" s="7" t="s">
        <v>162</v>
      </c>
      <c r="D46" s="7" t="s">
        <v>302</v>
      </c>
      <c r="E46" s="7" t="s">
        <v>5551</v>
      </c>
      <c r="F46" s="7" t="s">
        <v>5616</v>
      </c>
      <c r="G46" s="7" t="s">
        <v>5617</v>
      </c>
      <c r="H46" s="7" t="s">
        <v>5618</v>
      </c>
      <c r="I46" s="12" t="s">
        <v>5562</v>
      </c>
      <c r="J46" s="7" t="s">
        <v>245</v>
      </c>
      <c r="K46" s="7" t="s">
        <v>5547</v>
      </c>
      <c r="L46" s="7" t="s">
        <v>5556</v>
      </c>
      <c r="M46" s="7" t="s">
        <v>5577</v>
      </c>
      <c r="N46" s="7"/>
    </row>
    <row r="47" customFormat="false" ht="58.5" hidden="false" customHeight="true" outlineLevel="0" collapsed="false">
      <c r="A47" s="7" t="s">
        <v>305</v>
      </c>
      <c r="B47" s="7" t="s">
        <v>306</v>
      </c>
      <c r="C47" s="7" t="s">
        <v>162</v>
      </c>
      <c r="D47" s="7" t="s">
        <v>307</v>
      </c>
      <c r="E47" s="7" t="s">
        <v>5542</v>
      </c>
      <c r="F47" s="7" t="s">
        <v>5619</v>
      </c>
      <c r="G47" s="7" t="s">
        <v>5620</v>
      </c>
      <c r="H47" s="7" t="s">
        <v>5621</v>
      </c>
      <c r="I47" s="12" t="s">
        <v>5562</v>
      </c>
      <c r="J47" s="7" t="s">
        <v>245</v>
      </c>
      <c r="K47" s="7" t="s">
        <v>5547</v>
      </c>
      <c r="L47" s="7" t="s">
        <v>5548</v>
      </c>
      <c r="M47" s="7" t="s">
        <v>5549</v>
      </c>
      <c r="N47" s="7" t="s">
        <v>5622</v>
      </c>
    </row>
    <row r="48" customFormat="false" ht="58.5" hidden="false" customHeight="true" outlineLevel="0" collapsed="false">
      <c r="A48" s="7" t="s">
        <v>310</v>
      </c>
      <c r="B48" s="7" t="s">
        <v>311</v>
      </c>
      <c r="C48" s="7" t="s">
        <v>162</v>
      </c>
      <c r="D48" s="7" t="s">
        <v>312</v>
      </c>
      <c r="E48" s="7" t="s">
        <v>5551</v>
      </c>
      <c r="F48" s="7" t="s">
        <v>5623</v>
      </c>
      <c r="G48" s="7" t="s">
        <v>5624</v>
      </c>
      <c r="H48" s="7" t="s">
        <v>5625</v>
      </c>
      <c r="I48" s="12" t="s">
        <v>5562</v>
      </c>
      <c r="J48" s="7" t="s">
        <v>245</v>
      </c>
      <c r="K48" s="7" t="s">
        <v>5547</v>
      </c>
      <c r="L48" s="7" t="s">
        <v>5556</v>
      </c>
      <c r="M48" s="7" t="s">
        <v>5563</v>
      </c>
      <c r="N48" s="7" t="s">
        <v>5626</v>
      </c>
    </row>
    <row r="49" customFormat="false" ht="58.5" hidden="false" customHeight="true" outlineLevel="0" collapsed="false">
      <c r="A49" s="7" t="s">
        <v>315</v>
      </c>
      <c r="B49" s="7" t="s">
        <v>316</v>
      </c>
      <c r="C49" s="7" t="s">
        <v>162</v>
      </c>
      <c r="D49" s="7" t="s">
        <v>317</v>
      </c>
      <c r="E49" s="7" t="s">
        <v>5551</v>
      </c>
      <c r="F49" s="7" t="s">
        <v>5627</v>
      </c>
      <c r="G49" s="7" t="s">
        <v>5628</v>
      </c>
      <c r="H49" s="7" t="s">
        <v>5629</v>
      </c>
      <c r="I49" s="11" t="s">
        <v>5555</v>
      </c>
      <c r="J49" s="7" t="s">
        <v>319</v>
      </c>
      <c r="K49" s="7" t="s">
        <v>5547</v>
      </c>
      <c r="L49" s="7" t="s">
        <v>5556</v>
      </c>
      <c r="M49" s="7" t="s">
        <v>5557</v>
      </c>
      <c r="N49" s="7"/>
    </row>
    <row r="50" customFormat="false" ht="58.5" hidden="false" customHeight="true" outlineLevel="0" collapsed="false">
      <c r="A50" s="7" t="s">
        <v>324</v>
      </c>
      <c r="B50" s="7" t="s">
        <v>325</v>
      </c>
      <c r="C50" s="7" t="s">
        <v>162</v>
      </c>
      <c r="D50" s="7" t="s">
        <v>326</v>
      </c>
      <c r="E50" s="7" t="s">
        <v>5551</v>
      </c>
      <c r="F50" s="7" t="s">
        <v>5630</v>
      </c>
      <c r="G50" s="7" t="s">
        <v>5631</v>
      </c>
      <c r="H50" s="7" t="s">
        <v>5632</v>
      </c>
      <c r="I50" s="12" t="s">
        <v>5562</v>
      </c>
      <c r="J50" s="7" t="s">
        <v>319</v>
      </c>
      <c r="K50" s="7" t="s">
        <v>5547</v>
      </c>
      <c r="L50" s="7" t="s">
        <v>5556</v>
      </c>
      <c r="M50" s="7" t="s">
        <v>5577</v>
      </c>
      <c r="N50" s="7"/>
    </row>
    <row r="51" customFormat="false" ht="58.5" hidden="false" customHeight="true" outlineLevel="0" collapsed="false">
      <c r="A51" s="7" t="s">
        <v>414</v>
      </c>
      <c r="B51" s="7" t="s">
        <v>415</v>
      </c>
      <c r="C51" s="7" t="s">
        <v>162</v>
      </c>
      <c r="D51" s="7" t="s">
        <v>416</v>
      </c>
      <c r="E51" s="7" t="s">
        <v>5551</v>
      </c>
      <c r="F51" s="7" t="s">
        <v>5633</v>
      </c>
      <c r="G51" s="7" t="s">
        <v>5634</v>
      </c>
      <c r="H51" s="7" t="s">
        <v>5635</v>
      </c>
      <c r="I51" s="12" t="s">
        <v>5562</v>
      </c>
      <c r="J51" s="7" t="s">
        <v>319</v>
      </c>
      <c r="K51" s="7" t="s">
        <v>5547</v>
      </c>
      <c r="L51" s="7" t="s">
        <v>5556</v>
      </c>
      <c r="M51" s="7" t="s">
        <v>5577</v>
      </c>
      <c r="N51" s="7"/>
    </row>
    <row r="52" customFormat="false" ht="58.5" hidden="false" customHeight="true" outlineLevel="0" collapsed="false">
      <c r="A52" s="7" t="s">
        <v>434</v>
      </c>
      <c r="B52" s="7" t="s">
        <v>435</v>
      </c>
      <c r="C52" s="7" t="s">
        <v>162</v>
      </c>
      <c r="D52" s="7" t="s">
        <v>436</v>
      </c>
      <c r="E52" s="7" t="s">
        <v>5542</v>
      </c>
      <c r="F52" s="7" t="s">
        <v>5636</v>
      </c>
      <c r="G52" s="7" t="s">
        <v>5637</v>
      </c>
      <c r="H52" s="7" t="s">
        <v>5638</v>
      </c>
      <c r="I52" s="12" t="s">
        <v>5562</v>
      </c>
      <c r="J52" s="7" t="s">
        <v>319</v>
      </c>
      <c r="K52" s="7" t="s">
        <v>5547</v>
      </c>
      <c r="L52" s="7" t="s">
        <v>5548</v>
      </c>
      <c r="M52" s="7" t="s">
        <v>5549</v>
      </c>
      <c r="N52" s="7" t="s">
        <v>5639</v>
      </c>
    </row>
    <row r="53" customFormat="false" ht="58.5" hidden="false" customHeight="true" outlineLevel="0" collapsed="false">
      <c r="A53" s="7" t="s">
        <v>439</v>
      </c>
      <c r="B53" s="7" t="s">
        <v>440</v>
      </c>
      <c r="C53" s="7" t="s">
        <v>162</v>
      </c>
      <c r="D53" s="7" t="s">
        <v>441</v>
      </c>
      <c r="E53" s="7" t="s">
        <v>5573</v>
      </c>
      <c r="F53" s="7" t="s">
        <v>5640</v>
      </c>
      <c r="G53" s="7" t="s">
        <v>5641</v>
      </c>
      <c r="H53" s="7" t="s">
        <v>5642</v>
      </c>
      <c r="I53" s="11" t="s">
        <v>5555</v>
      </c>
      <c r="J53" s="7" t="s">
        <v>319</v>
      </c>
      <c r="K53" s="7" t="s">
        <v>5547</v>
      </c>
      <c r="L53" s="7" t="s">
        <v>5556</v>
      </c>
      <c r="M53" s="7" t="s">
        <v>5577</v>
      </c>
      <c r="N53" s="7"/>
    </row>
    <row r="54" customFormat="false" ht="58.5" hidden="false" customHeight="true" outlineLevel="0" collapsed="false">
      <c r="A54" s="7" t="s">
        <v>444</v>
      </c>
      <c r="B54" s="7" t="s">
        <v>445</v>
      </c>
      <c r="C54" s="7" t="s">
        <v>162</v>
      </c>
      <c r="D54" s="7" t="s">
        <v>446</v>
      </c>
      <c r="E54" s="7" t="s">
        <v>5542</v>
      </c>
      <c r="F54" s="7" t="s">
        <v>5643</v>
      </c>
      <c r="G54" s="7" t="s">
        <v>5644</v>
      </c>
      <c r="H54" s="7" t="s">
        <v>5645</v>
      </c>
      <c r="I54" s="12" t="s">
        <v>5562</v>
      </c>
      <c r="J54" s="7" t="s">
        <v>319</v>
      </c>
      <c r="K54" s="7" t="s">
        <v>5547</v>
      </c>
      <c r="L54" s="7" t="s">
        <v>5548</v>
      </c>
      <c r="M54" s="7" t="s">
        <v>5549</v>
      </c>
      <c r="N54" s="7" t="s">
        <v>5646</v>
      </c>
    </row>
    <row r="55" customFormat="false" ht="58.5" hidden="false" customHeight="true" outlineLevel="0" collapsed="false">
      <c r="A55" s="7" t="s">
        <v>474</v>
      </c>
      <c r="B55" s="7" t="s">
        <v>475</v>
      </c>
      <c r="C55" s="7" t="s">
        <v>162</v>
      </c>
      <c r="D55" s="7" t="s">
        <v>476</v>
      </c>
      <c r="E55" s="7" t="s">
        <v>5542</v>
      </c>
      <c r="F55" s="7" t="s">
        <v>5647</v>
      </c>
      <c r="G55" s="7" t="s">
        <v>5648</v>
      </c>
      <c r="H55" s="7" t="s">
        <v>5649</v>
      </c>
      <c r="I55" s="12" t="s">
        <v>5562</v>
      </c>
      <c r="J55" s="7" t="s">
        <v>245</v>
      </c>
      <c r="K55" s="7" t="s">
        <v>5547</v>
      </c>
      <c r="L55" s="7" t="s">
        <v>5548</v>
      </c>
      <c r="M55" s="7" t="s">
        <v>5557</v>
      </c>
      <c r="N55" s="7" t="s">
        <v>5650</v>
      </c>
    </row>
    <row r="56" customFormat="false" ht="58.5" hidden="false" customHeight="true" outlineLevel="0" collapsed="false">
      <c r="A56" s="7" t="s">
        <v>480</v>
      </c>
      <c r="B56" s="7" t="s">
        <v>481</v>
      </c>
      <c r="C56" s="7" t="s">
        <v>162</v>
      </c>
      <c r="D56" s="7" t="s">
        <v>482</v>
      </c>
      <c r="E56" s="7" t="s">
        <v>5551</v>
      </c>
      <c r="F56" s="7" t="s">
        <v>5651</v>
      </c>
      <c r="G56" s="7" t="s">
        <v>5652</v>
      </c>
      <c r="H56" s="7" t="s">
        <v>5653</v>
      </c>
      <c r="I56" s="11" t="s">
        <v>5555</v>
      </c>
      <c r="J56" s="7" t="s">
        <v>245</v>
      </c>
      <c r="K56" s="7" t="s">
        <v>5547</v>
      </c>
      <c r="L56" s="7" t="s">
        <v>5556</v>
      </c>
      <c r="M56" s="7" t="s">
        <v>5557</v>
      </c>
      <c r="N56" s="7" t="s">
        <v>5654</v>
      </c>
    </row>
    <row r="57" customFormat="false" ht="58.5" hidden="false" customHeight="true" outlineLevel="0" collapsed="false">
      <c r="A57" s="7" t="s">
        <v>490</v>
      </c>
      <c r="B57" s="7" t="s">
        <v>491</v>
      </c>
      <c r="C57" s="7" t="s">
        <v>162</v>
      </c>
      <c r="D57" s="7" t="s">
        <v>492</v>
      </c>
      <c r="E57" s="7" t="s">
        <v>5551</v>
      </c>
      <c r="F57" s="7" t="s">
        <v>5655</v>
      </c>
      <c r="G57" s="7" t="s">
        <v>5656</v>
      </c>
      <c r="H57" s="7" t="s">
        <v>5657</v>
      </c>
      <c r="I57" s="12" t="s">
        <v>5562</v>
      </c>
      <c r="J57" s="7" t="s">
        <v>245</v>
      </c>
      <c r="K57" s="7" t="s">
        <v>5547</v>
      </c>
      <c r="L57" s="7" t="s">
        <v>5556</v>
      </c>
      <c r="M57" s="7" t="s">
        <v>5577</v>
      </c>
      <c r="N57" s="7"/>
    </row>
    <row r="58" customFormat="false" ht="58.5" hidden="false" customHeight="true" outlineLevel="0" collapsed="false">
      <c r="A58" s="7" t="s">
        <v>495</v>
      </c>
      <c r="B58" s="7" t="s">
        <v>496</v>
      </c>
      <c r="C58" s="7" t="s">
        <v>162</v>
      </c>
      <c r="D58" s="7" t="s">
        <v>497</v>
      </c>
      <c r="E58" s="7" t="s">
        <v>5551</v>
      </c>
      <c r="F58" s="7" t="s">
        <v>5658</v>
      </c>
      <c r="G58" s="7" t="s">
        <v>5659</v>
      </c>
      <c r="H58" s="7" t="s">
        <v>5660</v>
      </c>
      <c r="I58" s="11" t="s">
        <v>5555</v>
      </c>
      <c r="J58" s="7" t="s">
        <v>245</v>
      </c>
      <c r="K58" s="7" t="s">
        <v>5547</v>
      </c>
      <c r="L58" s="7" t="s">
        <v>5556</v>
      </c>
      <c r="M58" s="7" t="s">
        <v>5577</v>
      </c>
      <c r="N58" s="7"/>
    </row>
    <row r="59" customFormat="false" ht="58.5" hidden="false" customHeight="true" outlineLevel="0" collapsed="false">
      <c r="A59" s="7" t="s">
        <v>505</v>
      </c>
      <c r="B59" s="7" t="s">
        <v>506</v>
      </c>
      <c r="C59" s="7" t="s">
        <v>162</v>
      </c>
      <c r="D59" s="7" t="s">
        <v>507</v>
      </c>
      <c r="E59" s="7" t="s">
        <v>5551</v>
      </c>
      <c r="F59" s="7" t="s">
        <v>5661</v>
      </c>
      <c r="G59" s="7" t="s">
        <v>5662</v>
      </c>
      <c r="H59" s="7" t="s">
        <v>5663</v>
      </c>
      <c r="I59" s="11" t="s">
        <v>5555</v>
      </c>
      <c r="J59" s="7" t="s">
        <v>245</v>
      </c>
      <c r="K59" s="7" t="s">
        <v>5547</v>
      </c>
      <c r="L59" s="7" t="s">
        <v>5548</v>
      </c>
      <c r="M59" s="7" t="s">
        <v>5557</v>
      </c>
      <c r="N59" s="7"/>
    </row>
    <row r="60" customFormat="false" ht="58.5" hidden="false" customHeight="true" outlineLevel="0" collapsed="false">
      <c r="A60" s="7" t="s">
        <v>515</v>
      </c>
      <c r="B60" s="7" t="s">
        <v>516</v>
      </c>
      <c r="C60" s="7" t="s">
        <v>162</v>
      </c>
      <c r="D60" s="7" t="s">
        <v>517</v>
      </c>
      <c r="E60" s="7" t="s">
        <v>5542</v>
      </c>
      <c r="F60" s="7" t="s">
        <v>5664</v>
      </c>
      <c r="G60" s="7" t="s">
        <v>5665</v>
      </c>
      <c r="H60" s="7" t="s">
        <v>5666</v>
      </c>
      <c r="I60" s="12" t="s">
        <v>5562</v>
      </c>
      <c r="J60" s="7" t="s">
        <v>245</v>
      </c>
      <c r="K60" s="7" t="s">
        <v>5547</v>
      </c>
      <c r="L60" s="7" t="s">
        <v>5556</v>
      </c>
      <c r="M60" s="7" t="s">
        <v>5577</v>
      </c>
      <c r="N60" s="7"/>
    </row>
    <row r="61" customFormat="false" ht="39" hidden="false" customHeight="true" outlineLevel="0" collapsed="false">
      <c r="A61" s="7" t="s">
        <v>525</v>
      </c>
      <c r="B61" s="7" t="s">
        <v>526</v>
      </c>
      <c r="C61" s="7" t="s">
        <v>162</v>
      </c>
      <c r="D61" s="7" t="s">
        <v>527</v>
      </c>
      <c r="E61" s="7" t="s">
        <v>5573</v>
      </c>
      <c r="F61" s="7" t="s">
        <v>5667</v>
      </c>
      <c r="G61" s="7" t="s">
        <v>5668</v>
      </c>
      <c r="H61" s="7" t="s">
        <v>5669</v>
      </c>
      <c r="I61" s="11" t="s">
        <v>5555</v>
      </c>
      <c r="J61" s="7" t="s">
        <v>245</v>
      </c>
      <c r="K61" s="7" t="s">
        <v>5547</v>
      </c>
      <c r="L61" s="7" t="s">
        <v>5556</v>
      </c>
      <c r="M61" s="7" t="s">
        <v>5557</v>
      </c>
      <c r="N61" s="7" t="s">
        <v>5670</v>
      </c>
    </row>
    <row r="62" customFormat="false" ht="58.5" hidden="false" customHeight="true" outlineLevel="0" collapsed="false">
      <c r="A62" s="7" t="s">
        <v>530</v>
      </c>
      <c r="B62" s="7" t="s">
        <v>531</v>
      </c>
      <c r="C62" s="7" t="s">
        <v>162</v>
      </c>
      <c r="D62" s="7" t="s">
        <v>532</v>
      </c>
      <c r="E62" s="7" t="s">
        <v>5551</v>
      </c>
      <c r="F62" s="7" t="s">
        <v>5671</v>
      </c>
      <c r="G62" s="7" t="s">
        <v>5672</v>
      </c>
      <c r="H62" s="7" t="s">
        <v>5673</v>
      </c>
      <c r="I62" s="11" t="s">
        <v>5555</v>
      </c>
      <c r="J62" s="7" t="s">
        <v>245</v>
      </c>
      <c r="K62" s="7" t="s">
        <v>5547</v>
      </c>
      <c r="L62" s="7" t="s">
        <v>5556</v>
      </c>
      <c r="M62" s="7" t="s">
        <v>5577</v>
      </c>
      <c r="N62" s="7"/>
    </row>
    <row r="63" customFormat="false" ht="58.5" hidden="false" customHeight="true" outlineLevel="0" collapsed="false">
      <c r="A63" s="7" t="s">
        <v>535</v>
      </c>
      <c r="B63" s="7" t="s">
        <v>536</v>
      </c>
      <c r="C63" s="7" t="s">
        <v>162</v>
      </c>
      <c r="D63" s="7" t="s">
        <v>537</v>
      </c>
      <c r="E63" s="7" t="s">
        <v>5551</v>
      </c>
      <c r="F63" s="7" t="s">
        <v>5674</v>
      </c>
      <c r="G63" s="7" t="s">
        <v>5675</v>
      </c>
      <c r="H63" s="7" t="s">
        <v>5676</v>
      </c>
      <c r="I63" s="11" t="s">
        <v>5555</v>
      </c>
      <c r="J63" s="7" t="s">
        <v>538</v>
      </c>
      <c r="K63" s="7" t="s">
        <v>5547</v>
      </c>
      <c r="L63" s="7" t="s">
        <v>5556</v>
      </c>
      <c r="M63" s="7" t="s">
        <v>5557</v>
      </c>
      <c r="N63" s="7" t="s">
        <v>5677</v>
      </c>
    </row>
    <row r="64" customFormat="false" ht="58.5" hidden="false" customHeight="true" outlineLevel="0" collapsed="false">
      <c r="A64" s="7" t="s">
        <v>542</v>
      </c>
      <c r="B64" s="7" t="s">
        <v>543</v>
      </c>
      <c r="C64" s="7" t="s">
        <v>162</v>
      </c>
      <c r="D64" s="7" t="s">
        <v>544</v>
      </c>
      <c r="E64" s="7" t="s">
        <v>5551</v>
      </c>
      <c r="F64" s="7" t="s">
        <v>5678</v>
      </c>
      <c r="G64" s="7" t="s">
        <v>5679</v>
      </c>
      <c r="H64" s="7" t="s">
        <v>5680</v>
      </c>
      <c r="I64" s="12" t="s">
        <v>5562</v>
      </c>
      <c r="J64" s="7" t="s">
        <v>538</v>
      </c>
      <c r="K64" s="7" t="s">
        <v>5547</v>
      </c>
      <c r="L64" s="7" t="s">
        <v>5548</v>
      </c>
      <c r="M64" s="7" t="s">
        <v>5549</v>
      </c>
      <c r="N64" s="7" t="s">
        <v>5681</v>
      </c>
    </row>
    <row r="65" customFormat="false" ht="58.5" hidden="false" customHeight="true" outlineLevel="0" collapsed="false">
      <c r="A65" s="7" t="s">
        <v>557</v>
      </c>
      <c r="B65" s="7" t="s">
        <v>558</v>
      </c>
      <c r="C65" s="7" t="s">
        <v>162</v>
      </c>
      <c r="D65" s="7" t="s">
        <v>559</v>
      </c>
      <c r="E65" s="7" t="s">
        <v>5551</v>
      </c>
      <c r="F65" s="7" t="s">
        <v>5682</v>
      </c>
      <c r="G65" s="7" t="s">
        <v>5683</v>
      </c>
      <c r="H65" s="7" t="s">
        <v>5684</v>
      </c>
      <c r="I65" s="12" t="s">
        <v>5562</v>
      </c>
      <c r="J65" s="7" t="s">
        <v>165</v>
      </c>
      <c r="K65" s="7" t="s">
        <v>5547</v>
      </c>
      <c r="L65" s="7" t="s">
        <v>5548</v>
      </c>
      <c r="M65" s="7" t="s">
        <v>5549</v>
      </c>
      <c r="N65" s="7" t="s">
        <v>5685</v>
      </c>
    </row>
    <row r="66" customFormat="false" ht="39" hidden="false" customHeight="true" outlineLevel="0" collapsed="false">
      <c r="A66" s="7" t="s">
        <v>563</v>
      </c>
      <c r="B66" s="7" t="s">
        <v>564</v>
      </c>
      <c r="C66" s="7" t="s">
        <v>162</v>
      </c>
      <c r="D66" s="7" t="s">
        <v>565</v>
      </c>
      <c r="E66" s="7" t="s">
        <v>5551</v>
      </c>
      <c r="F66" s="7" t="s">
        <v>5686</v>
      </c>
      <c r="G66" s="7" t="s">
        <v>5687</v>
      </c>
      <c r="H66" s="7" t="s">
        <v>5688</v>
      </c>
      <c r="I66" s="10" t="s">
        <v>5546</v>
      </c>
      <c r="J66" s="7" t="s">
        <v>567</v>
      </c>
      <c r="K66" s="7" t="s">
        <v>5547</v>
      </c>
      <c r="L66" s="7" t="s">
        <v>5548</v>
      </c>
      <c r="M66" s="7" t="s">
        <v>5549</v>
      </c>
      <c r="N66" s="7" t="s">
        <v>5689</v>
      </c>
    </row>
    <row r="67" customFormat="false" ht="58.5" hidden="false" customHeight="true" outlineLevel="0" collapsed="false">
      <c r="A67" s="7" t="s">
        <v>593</v>
      </c>
      <c r="B67" s="7" t="s">
        <v>594</v>
      </c>
      <c r="C67" s="7" t="s">
        <v>162</v>
      </c>
      <c r="D67" s="7" t="s">
        <v>595</v>
      </c>
      <c r="E67" s="7" t="s">
        <v>5551</v>
      </c>
      <c r="F67" s="7" t="s">
        <v>5690</v>
      </c>
      <c r="G67" s="7" t="s">
        <v>5691</v>
      </c>
      <c r="H67" s="7" t="s">
        <v>5580</v>
      </c>
      <c r="I67" s="12" t="s">
        <v>5562</v>
      </c>
      <c r="J67" s="7" t="s">
        <v>245</v>
      </c>
      <c r="K67" s="7" t="s">
        <v>5547</v>
      </c>
      <c r="L67" s="7" t="s">
        <v>5548</v>
      </c>
      <c r="M67" s="7" t="s">
        <v>5549</v>
      </c>
      <c r="N67" s="7" t="s">
        <v>594</v>
      </c>
    </row>
    <row r="68" customFormat="false" ht="58.5" hidden="false" customHeight="true" outlineLevel="0" collapsed="false">
      <c r="A68" s="7" t="s">
        <v>598</v>
      </c>
      <c r="B68" s="7" t="s">
        <v>599</v>
      </c>
      <c r="C68" s="7" t="s">
        <v>162</v>
      </c>
      <c r="D68" s="7" t="s">
        <v>600</v>
      </c>
      <c r="E68" s="7" t="s">
        <v>5551</v>
      </c>
      <c r="F68" s="7" t="s">
        <v>5692</v>
      </c>
      <c r="G68" s="7" t="s">
        <v>5693</v>
      </c>
      <c r="H68" s="7" t="s">
        <v>5694</v>
      </c>
      <c r="I68" s="11" t="s">
        <v>5555</v>
      </c>
      <c r="J68" s="7" t="s">
        <v>538</v>
      </c>
      <c r="K68" s="7" t="s">
        <v>5547</v>
      </c>
      <c r="L68" s="7" t="s">
        <v>5548</v>
      </c>
      <c r="M68" s="7" t="s">
        <v>5549</v>
      </c>
      <c r="N68" s="7" t="s">
        <v>5695</v>
      </c>
    </row>
    <row r="69" customFormat="false" ht="58.5" hidden="false" customHeight="true" outlineLevel="0" collapsed="false">
      <c r="A69" s="7" t="s">
        <v>609</v>
      </c>
      <c r="B69" s="7" t="s">
        <v>610</v>
      </c>
      <c r="C69" s="7" t="s">
        <v>162</v>
      </c>
      <c r="D69" s="7" t="s">
        <v>611</v>
      </c>
      <c r="E69" s="7" t="s">
        <v>5551</v>
      </c>
      <c r="F69" s="7" t="s">
        <v>5696</v>
      </c>
      <c r="G69" s="7" t="s">
        <v>5697</v>
      </c>
      <c r="H69" s="7" t="s">
        <v>5698</v>
      </c>
      <c r="I69" s="11" t="s">
        <v>5555</v>
      </c>
      <c r="J69" s="7" t="s">
        <v>538</v>
      </c>
      <c r="K69" s="7" t="s">
        <v>5547</v>
      </c>
      <c r="L69" s="7" t="s">
        <v>5581</v>
      </c>
      <c r="M69" s="7" t="s">
        <v>5557</v>
      </c>
      <c r="N69" s="7" t="s">
        <v>610</v>
      </c>
    </row>
    <row r="70" customFormat="false" ht="39" hidden="false" customHeight="true" outlineLevel="0" collapsed="false">
      <c r="A70" s="7" t="s">
        <v>5699</v>
      </c>
      <c r="B70" s="7" t="s">
        <v>5700</v>
      </c>
      <c r="C70" s="7" t="s">
        <v>162</v>
      </c>
      <c r="D70" s="7" t="s">
        <v>5701</v>
      </c>
      <c r="E70" s="7" t="s">
        <v>5551</v>
      </c>
      <c r="F70" s="7" t="s">
        <v>5702</v>
      </c>
      <c r="G70" s="7" t="s">
        <v>5703</v>
      </c>
      <c r="H70" s="7" t="s">
        <v>5704</v>
      </c>
      <c r="I70" s="10" t="s">
        <v>5546</v>
      </c>
      <c r="J70" s="7" t="s">
        <v>538</v>
      </c>
      <c r="K70" s="7" t="s">
        <v>5547</v>
      </c>
      <c r="L70" s="7" t="s">
        <v>5548</v>
      </c>
      <c r="M70" s="7" t="s">
        <v>5549</v>
      </c>
      <c r="N70" s="7" t="s">
        <v>5705</v>
      </c>
    </row>
    <row r="71" customFormat="false" ht="39" hidden="false" customHeight="true" outlineLevel="0" collapsed="false">
      <c r="A71" s="7" t="s">
        <v>5706</v>
      </c>
      <c r="B71" s="7" t="s">
        <v>5707</v>
      </c>
      <c r="C71" s="7" t="s">
        <v>162</v>
      </c>
      <c r="D71" s="7" t="s">
        <v>5708</v>
      </c>
      <c r="E71" s="7" t="s">
        <v>5551</v>
      </c>
      <c r="F71" s="7" t="s">
        <v>5709</v>
      </c>
      <c r="G71" s="7" t="s">
        <v>5710</v>
      </c>
      <c r="H71" s="7" t="s">
        <v>5711</v>
      </c>
      <c r="I71" s="10" t="s">
        <v>5546</v>
      </c>
      <c r="J71" s="7" t="s">
        <v>538</v>
      </c>
      <c r="K71" s="7" t="s">
        <v>5547</v>
      </c>
      <c r="L71" s="7" t="s">
        <v>5548</v>
      </c>
      <c r="M71" s="7" t="s">
        <v>5549</v>
      </c>
      <c r="N71" s="7" t="s">
        <v>5712</v>
      </c>
    </row>
    <row r="72" customFormat="false" ht="58.5" hidden="false" customHeight="true" outlineLevel="0" collapsed="false">
      <c r="A72" s="7" t="s">
        <v>683</v>
      </c>
      <c r="B72" s="7" t="s">
        <v>684</v>
      </c>
      <c r="C72" s="7" t="s">
        <v>162</v>
      </c>
      <c r="D72" s="7" t="s">
        <v>685</v>
      </c>
      <c r="E72" s="7" t="s">
        <v>5551</v>
      </c>
      <c r="F72" s="7" t="s">
        <v>5713</v>
      </c>
      <c r="G72" s="7" t="s">
        <v>5714</v>
      </c>
      <c r="H72" s="7" t="s">
        <v>5715</v>
      </c>
      <c r="I72" s="11" t="s">
        <v>5555</v>
      </c>
      <c r="J72" s="7" t="s">
        <v>319</v>
      </c>
      <c r="K72" s="7" t="s">
        <v>5547</v>
      </c>
      <c r="L72" s="7" t="s">
        <v>5548</v>
      </c>
      <c r="M72" s="7" t="s">
        <v>5557</v>
      </c>
      <c r="N72" s="7" t="s">
        <v>5716</v>
      </c>
    </row>
    <row r="73" customFormat="false" ht="58.5" hidden="false" customHeight="true" outlineLevel="0" collapsed="false">
      <c r="A73" s="7" t="s">
        <v>689</v>
      </c>
      <c r="B73" s="7" t="s">
        <v>690</v>
      </c>
      <c r="C73" s="7" t="s">
        <v>162</v>
      </c>
      <c r="D73" s="7" t="s">
        <v>691</v>
      </c>
      <c r="E73" s="7" t="s">
        <v>5573</v>
      </c>
      <c r="F73" s="7" t="s">
        <v>5717</v>
      </c>
      <c r="G73" s="7" t="s">
        <v>5718</v>
      </c>
      <c r="H73" s="7" t="s">
        <v>5719</v>
      </c>
      <c r="I73" s="12" t="s">
        <v>5562</v>
      </c>
      <c r="J73" s="7" t="s">
        <v>319</v>
      </c>
      <c r="K73" s="7" t="s">
        <v>5547</v>
      </c>
      <c r="L73" s="7" t="s">
        <v>5556</v>
      </c>
      <c r="M73" s="7" t="s">
        <v>5577</v>
      </c>
      <c r="N73" s="7"/>
    </row>
    <row r="74" customFormat="false" ht="58.5" hidden="false" customHeight="true" outlineLevel="0" collapsed="false">
      <c r="A74" s="7" t="s">
        <v>694</v>
      </c>
      <c r="B74" s="7" t="s">
        <v>695</v>
      </c>
      <c r="C74" s="7" t="s">
        <v>162</v>
      </c>
      <c r="D74" s="7" t="s">
        <v>696</v>
      </c>
      <c r="E74" s="7" t="s">
        <v>5551</v>
      </c>
      <c r="F74" s="7" t="s">
        <v>5720</v>
      </c>
      <c r="G74" s="7" t="s">
        <v>5721</v>
      </c>
      <c r="H74" s="7" t="s">
        <v>5722</v>
      </c>
      <c r="I74" s="11" t="s">
        <v>5555</v>
      </c>
      <c r="J74" s="7" t="s">
        <v>319</v>
      </c>
      <c r="K74" s="7" t="s">
        <v>5547</v>
      </c>
      <c r="L74" s="7" t="s">
        <v>5556</v>
      </c>
      <c r="M74" s="7" t="s">
        <v>5563</v>
      </c>
      <c r="N74" s="7" t="s">
        <v>5723</v>
      </c>
    </row>
    <row r="75" customFormat="false" ht="58.5" hidden="false" customHeight="true" outlineLevel="0" collapsed="false">
      <c r="A75" s="7" t="s">
        <v>704</v>
      </c>
      <c r="B75" s="7" t="s">
        <v>705</v>
      </c>
      <c r="C75" s="7" t="s">
        <v>162</v>
      </c>
      <c r="D75" s="7" t="s">
        <v>706</v>
      </c>
      <c r="E75" s="7" t="s">
        <v>5551</v>
      </c>
      <c r="F75" s="7" t="s">
        <v>5724</v>
      </c>
      <c r="G75" s="7" t="s">
        <v>5725</v>
      </c>
      <c r="H75" s="7" t="s">
        <v>5726</v>
      </c>
      <c r="I75" s="11" t="s">
        <v>5555</v>
      </c>
      <c r="J75" s="7" t="s">
        <v>319</v>
      </c>
      <c r="K75" s="7" t="s">
        <v>5547</v>
      </c>
      <c r="L75" s="7" t="s">
        <v>5548</v>
      </c>
      <c r="M75" s="7" t="s">
        <v>5549</v>
      </c>
      <c r="N75" s="7" t="s">
        <v>5727</v>
      </c>
    </row>
    <row r="76" customFormat="false" ht="58.5" hidden="false" customHeight="true" outlineLevel="0" collapsed="false">
      <c r="A76" s="7" t="s">
        <v>719</v>
      </c>
      <c r="B76" s="7" t="s">
        <v>720</v>
      </c>
      <c r="C76" s="7" t="s">
        <v>162</v>
      </c>
      <c r="D76" s="7" t="s">
        <v>721</v>
      </c>
      <c r="E76" s="7" t="s">
        <v>5551</v>
      </c>
      <c r="F76" s="7" t="s">
        <v>5728</v>
      </c>
      <c r="G76" s="7" t="s">
        <v>5729</v>
      </c>
      <c r="H76" s="7" t="s">
        <v>5730</v>
      </c>
      <c r="I76" s="11" t="s">
        <v>5555</v>
      </c>
      <c r="J76" s="7" t="s">
        <v>319</v>
      </c>
      <c r="K76" s="7" t="s">
        <v>5547</v>
      </c>
      <c r="L76" s="7" t="s">
        <v>5548</v>
      </c>
      <c r="M76" s="7" t="s">
        <v>5549</v>
      </c>
      <c r="N76" s="7" t="s">
        <v>5731</v>
      </c>
    </row>
    <row r="77" customFormat="false" ht="58.5" hidden="false" customHeight="true" outlineLevel="0" collapsed="false">
      <c r="A77" s="7" t="s">
        <v>5732</v>
      </c>
      <c r="B77" s="7" t="s">
        <v>5733</v>
      </c>
      <c r="C77" s="7" t="s">
        <v>162</v>
      </c>
      <c r="D77" s="7" t="s">
        <v>5734</v>
      </c>
      <c r="E77" s="7" t="s">
        <v>5551</v>
      </c>
      <c r="F77" s="7" t="s">
        <v>5735</v>
      </c>
      <c r="G77" s="7" t="s">
        <v>5736</v>
      </c>
      <c r="H77" s="7" t="s">
        <v>5737</v>
      </c>
      <c r="I77" s="10" t="s">
        <v>5546</v>
      </c>
      <c r="J77" s="7" t="s">
        <v>245</v>
      </c>
      <c r="K77" s="7" t="s">
        <v>5547</v>
      </c>
      <c r="L77" s="7" t="s">
        <v>5548</v>
      </c>
      <c r="M77" s="7" t="s">
        <v>5549</v>
      </c>
      <c r="N77" s="7" t="s">
        <v>5738</v>
      </c>
    </row>
    <row r="78" customFormat="false" ht="58.5" hidden="false" customHeight="true" outlineLevel="0" collapsed="false">
      <c r="A78" s="7" t="s">
        <v>753</v>
      </c>
      <c r="B78" s="7" t="s">
        <v>754</v>
      </c>
      <c r="C78" s="7" t="s">
        <v>162</v>
      </c>
      <c r="D78" s="7" t="s">
        <v>755</v>
      </c>
      <c r="E78" s="7" t="s">
        <v>5551</v>
      </c>
      <c r="F78" s="7" t="s">
        <v>5739</v>
      </c>
      <c r="G78" s="7" t="s">
        <v>5740</v>
      </c>
      <c r="H78" s="7" t="s">
        <v>5741</v>
      </c>
      <c r="I78" s="12" t="s">
        <v>5562</v>
      </c>
      <c r="J78" s="7" t="s">
        <v>749</v>
      </c>
      <c r="K78" s="7" t="s">
        <v>5547</v>
      </c>
      <c r="L78" s="7" t="s">
        <v>5548</v>
      </c>
      <c r="M78" s="7" t="s">
        <v>5549</v>
      </c>
      <c r="N78" s="7" t="s">
        <v>5742</v>
      </c>
    </row>
    <row r="79" customFormat="false" ht="58.5" hidden="false" customHeight="true" outlineLevel="0" collapsed="false">
      <c r="A79" s="7" t="s">
        <v>758</v>
      </c>
      <c r="B79" s="7" t="s">
        <v>759</v>
      </c>
      <c r="C79" s="7" t="s">
        <v>162</v>
      </c>
      <c r="D79" s="7" t="s">
        <v>760</v>
      </c>
      <c r="E79" s="7" t="s">
        <v>5551</v>
      </c>
      <c r="F79" s="7" t="s">
        <v>5743</v>
      </c>
      <c r="G79" s="7" t="s">
        <v>5744</v>
      </c>
      <c r="H79" s="7" t="s">
        <v>5745</v>
      </c>
      <c r="I79" s="12" t="s">
        <v>5562</v>
      </c>
      <c r="J79" s="7" t="s">
        <v>319</v>
      </c>
      <c r="K79" s="7" t="s">
        <v>5547</v>
      </c>
      <c r="L79" s="7" t="s">
        <v>5548</v>
      </c>
      <c r="M79" s="7" t="s">
        <v>5557</v>
      </c>
      <c r="N79" s="7" t="s">
        <v>5746</v>
      </c>
    </row>
    <row r="80" customFormat="false" ht="58.5" hidden="false" customHeight="true" outlineLevel="0" collapsed="false">
      <c r="A80" s="7" t="s">
        <v>763</v>
      </c>
      <c r="B80" s="7" t="s">
        <v>764</v>
      </c>
      <c r="C80" s="7" t="s">
        <v>162</v>
      </c>
      <c r="D80" s="7" t="s">
        <v>765</v>
      </c>
      <c r="E80" s="7" t="s">
        <v>5551</v>
      </c>
      <c r="F80" s="7" t="s">
        <v>5747</v>
      </c>
      <c r="G80" s="7" t="s">
        <v>5748</v>
      </c>
      <c r="H80" s="7" t="s">
        <v>5749</v>
      </c>
      <c r="I80" s="10" t="s">
        <v>5546</v>
      </c>
      <c r="J80" s="7" t="s">
        <v>319</v>
      </c>
      <c r="K80" s="7" t="s">
        <v>5547</v>
      </c>
      <c r="L80" s="7" t="s">
        <v>5548</v>
      </c>
      <c r="M80" s="7" t="s">
        <v>5549</v>
      </c>
      <c r="N80" s="7" t="s">
        <v>5750</v>
      </c>
    </row>
    <row r="81" customFormat="false" ht="58.5" hidden="false" customHeight="true" outlineLevel="0" collapsed="false">
      <c r="A81" s="7" t="s">
        <v>778</v>
      </c>
      <c r="B81" s="7" t="s">
        <v>779</v>
      </c>
      <c r="C81" s="7" t="s">
        <v>162</v>
      </c>
      <c r="D81" s="7" t="s">
        <v>780</v>
      </c>
      <c r="E81" s="7" t="s">
        <v>5551</v>
      </c>
      <c r="F81" s="7" t="s">
        <v>5751</v>
      </c>
      <c r="G81" s="7" t="s">
        <v>5752</v>
      </c>
      <c r="H81" s="7" t="s">
        <v>5753</v>
      </c>
      <c r="I81" s="10" t="s">
        <v>5546</v>
      </c>
      <c r="J81" s="7" t="s">
        <v>319</v>
      </c>
      <c r="K81" s="7" t="s">
        <v>5547</v>
      </c>
      <c r="L81" s="7" t="s">
        <v>5548</v>
      </c>
      <c r="M81" s="7" t="s">
        <v>5549</v>
      </c>
      <c r="N81" s="7" t="s">
        <v>5754</v>
      </c>
    </row>
    <row r="82" customFormat="false" ht="58.5" hidden="false" customHeight="true" outlineLevel="0" collapsed="false">
      <c r="A82" s="7" t="s">
        <v>788</v>
      </c>
      <c r="B82" s="7" t="s">
        <v>789</v>
      </c>
      <c r="C82" s="7" t="s">
        <v>162</v>
      </c>
      <c r="D82" s="7" t="s">
        <v>790</v>
      </c>
      <c r="E82" s="7" t="s">
        <v>5551</v>
      </c>
      <c r="F82" s="7" t="s">
        <v>5755</v>
      </c>
      <c r="G82" s="7" t="s">
        <v>5756</v>
      </c>
      <c r="H82" s="7" t="s">
        <v>5757</v>
      </c>
      <c r="I82" s="10" t="s">
        <v>5546</v>
      </c>
      <c r="J82" s="7" t="s">
        <v>629</v>
      </c>
      <c r="K82" s="7" t="s">
        <v>5547</v>
      </c>
      <c r="L82" s="7" t="s">
        <v>5556</v>
      </c>
      <c r="M82" s="7" t="s">
        <v>5563</v>
      </c>
      <c r="N82" s="7" t="s">
        <v>789</v>
      </c>
    </row>
    <row r="83" customFormat="false" ht="58.5" hidden="false" customHeight="true" outlineLevel="0" collapsed="false">
      <c r="A83" s="7" t="s">
        <v>803</v>
      </c>
      <c r="B83" s="7" t="s">
        <v>804</v>
      </c>
      <c r="C83" s="7" t="s">
        <v>162</v>
      </c>
      <c r="D83" s="7" t="s">
        <v>805</v>
      </c>
      <c r="E83" s="7" t="s">
        <v>5551</v>
      </c>
      <c r="F83" s="7" t="s">
        <v>5758</v>
      </c>
      <c r="G83" s="7" t="s">
        <v>5759</v>
      </c>
      <c r="H83" s="7" t="s">
        <v>5760</v>
      </c>
      <c r="I83" s="12" t="s">
        <v>5562</v>
      </c>
      <c r="J83" s="7" t="s">
        <v>629</v>
      </c>
      <c r="K83" s="7" t="s">
        <v>5547</v>
      </c>
      <c r="L83" s="7" t="s">
        <v>5548</v>
      </c>
      <c r="M83" s="7" t="s">
        <v>5557</v>
      </c>
      <c r="N83" s="7" t="s">
        <v>804</v>
      </c>
    </row>
    <row r="84" customFormat="false" ht="58.5" hidden="false" customHeight="true" outlineLevel="0" collapsed="false">
      <c r="A84" s="7" t="s">
        <v>809</v>
      </c>
      <c r="B84" s="7" t="s">
        <v>810</v>
      </c>
      <c r="C84" s="7" t="s">
        <v>162</v>
      </c>
      <c r="D84" s="7" t="s">
        <v>811</v>
      </c>
      <c r="E84" s="7" t="s">
        <v>5551</v>
      </c>
      <c r="F84" s="7" t="s">
        <v>5761</v>
      </c>
      <c r="G84" s="7" t="s">
        <v>5762</v>
      </c>
      <c r="H84" s="7" t="s">
        <v>5763</v>
      </c>
      <c r="I84" s="10" t="s">
        <v>5546</v>
      </c>
      <c r="J84" s="7" t="s">
        <v>629</v>
      </c>
      <c r="K84" s="7" t="s">
        <v>5547</v>
      </c>
      <c r="L84" s="7" t="s">
        <v>5548</v>
      </c>
      <c r="M84" s="7" t="s">
        <v>5549</v>
      </c>
      <c r="N84" s="7" t="s">
        <v>810</v>
      </c>
    </row>
    <row r="85" customFormat="false" ht="58.5" hidden="false" customHeight="true" outlineLevel="0" collapsed="false">
      <c r="A85" s="7" t="s">
        <v>921</v>
      </c>
      <c r="B85" s="7" t="s">
        <v>922</v>
      </c>
      <c r="C85" s="7" t="s">
        <v>923</v>
      </c>
      <c r="D85" s="7" t="s">
        <v>163</v>
      </c>
      <c r="E85" s="7" t="s">
        <v>5542</v>
      </c>
      <c r="F85" s="7" t="s">
        <v>5764</v>
      </c>
      <c r="G85" s="7" t="s">
        <v>5765</v>
      </c>
      <c r="H85" s="7" t="s">
        <v>5766</v>
      </c>
      <c r="I85" s="10" t="s">
        <v>5546</v>
      </c>
      <c r="J85" s="7" t="s">
        <v>165</v>
      </c>
      <c r="K85" s="7" t="s">
        <v>5767</v>
      </c>
      <c r="L85" s="7" t="s">
        <v>5548</v>
      </c>
      <c r="M85" s="7" t="s">
        <v>5549</v>
      </c>
      <c r="N85" s="7" t="s">
        <v>5768</v>
      </c>
    </row>
    <row r="86" customFormat="false" ht="58.5" hidden="false" customHeight="true" outlineLevel="0" collapsed="false">
      <c r="A86" s="7" t="s">
        <v>926</v>
      </c>
      <c r="B86" s="7" t="s">
        <v>927</v>
      </c>
      <c r="C86" s="7" t="s">
        <v>923</v>
      </c>
      <c r="D86" s="7" t="s">
        <v>928</v>
      </c>
      <c r="E86" s="7" t="s">
        <v>5573</v>
      </c>
      <c r="F86" s="7" t="s">
        <v>5769</v>
      </c>
      <c r="G86" s="7" t="s">
        <v>5770</v>
      </c>
      <c r="H86" s="7" t="s">
        <v>5771</v>
      </c>
      <c r="I86" s="11" t="s">
        <v>5555</v>
      </c>
      <c r="J86" s="7" t="s">
        <v>929</v>
      </c>
      <c r="K86" s="7" t="s">
        <v>5767</v>
      </c>
      <c r="L86" s="7" t="s">
        <v>5556</v>
      </c>
      <c r="M86" s="7" t="s">
        <v>5557</v>
      </c>
      <c r="N86" s="7" t="s">
        <v>5772</v>
      </c>
    </row>
    <row r="87" customFormat="false" ht="78" hidden="false" customHeight="true" outlineLevel="0" collapsed="false">
      <c r="A87" s="7" t="s">
        <v>939</v>
      </c>
      <c r="B87" s="7" t="s">
        <v>940</v>
      </c>
      <c r="C87" s="7" t="s">
        <v>923</v>
      </c>
      <c r="D87" s="7" t="s">
        <v>941</v>
      </c>
      <c r="E87" s="7" t="s">
        <v>5551</v>
      </c>
      <c r="F87" s="7" t="s">
        <v>5773</v>
      </c>
      <c r="G87" s="7" t="s">
        <v>5774</v>
      </c>
      <c r="H87" s="7" t="s">
        <v>5775</v>
      </c>
      <c r="I87" s="11" t="s">
        <v>5555</v>
      </c>
      <c r="J87" s="7" t="s">
        <v>929</v>
      </c>
      <c r="K87" s="7" t="s">
        <v>5767</v>
      </c>
      <c r="L87" s="7" t="s">
        <v>5556</v>
      </c>
      <c r="M87" s="7" t="s">
        <v>5557</v>
      </c>
      <c r="N87" s="7" t="s">
        <v>5776</v>
      </c>
    </row>
    <row r="88" customFormat="false" ht="58.5" hidden="false" customHeight="true" outlineLevel="0" collapsed="false">
      <c r="A88" s="7" t="s">
        <v>949</v>
      </c>
      <c r="B88" s="7" t="s">
        <v>950</v>
      </c>
      <c r="C88" s="7" t="s">
        <v>923</v>
      </c>
      <c r="D88" s="7" t="s">
        <v>951</v>
      </c>
      <c r="E88" s="7" t="s">
        <v>5551</v>
      </c>
      <c r="F88" s="7" t="s">
        <v>5777</v>
      </c>
      <c r="G88" s="7" t="s">
        <v>5778</v>
      </c>
      <c r="H88" s="7" t="s">
        <v>5779</v>
      </c>
      <c r="I88" s="12" t="s">
        <v>5562</v>
      </c>
      <c r="J88" s="7" t="s">
        <v>929</v>
      </c>
      <c r="K88" s="7" t="s">
        <v>5767</v>
      </c>
      <c r="L88" s="7" t="s">
        <v>5548</v>
      </c>
      <c r="M88" s="7" t="s">
        <v>5549</v>
      </c>
      <c r="N88" s="7" t="s">
        <v>5780</v>
      </c>
    </row>
    <row r="89" customFormat="false" ht="39" hidden="false" customHeight="true" outlineLevel="0" collapsed="false">
      <c r="A89" s="7" t="s">
        <v>954</v>
      </c>
      <c r="B89" s="7" t="s">
        <v>955</v>
      </c>
      <c r="C89" s="7" t="s">
        <v>923</v>
      </c>
      <c r="D89" s="7" t="s">
        <v>956</v>
      </c>
      <c r="E89" s="7" t="s">
        <v>5551</v>
      </c>
      <c r="F89" s="7" t="s">
        <v>5781</v>
      </c>
      <c r="G89" s="7" t="s">
        <v>5782</v>
      </c>
      <c r="H89" s="7" t="s">
        <v>5783</v>
      </c>
      <c r="I89" s="12" t="s">
        <v>5562</v>
      </c>
      <c r="J89" s="7" t="s">
        <v>957</v>
      </c>
      <c r="K89" s="7" t="s">
        <v>5767</v>
      </c>
      <c r="L89" s="7" t="s">
        <v>5548</v>
      </c>
      <c r="M89" s="7" t="s">
        <v>5557</v>
      </c>
      <c r="N89" s="7"/>
    </row>
    <row r="90" customFormat="false" ht="58.5" hidden="false" customHeight="true" outlineLevel="0" collapsed="false">
      <c r="A90" s="7" t="s">
        <v>961</v>
      </c>
      <c r="B90" s="7" t="s">
        <v>962</v>
      </c>
      <c r="C90" s="7" t="s">
        <v>923</v>
      </c>
      <c r="D90" s="7" t="s">
        <v>963</v>
      </c>
      <c r="E90" s="7" t="s">
        <v>5551</v>
      </c>
      <c r="F90" s="7" t="s">
        <v>5784</v>
      </c>
      <c r="G90" s="7" t="s">
        <v>5785</v>
      </c>
      <c r="H90" s="7" t="s">
        <v>5786</v>
      </c>
      <c r="I90" s="10" t="s">
        <v>5546</v>
      </c>
      <c r="J90" s="7" t="s">
        <v>957</v>
      </c>
      <c r="K90" s="7" t="s">
        <v>5767</v>
      </c>
      <c r="L90" s="7" t="s">
        <v>5556</v>
      </c>
      <c r="M90" s="7" t="s">
        <v>5577</v>
      </c>
      <c r="N90" s="7"/>
    </row>
    <row r="91" customFormat="false" ht="58.5" hidden="false" customHeight="true" outlineLevel="0" collapsed="false">
      <c r="A91" s="7" t="s">
        <v>966</v>
      </c>
      <c r="B91" s="7" t="s">
        <v>967</v>
      </c>
      <c r="C91" s="7" t="s">
        <v>923</v>
      </c>
      <c r="D91" s="7" t="s">
        <v>968</v>
      </c>
      <c r="E91" s="7" t="s">
        <v>5551</v>
      </c>
      <c r="F91" s="7" t="s">
        <v>5787</v>
      </c>
      <c r="G91" s="7" t="s">
        <v>5788</v>
      </c>
      <c r="H91" s="7" t="s">
        <v>5789</v>
      </c>
      <c r="I91" s="11" t="s">
        <v>5555</v>
      </c>
      <c r="J91" s="7" t="s">
        <v>969</v>
      </c>
      <c r="K91" s="7" t="s">
        <v>5767</v>
      </c>
      <c r="L91" s="7" t="s">
        <v>5548</v>
      </c>
      <c r="M91" s="7" t="s">
        <v>5557</v>
      </c>
      <c r="N91" s="7"/>
    </row>
    <row r="92" customFormat="false" ht="58.5" hidden="false" customHeight="true" outlineLevel="0" collapsed="false">
      <c r="A92" s="7" t="s">
        <v>998</v>
      </c>
      <c r="B92" s="7" t="s">
        <v>999</v>
      </c>
      <c r="C92" s="7" t="s">
        <v>923</v>
      </c>
      <c r="D92" s="7" t="s">
        <v>1000</v>
      </c>
      <c r="E92" s="7" t="s">
        <v>5542</v>
      </c>
      <c r="F92" s="7" t="s">
        <v>5790</v>
      </c>
      <c r="G92" s="7" t="s">
        <v>5791</v>
      </c>
      <c r="H92" s="7" t="s">
        <v>5792</v>
      </c>
      <c r="I92" s="12" t="s">
        <v>5562</v>
      </c>
      <c r="J92" s="7" t="s">
        <v>1002</v>
      </c>
      <c r="K92" s="7" t="s">
        <v>5767</v>
      </c>
      <c r="L92" s="7" t="s">
        <v>5548</v>
      </c>
      <c r="M92" s="7" t="s">
        <v>5557</v>
      </c>
      <c r="N92" s="7"/>
    </row>
    <row r="93" customFormat="false" ht="58.5" hidden="false" customHeight="true" outlineLevel="0" collapsed="false">
      <c r="A93" s="7" t="s">
        <v>1007</v>
      </c>
      <c r="B93" s="7" t="s">
        <v>1008</v>
      </c>
      <c r="C93" s="7" t="s">
        <v>923</v>
      </c>
      <c r="D93" s="7" t="s">
        <v>1009</v>
      </c>
      <c r="E93" s="7" t="s">
        <v>5542</v>
      </c>
      <c r="F93" s="7" t="s">
        <v>5793</v>
      </c>
      <c r="G93" s="7" t="s">
        <v>5794</v>
      </c>
      <c r="H93" s="7" t="s">
        <v>5795</v>
      </c>
      <c r="I93" s="10" t="s">
        <v>5546</v>
      </c>
      <c r="J93" s="7" t="s">
        <v>1002</v>
      </c>
      <c r="K93" s="7" t="s">
        <v>5767</v>
      </c>
      <c r="L93" s="7" t="s">
        <v>5556</v>
      </c>
      <c r="M93" s="7" t="s">
        <v>5577</v>
      </c>
      <c r="N93" s="7"/>
    </row>
    <row r="94" customFormat="false" ht="58.5" hidden="false" customHeight="true" outlineLevel="0" collapsed="false">
      <c r="A94" s="7" t="s">
        <v>1012</v>
      </c>
      <c r="B94" s="7" t="s">
        <v>1013</v>
      </c>
      <c r="C94" s="7" t="s">
        <v>923</v>
      </c>
      <c r="D94" s="7" t="s">
        <v>1014</v>
      </c>
      <c r="E94" s="7" t="s">
        <v>5542</v>
      </c>
      <c r="F94" s="7" t="s">
        <v>5796</v>
      </c>
      <c r="G94" s="7" t="s">
        <v>5797</v>
      </c>
      <c r="H94" s="7" t="s">
        <v>5798</v>
      </c>
      <c r="I94" s="12" t="s">
        <v>5562</v>
      </c>
      <c r="J94" s="7" t="s">
        <v>1002</v>
      </c>
      <c r="K94" s="7" t="s">
        <v>5767</v>
      </c>
      <c r="L94" s="7" t="s">
        <v>5556</v>
      </c>
      <c r="M94" s="7" t="s">
        <v>5563</v>
      </c>
      <c r="N94" s="7" t="s">
        <v>5799</v>
      </c>
    </row>
    <row r="95" customFormat="false" ht="58.5" hidden="false" customHeight="true" outlineLevel="0" collapsed="false">
      <c r="A95" s="7" t="s">
        <v>1017</v>
      </c>
      <c r="B95" s="7" t="s">
        <v>1018</v>
      </c>
      <c r="C95" s="7" t="s">
        <v>923</v>
      </c>
      <c r="D95" s="7" t="s">
        <v>1019</v>
      </c>
      <c r="E95" s="7" t="s">
        <v>5542</v>
      </c>
      <c r="F95" s="7" t="s">
        <v>5800</v>
      </c>
      <c r="G95" s="7" t="s">
        <v>5801</v>
      </c>
      <c r="H95" s="7" t="s">
        <v>5802</v>
      </c>
      <c r="I95" s="10" t="s">
        <v>5546</v>
      </c>
      <c r="J95" s="7" t="s">
        <v>1002</v>
      </c>
      <c r="K95" s="7" t="s">
        <v>5767</v>
      </c>
      <c r="L95" s="7" t="s">
        <v>5556</v>
      </c>
      <c r="M95" s="7" t="s">
        <v>5577</v>
      </c>
      <c r="N95" s="7"/>
    </row>
    <row r="96" customFormat="false" ht="58.5" hidden="false" customHeight="true" outlineLevel="0" collapsed="false">
      <c r="A96" s="7" t="s">
        <v>1022</v>
      </c>
      <c r="B96" s="7" t="s">
        <v>1023</v>
      </c>
      <c r="C96" s="7" t="s">
        <v>923</v>
      </c>
      <c r="D96" s="7" t="s">
        <v>1024</v>
      </c>
      <c r="E96" s="7" t="s">
        <v>5542</v>
      </c>
      <c r="F96" s="7" t="s">
        <v>5803</v>
      </c>
      <c r="G96" s="7" t="s">
        <v>5804</v>
      </c>
      <c r="H96" s="7" t="s">
        <v>5805</v>
      </c>
      <c r="I96" s="12" t="s">
        <v>5562</v>
      </c>
      <c r="J96" s="7" t="s">
        <v>1002</v>
      </c>
      <c r="K96" s="7" t="s">
        <v>5767</v>
      </c>
      <c r="L96" s="7" t="s">
        <v>5556</v>
      </c>
      <c r="M96" s="7" t="s">
        <v>5577</v>
      </c>
      <c r="N96" s="7"/>
    </row>
    <row r="97" customFormat="false" ht="58.5" hidden="false" customHeight="true" outlineLevel="0" collapsed="false">
      <c r="A97" s="7" t="s">
        <v>1027</v>
      </c>
      <c r="B97" s="7" t="s">
        <v>1028</v>
      </c>
      <c r="C97" s="7" t="s">
        <v>923</v>
      </c>
      <c r="D97" s="7" t="s">
        <v>1029</v>
      </c>
      <c r="E97" s="7" t="s">
        <v>5542</v>
      </c>
      <c r="F97" s="7" t="s">
        <v>5806</v>
      </c>
      <c r="G97" s="7" t="s">
        <v>5807</v>
      </c>
      <c r="H97" s="7" t="s">
        <v>5808</v>
      </c>
      <c r="I97" s="10" t="s">
        <v>5546</v>
      </c>
      <c r="J97" s="7" t="s">
        <v>1002</v>
      </c>
      <c r="K97" s="7" t="s">
        <v>5767</v>
      </c>
      <c r="L97" s="7" t="s">
        <v>5548</v>
      </c>
      <c r="M97" s="7" t="s">
        <v>5549</v>
      </c>
      <c r="N97" s="7" t="s">
        <v>5809</v>
      </c>
    </row>
    <row r="98" customFormat="false" ht="58.5" hidden="false" customHeight="true" outlineLevel="0" collapsed="false">
      <c r="A98" s="7" t="s">
        <v>1037</v>
      </c>
      <c r="B98" s="7" t="s">
        <v>1038</v>
      </c>
      <c r="C98" s="7" t="s">
        <v>923</v>
      </c>
      <c r="D98" s="7" t="s">
        <v>1039</v>
      </c>
      <c r="E98" s="7" t="s">
        <v>5573</v>
      </c>
      <c r="F98" s="7" t="s">
        <v>5810</v>
      </c>
      <c r="G98" s="7" t="s">
        <v>5811</v>
      </c>
      <c r="H98" s="7" t="s">
        <v>5812</v>
      </c>
      <c r="I98" s="12" t="s">
        <v>5562</v>
      </c>
      <c r="J98" s="7" t="s">
        <v>1002</v>
      </c>
      <c r="K98" s="7" t="s">
        <v>5767</v>
      </c>
      <c r="L98" s="7" t="s">
        <v>5548</v>
      </c>
      <c r="M98" s="7" t="s">
        <v>5549</v>
      </c>
      <c r="N98" s="7" t="s">
        <v>5813</v>
      </c>
    </row>
    <row r="99" customFormat="false" ht="58.5" hidden="false" customHeight="true" outlineLevel="0" collapsed="false">
      <c r="A99" s="7" t="s">
        <v>1055</v>
      </c>
      <c r="B99" s="7" t="s">
        <v>1056</v>
      </c>
      <c r="C99" s="7" t="s">
        <v>923</v>
      </c>
      <c r="D99" s="7" t="s">
        <v>1057</v>
      </c>
      <c r="E99" s="7" t="s">
        <v>5551</v>
      </c>
      <c r="F99" s="7" t="s">
        <v>5814</v>
      </c>
      <c r="G99" s="7" t="s">
        <v>5815</v>
      </c>
      <c r="H99" s="7" t="s">
        <v>5816</v>
      </c>
      <c r="I99" s="10" t="s">
        <v>5546</v>
      </c>
      <c r="J99" s="7" t="s">
        <v>1050</v>
      </c>
      <c r="K99" s="7" t="s">
        <v>5767</v>
      </c>
      <c r="L99" s="7" t="s">
        <v>5581</v>
      </c>
      <c r="M99" s="7" t="s">
        <v>5577</v>
      </c>
      <c r="N99" s="7"/>
    </row>
    <row r="100" customFormat="false" ht="39" hidden="false" customHeight="true" outlineLevel="0" collapsed="false">
      <c r="A100" s="7" t="s">
        <v>1060</v>
      </c>
      <c r="B100" s="7" t="s">
        <v>1061</v>
      </c>
      <c r="C100" s="7" t="s">
        <v>923</v>
      </c>
      <c r="D100" s="7" t="s">
        <v>1062</v>
      </c>
      <c r="E100" s="7" t="s">
        <v>5551</v>
      </c>
      <c r="F100" s="7" t="s">
        <v>5817</v>
      </c>
      <c r="G100" s="7" t="s">
        <v>5818</v>
      </c>
      <c r="H100" s="7" t="s">
        <v>5819</v>
      </c>
      <c r="I100" s="11" t="s">
        <v>5555</v>
      </c>
      <c r="J100" s="7" t="s">
        <v>929</v>
      </c>
      <c r="K100" s="7" t="s">
        <v>5767</v>
      </c>
      <c r="L100" s="7" t="s">
        <v>5548</v>
      </c>
      <c r="M100" s="7" t="s">
        <v>5557</v>
      </c>
      <c r="N100" s="7"/>
    </row>
    <row r="101" customFormat="false" ht="58.5" hidden="false" customHeight="true" outlineLevel="0" collapsed="false">
      <c r="A101" s="7" t="s">
        <v>1065</v>
      </c>
      <c r="B101" s="7" t="s">
        <v>1066</v>
      </c>
      <c r="C101" s="7" t="s">
        <v>923</v>
      </c>
      <c r="D101" s="7" t="s">
        <v>1067</v>
      </c>
      <c r="E101" s="7" t="s">
        <v>5551</v>
      </c>
      <c r="F101" s="7" t="s">
        <v>5820</v>
      </c>
      <c r="G101" s="7" t="s">
        <v>5821</v>
      </c>
      <c r="H101" s="7" t="s">
        <v>5822</v>
      </c>
      <c r="I101" s="11" t="s">
        <v>5555</v>
      </c>
      <c r="J101" s="7" t="s">
        <v>929</v>
      </c>
      <c r="K101" s="7" t="s">
        <v>5767</v>
      </c>
      <c r="L101" s="7" t="s">
        <v>5556</v>
      </c>
      <c r="M101" s="7" t="s">
        <v>5557</v>
      </c>
      <c r="N101" s="7"/>
    </row>
    <row r="102" customFormat="false" ht="58.5" hidden="false" customHeight="true" outlineLevel="0" collapsed="false">
      <c r="A102" s="7" t="s">
        <v>1076</v>
      </c>
      <c r="B102" s="7" t="s">
        <v>1077</v>
      </c>
      <c r="C102" s="7" t="s">
        <v>923</v>
      </c>
      <c r="D102" s="7" t="s">
        <v>1078</v>
      </c>
      <c r="E102" s="7" t="s">
        <v>5551</v>
      </c>
      <c r="F102" s="7" t="s">
        <v>5823</v>
      </c>
      <c r="G102" s="7" t="s">
        <v>5824</v>
      </c>
      <c r="H102" s="7" t="s">
        <v>5825</v>
      </c>
      <c r="I102" s="12" t="s">
        <v>5562</v>
      </c>
      <c r="J102" s="7" t="s">
        <v>929</v>
      </c>
      <c r="K102" s="7" t="s">
        <v>5767</v>
      </c>
      <c r="L102" s="7" t="s">
        <v>5556</v>
      </c>
      <c r="M102" s="7" t="s">
        <v>5577</v>
      </c>
      <c r="N102" s="7"/>
    </row>
    <row r="103" customFormat="false" ht="58.5" hidden="false" customHeight="true" outlineLevel="0" collapsed="false">
      <c r="A103" s="7" t="s">
        <v>1081</v>
      </c>
      <c r="B103" s="7" t="s">
        <v>1082</v>
      </c>
      <c r="C103" s="7" t="s">
        <v>923</v>
      </c>
      <c r="D103" s="7" t="s">
        <v>1083</v>
      </c>
      <c r="E103" s="7" t="s">
        <v>5551</v>
      </c>
      <c r="F103" s="7" t="s">
        <v>5826</v>
      </c>
      <c r="G103" s="7" t="s">
        <v>5827</v>
      </c>
      <c r="H103" s="7" t="s">
        <v>5828</v>
      </c>
      <c r="I103" s="11" t="s">
        <v>5555</v>
      </c>
      <c r="J103" s="7" t="s">
        <v>929</v>
      </c>
      <c r="K103" s="7" t="s">
        <v>5767</v>
      </c>
      <c r="L103" s="7" t="s">
        <v>5556</v>
      </c>
      <c r="M103" s="7" t="s">
        <v>5563</v>
      </c>
      <c r="N103" s="7" t="s">
        <v>5829</v>
      </c>
    </row>
    <row r="104" customFormat="false" ht="58.5" hidden="false" customHeight="true" outlineLevel="0" collapsed="false">
      <c r="A104" s="7" t="s">
        <v>1086</v>
      </c>
      <c r="B104" s="7" t="s">
        <v>1087</v>
      </c>
      <c r="C104" s="7" t="s">
        <v>923</v>
      </c>
      <c r="D104" s="7" t="s">
        <v>1088</v>
      </c>
      <c r="E104" s="7" t="s">
        <v>5551</v>
      </c>
      <c r="F104" s="7" t="s">
        <v>5830</v>
      </c>
      <c r="G104" s="7" t="s">
        <v>5831</v>
      </c>
      <c r="H104" s="7" t="s">
        <v>5832</v>
      </c>
      <c r="I104" s="11" t="s">
        <v>5555</v>
      </c>
      <c r="J104" s="7" t="s">
        <v>929</v>
      </c>
      <c r="K104" s="7" t="s">
        <v>5767</v>
      </c>
      <c r="L104" s="7" t="s">
        <v>5548</v>
      </c>
      <c r="M104" s="7" t="s">
        <v>5549</v>
      </c>
      <c r="N104" s="7" t="s">
        <v>5833</v>
      </c>
    </row>
    <row r="105" customFormat="false" ht="58.5" hidden="false" customHeight="true" outlineLevel="0" collapsed="false">
      <c r="A105" s="7" t="s">
        <v>1101</v>
      </c>
      <c r="B105" s="7" t="s">
        <v>1102</v>
      </c>
      <c r="C105" s="7" t="s">
        <v>923</v>
      </c>
      <c r="D105" s="7" t="s">
        <v>1103</v>
      </c>
      <c r="E105" s="7" t="s">
        <v>5551</v>
      </c>
      <c r="F105" s="7" t="s">
        <v>5834</v>
      </c>
      <c r="G105" s="7" t="s">
        <v>5835</v>
      </c>
      <c r="H105" s="7" t="s">
        <v>5836</v>
      </c>
      <c r="I105" s="12" t="s">
        <v>5562</v>
      </c>
      <c r="J105" s="7" t="s">
        <v>929</v>
      </c>
      <c r="K105" s="7" t="s">
        <v>5767</v>
      </c>
      <c r="L105" s="7" t="s">
        <v>5581</v>
      </c>
      <c r="M105" s="7" t="s">
        <v>5577</v>
      </c>
      <c r="N105" s="7"/>
    </row>
    <row r="106" customFormat="false" ht="58.5" hidden="false" customHeight="true" outlineLevel="0" collapsed="false">
      <c r="A106" s="7" t="s">
        <v>1106</v>
      </c>
      <c r="B106" s="7" t="s">
        <v>1107</v>
      </c>
      <c r="C106" s="7" t="s">
        <v>923</v>
      </c>
      <c r="D106" s="7" t="s">
        <v>1108</v>
      </c>
      <c r="E106" s="7" t="s">
        <v>5551</v>
      </c>
      <c r="F106" s="7" t="s">
        <v>5837</v>
      </c>
      <c r="G106" s="7" t="s">
        <v>5838</v>
      </c>
      <c r="H106" s="7" t="s">
        <v>5839</v>
      </c>
      <c r="I106" s="10" t="s">
        <v>5546</v>
      </c>
      <c r="J106" s="7" t="s">
        <v>538</v>
      </c>
      <c r="K106" s="7" t="s">
        <v>5767</v>
      </c>
      <c r="L106" s="7" t="s">
        <v>5556</v>
      </c>
      <c r="M106" s="7" t="s">
        <v>5577</v>
      </c>
      <c r="N106" s="7"/>
    </row>
    <row r="107" customFormat="false" ht="58.5" hidden="false" customHeight="true" outlineLevel="0" collapsed="false">
      <c r="A107" s="7" t="s">
        <v>1131</v>
      </c>
      <c r="B107" s="7" t="s">
        <v>1132</v>
      </c>
      <c r="C107" s="7" t="s">
        <v>923</v>
      </c>
      <c r="D107" s="7" t="s">
        <v>1133</v>
      </c>
      <c r="E107" s="7" t="s">
        <v>5551</v>
      </c>
      <c r="F107" s="7" t="s">
        <v>5840</v>
      </c>
      <c r="G107" s="7" t="s">
        <v>5841</v>
      </c>
      <c r="H107" s="7" t="s">
        <v>5842</v>
      </c>
      <c r="I107" s="12" t="s">
        <v>5562</v>
      </c>
      <c r="J107" s="7" t="s">
        <v>1134</v>
      </c>
      <c r="K107" s="7" t="s">
        <v>5767</v>
      </c>
      <c r="L107" s="7" t="s">
        <v>5548</v>
      </c>
      <c r="M107" s="7" t="s">
        <v>5557</v>
      </c>
      <c r="N107" s="7"/>
    </row>
    <row r="108" customFormat="false" ht="39" hidden="false" customHeight="true" outlineLevel="0" collapsed="false">
      <c r="A108" s="7" t="s">
        <v>1143</v>
      </c>
      <c r="B108" s="7" t="s">
        <v>1144</v>
      </c>
      <c r="C108" s="7" t="s">
        <v>923</v>
      </c>
      <c r="D108" s="7" t="s">
        <v>1145</v>
      </c>
      <c r="E108" s="7" t="s">
        <v>5573</v>
      </c>
      <c r="F108" s="7" t="s">
        <v>5843</v>
      </c>
      <c r="G108" s="7" t="s">
        <v>5844</v>
      </c>
      <c r="H108" s="7" t="s">
        <v>5845</v>
      </c>
      <c r="I108" s="11" t="s">
        <v>5555</v>
      </c>
      <c r="J108" s="7" t="s">
        <v>929</v>
      </c>
      <c r="K108" s="7" t="s">
        <v>5767</v>
      </c>
      <c r="L108" s="7" t="s">
        <v>5556</v>
      </c>
      <c r="M108" s="7" t="s">
        <v>5557</v>
      </c>
      <c r="N108" s="7"/>
    </row>
    <row r="109" customFormat="false" ht="58.5" hidden="false" customHeight="true" outlineLevel="0" collapsed="false">
      <c r="A109" s="7" t="s">
        <v>1148</v>
      </c>
      <c r="B109" s="7" t="s">
        <v>1149</v>
      </c>
      <c r="C109" s="7" t="s">
        <v>923</v>
      </c>
      <c r="D109" s="7" t="s">
        <v>1150</v>
      </c>
      <c r="E109" s="7" t="s">
        <v>5551</v>
      </c>
      <c r="F109" s="7" t="s">
        <v>5846</v>
      </c>
      <c r="G109" s="7" t="s">
        <v>5847</v>
      </c>
      <c r="H109" s="7" t="s">
        <v>5848</v>
      </c>
      <c r="I109" s="11" t="s">
        <v>5555</v>
      </c>
      <c r="J109" s="7" t="s">
        <v>929</v>
      </c>
      <c r="K109" s="7" t="s">
        <v>5767</v>
      </c>
      <c r="L109" s="7" t="s">
        <v>5581</v>
      </c>
      <c r="M109" s="7" t="s">
        <v>5577</v>
      </c>
      <c r="N109" s="7"/>
    </row>
    <row r="110" customFormat="false" ht="39" hidden="false" customHeight="true" outlineLevel="0" collapsed="false">
      <c r="A110" s="7" t="s">
        <v>1153</v>
      </c>
      <c r="B110" s="7" t="s">
        <v>1154</v>
      </c>
      <c r="C110" s="7" t="s">
        <v>923</v>
      </c>
      <c r="D110" s="7" t="s">
        <v>1155</v>
      </c>
      <c r="E110" s="7" t="s">
        <v>5551</v>
      </c>
      <c r="F110" s="7" t="s">
        <v>5849</v>
      </c>
      <c r="G110" s="7" t="s">
        <v>5850</v>
      </c>
      <c r="H110" s="7" t="s">
        <v>5851</v>
      </c>
      <c r="I110" s="12" t="s">
        <v>5562</v>
      </c>
      <c r="J110" s="7" t="s">
        <v>929</v>
      </c>
      <c r="K110" s="7" t="s">
        <v>5767</v>
      </c>
      <c r="L110" s="7" t="s">
        <v>5581</v>
      </c>
      <c r="M110" s="7" t="s">
        <v>5577</v>
      </c>
      <c r="N110" s="7"/>
    </row>
    <row r="111" customFormat="false" ht="58.5" hidden="false" customHeight="true" outlineLevel="0" collapsed="false">
      <c r="A111" s="7" t="s">
        <v>1163</v>
      </c>
      <c r="B111" s="7" t="s">
        <v>1164</v>
      </c>
      <c r="C111" s="7" t="s">
        <v>923</v>
      </c>
      <c r="D111" s="7" t="s">
        <v>1165</v>
      </c>
      <c r="E111" s="7" t="s">
        <v>5573</v>
      </c>
      <c r="F111" s="7" t="s">
        <v>5852</v>
      </c>
      <c r="G111" s="7" t="s">
        <v>5853</v>
      </c>
      <c r="H111" s="7" t="s">
        <v>5854</v>
      </c>
      <c r="I111" s="11" t="s">
        <v>5555</v>
      </c>
      <c r="J111" s="7" t="s">
        <v>929</v>
      </c>
      <c r="K111" s="7" t="s">
        <v>5767</v>
      </c>
      <c r="L111" s="7" t="s">
        <v>5548</v>
      </c>
      <c r="M111" s="7" t="s">
        <v>5549</v>
      </c>
      <c r="N111" s="7" t="s">
        <v>5855</v>
      </c>
    </row>
    <row r="112" customFormat="false" ht="58.5" hidden="false" customHeight="true" outlineLevel="0" collapsed="false">
      <c r="A112" s="7" t="s">
        <v>1189</v>
      </c>
      <c r="B112" s="7" t="s">
        <v>1190</v>
      </c>
      <c r="C112" s="7" t="s">
        <v>923</v>
      </c>
      <c r="D112" s="7" t="s">
        <v>1191</v>
      </c>
      <c r="E112" s="7" t="s">
        <v>5573</v>
      </c>
      <c r="F112" s="7" t="s">
        <v>5856</v>
      </c>
      <c r="G112" s="7" t="s">
        <v>5857</v>
      </c>
      <c r="H112" s="7" t="s">
        <v>5858</v>
      </c>
      <c r="I112" s="10" t="s">
        <v>5546</v>
      </c>
      <c r="J112" s="7" t="s">
        <v>567</v>
      </c>
      <c r="K112" s="7" t="s">
        <v>5767</v>
      </c>
      <c r="L112" s="7" t="s">
        <v>5556</v>
      </c>
      <c r="M112" s="7" t="s">
        <v>5577</v>
      </c>
      <c r="N112" s="7"/>
    </row>
    <row r="113" customFormat="false" ht="39" hidden="false" customHeight="true" outlineLevel="0" collapsed="false">
      <c r="A113" s="7" t="s">
        <v>1195</v>
      </c>
      <c r="B113" s="7" t="s">
        <v>1196</v>
      </c>
      <c r="C113" s="7" t="s">
        <v>923</v>
      </c>
      <c r="D113" s="7" t="s">
        <v>1197</v>
      </c>
      <c r="E113" s="7" t="s">
        <v>5573</v>
      </c>
      <c r="F113" s="7" t="s">
        <v>5859</v>
      </c>
      <c r="G113" s="7" t="s">
        <v>5860</v>
      </c>
      <c r="H113" s="7" t="s">
        <v>5861</v>
      </c>
      <c r="I113" s="10" t="s">
        <v>5546</v>
      </c>
      <c r="J113" s="7" t="s">
        <v>567</v>
      </c>
      <c r="K113" s="7" t="s">
        <v>5767</v>
      </c>
      <c r="L113" s="7" t="s">
        <v>5556</v>
      </c>
      <c r="M113" s="7" t="s">
        <v>5577</v>
      </c>
      <c r="N113" s="7"/>
    </row>
    <row r="114" customFormat="false" ht="58.5" hidden="false" customHeight="true" outlineLevel="0" collapsed="false">
      <c r="A114" s="7" t="s">
        <v>1227</v>
      </c>
      <c r="B114" s="7" t="s">
        <v>1228</v>
      </c>
      <c r="C114" s="7" t="s">
        <v>1229</v>
      </c>
      <c r="D114" s="7" t="s">
        <v>163</v>
      </c>
      <c r="E114" s="7" t="s">
        <v>5542</v>
      </c>
      <c r="F114" s="7" t="s">
        <v>5862</v>
      </c>
      <c r="G114" s="7" t="s">
        <v>5863</v>
      </c>
      <c r="H114" s="7" t="s">
        <v>5766</v>
      </c>
      <c r="I114" s="10" t="s">
        <v>5546</v>
      </c>
      <c r="J114" s="7" t="s">
        <v>165</v>
      </c>
      <c r="K114" s="7" t="s">
        <v>5864</v>
      </c>
      <c r="L114" s="7" t="s">
        <v>5548</v>
      </c>
      <c r="M114" s="7" t="s">
        <v>5549</v>
      </c>
      <c r="N114" s="7" t="s">
        <v>5865</v>
      </c>
    </row>
    <row r="115" customFormat="false" ht="58.5" hidden="false" customHeight="true" outlineLevel="0" collapsed="false">
      <c r="A115" s="7" t="s">
        <v>1232</v>
      </c>
      <c r="B115" s="7" t="s">
        <v>1233</v>
      </c>
      <c r="C115" s="7" t="s">
        <v>1229</v>
      </c>
      <c r="D115" s="7" t="s">
        <v>1234</v>
      </c>
      <c r="E115" s="7" t="s">
        <v>5542</v>
      </c>
      <c r="F115" s="7" t="s">
        <v>5866</v>
      </c>
      <c r="G115" s="7" t="s">
        <v>5867</v>
      </c>
      <c r="H115" s="7" t="s">
        <v>5868</v>
      </c>
      <c r="I115" s="10" t="s">
        <v>5546</v>
      </c>
      <c r="J115" s="7" t="s">
        <v>1236</v>
      </c>
      <c r="K115" s="7" t="s">
        <v>5864</v>
      </c>
      <c r="L115" s="7" t="s">
        <v>5548</v>
      </c>
      <c r="M115" s="7" t="s">
        <v>5549</v>
      </c>
      <c r="N115" s="7" t="s">
        <v>5869</v>
      </c>
    </row>
    <row r="116" customFormat="false" ht="58.5" hidden="false" customHeight="true" outlineLevel="0" collapsed="false">
      <c r="A116" s="7" t="s">
        <v>1256</v>
      </c>
      <c r="B116" s="7" t="s">
        <v>1257</v>
      </c>
      <c r="C116" s="7" t="s">
        <v>1229</v>
      </c>
      <c r="D116" s="7" t="s">
        <v>1258</v>
      </c>
      <c r="E116" s="7" t="s">
        <v>5551</v>
      </c>
      <c r="F116" s="7" t="s">
        <v>5870</v>
      </c>
      <c r="G116" s="7" t="s">
        <v>5871</v>
      </c>
      <c r="H116" s="7" t="s">
        <v>5872</v>
      </c>
      <c r="I116" s="12" t="s">
        <v>5562</v>
      </c>
      <c r="J116" s="7" t="s">
        <v>319</v>
      </c>
      <c r="K116" s="7" t="s">
        <v>5873</v>
      </c>
      <c r="L116" s="7" t="s">
        <v>5548</v>
      </c>
      <c r="M116" s="7" t="s">
        <v>5557</v>
      </c>
      <c r="N116" s="7"/>
    </row>
    <row r="117" customFormat="false" ht="39" hidden="false" customHeight="true" outlineLevel="0" collapsed="false">
      <c r="A117" s="7" t="s">
        <v>1271</v>
      </c>
      <c r="B117" s="7" t="s">
        <v>1272</v>
      </c>
      <c r="C117" s="7" t="s">
        <v>1229</v>
      </c>
      <c r="D117" s="7" t="s">
        <v>1273</v>
      </c>
      <c r="E117" s="7" t="s">
        <v>5542</v>
      </c>
      <c r="F117" s="7" t="s">
        <v>5874</v>
      </c>
      <c r="G117" s="7" t="s">
        <v>5875</v>
      </c>
      <c r="H117" s="7" t="s">
        <v>5876</v>
      </c>
      <c r="I117" s="10" t="s">
        <v>5546</v>
      </c>
      <c r="J117" s="7" t="s">
        <v>1275</v>
      </c>
      <c r="K117" s="7" t="s">
        <v>5864</v>
      </c>
      <c r="L117" s="7" t="s">
        <v>5548</v>
      </c>
      <c r="M117" s="7" t="s">
        <v>5549</v>
      </c>
      <c r="N117" s="7" t="s">
        <v>5877</v>
      </c>
    </row>
    <row r="118" customFormat="false" ht="39" hidden="false" customHeight="true" outlineLevel="0" collapsed="false">
      <c r="A118" s="7" t="s">
        <v>1303</v>
      </c>
      <c r="B118" s="7" t="s">
        <v>1304</v>
      </c>
      <c r="C118" s="7" t="s">
        <v>1229</v>
      </c>
      <c r="D118" s="7" t="s">
        <v>1305</v>
      </c>
      <c r="E118" s="7" t="s">
        <v>5542</v>
      </c>
      <c r="F118" s="7" t="s">
        <v>5878</v>
      </c>
      <c r="G118" s="7" t="s">
        <v>5879</v>
      </c>
      <c r="H118" s="7" t="s">
        <v>5880</v>
      </c>
      <c r="I118" s="12" t="s">
        <v>5562</v>
      </c>
      <c r="J118" s="7" t="s">
        <v>969</v>
      </c>
      <c r="K118" s="7" t="s">
        <v>5864</v>
      </c>
      <c r="L118" s="7" t="s">
        <v>5556</v>
      </c>
      <c r="M118" s="7" t="s">
        <v>5557</v>
      </c>
      <c r="N118" s="7" t="s">
        <v>5881</v>
      </c>
    </row>
    <row r="119" customFormat="false" ht="58.5" hidden="false" customHeight="true" outlineLevel="0" collapsed="false">
      <c r="A119" s="7" t="s">
        <v>1333</v>
      </c>
      <c r="B119" s="7" t="s">
        <v>1334</v>
      </c>
      <c r="C119" s="7" t="s">
        <v>1229</v>
      </c>
      <c r="D119" s="7" t="s">
        <v>1335</v>
      </c>
      <c r="E119" s="7" t="s">
        <v>5542</v>
      </c>
      <c r="F119" s="7" t="s">
        <v>5882</v>
      </c>
      <c r="G119" s="7" t="s">
        <v>5883</v>
      </c>
      <c r="H119" s="7" t="s">
        <v>5884</v>
      </c>
      <c r="I119" s="10" t="s">
        <v>5546</v>
      </c>
      <c r="J119" s="7" t="s">
        <v>1336</v>
      </c>
      <c r="K119" s="7" t="s">
        <v>5864</v>
      </c>
      <c r="L119" s="7" t="s">
        <v>5548</v>
      </c>
      <c r="M119" s="7" t="s">
        <v>5549</v>
      </c>
      <c r="N119" s="7" t="s">
        <v>5885</v>
      </c>
    </row>
    <row r="120" customFormat="false" ht="78" hidden="false" customHeight="true" outlineLevel="0" collapsed="false">
      <c r="A120" s="7" t="s">
        <v>1350</v>
      </c>
      <c r="B120" s="7" t="s">
        <v>1351</v>
      </c>
      <c r="C120" s="7" t="s">
        <v>1229</v>
      </c>
      <c r="D120" s="7" t="s">
        <v>1352</v>
      </c>
      <c r="E120" s="7" t="s">
        <v>5542</v>
      </c>
      <c r="F120" s="7" t="s">
        <v>5886</v>
      </c>
      <c r="G120" s="7" t="s">
        <v>5887</v>
      </c>
      <c r="H120" s="7" t="s">
        <v>5888</v>
      </c>
      <c r="I120" s="10" t="s">
        <v>5546</v>
      </c>
      <c r="J120" s="7" t="s">
        <v>1336</v>
      </c>
      <c r="K120" s="7" t="s">
        <v>5864</v>
      </c>
      <c r="L120" s="7" t="s">
        <v>5548</v>
      </c>
      <c r="M120" s="7" t="s">
        <v>5549</v>
      </c>
      <c r="N120" s="7" t="s">
        <v>5889</v>
      </c>
    </row>
    <row r="121" customFormat="false" ht="58.5" hidden="false" customHeight="true" outlineLevel="0" collapsed="false">
      <c r="A121" s="7" t="s">
        <v>1355</v>
      </c>
      <c r="B121" s="7" t="s">
        <v>1356</v>
      </c>
      <c r="C121" s="7" t="s">
        <v>1229</v>
      </c>
      <c r="D121" s="7" t="s">
        <v>1357</v>
      </c>
      <c r="E121" s="7" t="s">
        <v>5551</v>
      </c>
      <c r="F121" s="7" t="s">
        <v>5890</v>
      </c>
      <c r="G121" s="7" t="s">
        <v>5891</v>
      </c>
      <c r="H121" s="7" t="s">
        <v>5892</v>
      </c>
      <c r="I121" s="12" t="s">
        <v>5562</v>
      </c>
      <c r="J121" s="7" t="s">
        <v>319</v>
      </c>
      <c r="K121" s="7" t="s">
        <v>5873</v>
      </c>
      <c r="L121" s="7" t="s">
        <v>5548</v>
      </c>
      <c r="M121" s="7" t="s">
        <v>5557</v>
      </c>
      <c r="N121" s="7"/>
    </row>
    <row r="122" customFormat="false" ht="58.5" hidden="false" customHeight="true" outlineLevel="0" collapsed="false">
      <c r="A122" s="7" t="s">
        <v>1360</v>
      </c>
      <c r="B122" s="7" t="s">
        <v>1361</v>
      </c>
      <c r="C122" s="7" t="s">
        <v>1229</v>
      </c>
      <c r="D122" s="7" t="s">
        <v>1362</v>
      </c>
      <c r="E122" s="7" t="s">
        <v>5573</v>
      </c>
      <c r="F122" s="7" t="s">
        <v>5893</v>
      </c>
      <c r="G122" s="7" t="s">
        <v>5894</v>
      </c>
      <c r="H122" s="7" t="s">
        <v>5895</v>
      </c>
      <c r="I122" s="10" t="s">
        <v>5546</v>
      </c>
      <c r="J122" s="7" t="s">
        <v>319</v>
      </c>
      <c r="K122" s="7" t="s">
        <v>5873</v>
      </c>
      <c r="L122" s="7" t="s">
        <v>5556</v>
      </c>
      <c r="M122" s="7" t="s">
        <v>5577</v>
      </c>
      <c r="N122" s="7"/>
    </row>
    <row r="123" customFormat="false" ht="58.5" hidden="false" customHeight="true" outlineLevel="0" collapsed="false">
      <c r="A123" s="7" t="s">
        <v>1365</v>
      </c>
      <c r="B123" s="7" t="s">
        <v>1366</v>
      </c>
      <c r="C123" s="7" t="s">
        <v>1367</v>
      </c>
      <c r="D123" s="7" t="s">
        <v>163</v>
      </c>
      <c r="E123" s="7" t="s">
        <v>5542</v>
      </c>
      <c r="F123" s="7" t="s">
        <v>5896</v>
      </c>
      <c r="G123" s="7" t="s">
        <v>5863</v>
      </c>
      <c r="H123" s="7" t="s">
        <v>5766</v>
      </c>
      <c r="I123" s="10" t="s">
        <v>5546</v>
      </c>
      <c r="J123" s="7" t="s">
        <v>165</v>
      </c>
      <c r="K123" s="7" t="s">
        <v>5897</v>
      </c>
      <c r="L123" s="7" t="s">
        <v>5548</v>
      </c>
      <c r="M123" s="7" t="s">
        <v>5549</v>
      </c>
      <c r="N123" s="7" t="s">
        <v>5898</v>
      </c>
    </row>
    <row r="124" customFormat="false" ht="39" hidden="false" customHeight="true" outlineLevel="0" collapsed="false">
      <c r="A124" s="7" t="s">
        <v>1370</v>
      </c>
      <c r="B124" s="7" t="s">
        <v>1371</v>
      </c>
      <c r="C124" s="7" t="s">
        <v>1367</v>
      </c>
      <c r="D124" s="7" t="s">
        <v>1372</v>
      </c>
      <c r="E124" s="7" t="s">
        <v>5542</v>
      </c>
      <c r="F124" s="7" t="s">
        <v>5899</v>
      </c>
      <c r="G124" s="7" t="s">
        <v>5900</v>
      </c>
      <c r="H124" s="7" t="s">
        <v>5901</v>
      </c>
      <c r="I124" s="11" t="s">
        <v>5555</v>
      </c>
      <c r="J124" s="7" t="s">
        <v>749</v>
      </c>
      <c r="K124" s="7" t="s">
        <v>5897</v>
      </c>
      <c r="L124" s="7" t="s">
        <v>5556</v>
      </c>
      <c r="M124" s="7" t="s">
        <v>5557</v>
      </c>
      <c r="N124" s="7" t="s">
        <v>5902</v>
      </c>
    </row>
    <row r="125" customFormat="false" ht="39" hidden="false" customHeight="true" outlineLevel="0" collapsed="false">
      <c r="A125" s="7" t="s">
        <v>1381</v>
      </c>
      <c r="B125" s="7" t="s">
        <v>1382</v>
      </c>
      <c r="C125" s="7" t="s">
        <v>1367</v>
      </c>
      <c r="D125" s="7" t="s">
        <v>1383</v>
      </c>
      <c r="E125" s="7" t="s">
        <v>5551</v>
      </c>
      <c r="F125" s="7" t="s">
        <v>5903</v>
      </c>
      <c r="G125" s="7" t="s">
        <v>5904</v>
      </c>
      <c r="H125" s="7" t="s">
        <v>5905</v>
      </c>
      <c r="I125" s="12" t="s">
        <v>5562</v>
      </c>
      <c r="J125" s="7" t="s">
        <v>749</v>
      </c>
      <c r="K125" s="7" t="s">
        <v>5897</v>
      </c>
      <c r="L125" s="7" t="s">
        <v>5548</v>
      </c>
      <c r="M125" s="7" t="s">
        <v>5557</v>
      </c>
      <c r="N125" s="7"/>
    </row>
    <row r="126" customFormat="false" ht="58.5" hidden="false" customHeight="true" outlineLevel="0" collapsed="false">
      <c r="A126" s="7" t="s">
        <v>1396</v>
      </c>
      <c r="B126" s="7" t="s">
        <v>1397</v>
      </c>
      <c r="C126" s="7" t="s">
        <v>1367</v>
      </c>
      <c r="D126" s="7" t="s">
        <v>1398</v>
      </c>
      <c r="E126" s="7" t="s">
        <v>5542</v>
      </c>
      <c r="F126" s="7" t="s">
        <v>5906</v>
      </c>
      <c r="G126" s="7" t="s">
        <v>5907</v>
      </c>
      <c r="H126" s="7" t="s">
        <v>5908</v>
      </c>
      <c r="I126" s="11" t="s">
        <v>5555</v>
      </c>
      <c r="J126" s="7" t="s">
        <v>1399</v>
      </c>
      <c r="K126" s="7" t="s">
        <v>5897</v>
      </c>
      <c r="L126" s="7" t="s">
        <v>5556</v>
      </c>
      <c r="M126" s="7" t="s">
        <v>5557</v>
      </c>
      <c r="N126" s="7" t="s">
        <v>5909</v>
      </c>
    </row>
    <row r="127" customFormat="false" ht="58.5" hidden="false" customHeight="true" outlineLevel="0" collapsed="false">
      <c r="A127" s="7" t="s">
        <v>1428</v>
      </c>
      <c r="B127" s="7" t="s">
        <v>1429</v>
      </c>
      <c r="C127" s="7" t="s">
        <v>1367</v>
      </c>
      <c r="D127" s="7" t="s">
        <v>1430</v>
      </c>
      <c r="E127" s="7" t="s">
        <v>5551</v>
      </c>
      <c r="F127" s="7" t="s">
        <v>5910</v>
      </c>
      <c r="G127" s="7" t="s">
        <v>5911</v>
      </c>
      <c r="H127" s="7" t="s">
        <v>5912</v>
      </c>
      <c r="I127" s="12" t="s">
        <v>5562</v>
      </c>
      <c r="J127" s="7" t="s">
        <v>1399</v>
      </c>
      <c r="K127" s="7" t="s">
        <v>5897</v>
      </c>
      <c r="L127" s="7" t="s">
        <v>5556</v>
      </c>
      <c r="M127" s="7" t="s">
        <v>5563</v>
      </c>
      <c r="N127" s="7" t="s">
        <v>5913</v>
      </c>
    </row>
    <row r="128" customFormat="false" ht="136.5" hidden="false" customHeight="true" outlineLevel="0" collapsed="false">
      <c r="A128" s="7" t="s">
        <v>1443</v>
      </c>
      <c r="B128" s="7" t="s">
        <v>1444</v>
      </c>
      <c r="C128" s="7" t="s">
        <v>1367</v>
      </c>
      <c r="D128" s="7" t="s">
        <v>1445</v>
      </c>
      <c r="E128" s="7" t="s">
        <v>5542</v>
      </c>
      <c r="F128" s="7" t="s">
        <v>5914</v>
      </c>
      <c r="G128" s="7" t="s">
        <v>5915</v>
      </c>
      <c r="H128" s="7" t="s">
        <v>5916</v>
      </c>
      <c r="I128" s="10" t="s">
        <v>5546</v>
      </c>
      <c r="J128" s="7" t="s">
        <v>1399</v>
      </c>
      <c r="K128" s="7" t="s">
        <v>5897</v>
      </c>
      <c r="L128" s="7" t="s">
        <v>5548</v>
      </c>
      <c r="M128" s="7" t="s">
        <v>5549</v>
      </c>
      <c r="N128" s="7" t="s">
        <v>5917</v>
      </c>
    </row>
    <row r="129" customFormat="false" ht="58.5" hidden="false" customHeight="true" outlineLevel="0" collapsed="false">
      <c r="A129" s="7" t="s">
        <v>1458</v>
      </c>
      <c r="B129" s="7" t="s">
        <v>1459</v>
      </c>
      <c r="C129" s="7" t="s">
        <v>1367</v>
      </c>
      <c r="D129" s="7" t="s">
        <v>1460</v>
      </c>
      <c r="E129" s="7" t="s">
        <v>5551</v>
      </c>
      <c r="F129" s="7" t="s">
        <v>5918</v>
      </c>
      <c r="G129" s="7" t="s">
        <v>5919</v>
      </c>
      <c r="H129" s="7" t="s">
        <v>5920</v>
      </c>
      <c r="I129" s="11" t="s">
        <v>5555</v>
      </c>
      <c r="J129" s="7" t="s">
        <v>245</v>
      </c>
      <c r="K129" s="7" t="s">
        <v>5897</v>
      </c>
      <c r="L129" s="7" t="s">
        <v>5548</v>
      </c>
      <c r="M129" s="7" t="s">
        <v>5557</v>
      </c>
      <c r="N129" s="7"/>
    </row>
    <row r="130" customFormat="false" ht="58.5" hidden="false" customHeight="true" outlineLevel="0" collapsed="false">
      <c r="A130" s="7" t="s">
        <v>1463</v>
      </c>
      <c r="B130" s="7" t="s">
        <v>1464</v>
      </c>
      <c r="C130" s="7" t="s">
        <v>1367</v>
      </c>
      <c r="D130" s="7" t="s">
        <v>1465</v>
      </c>
      <c r="E130" s="7" t="s">
        <v>5573</v>
      </c>
      <c r="F130" s="7" t="s">
        <v>5921</v>
      </c>
      <c r="G130" s="7" t="s">
        <v>5922</v>
      </c>
      <c r="H130" s="7" t="s">
        <v>5923</v>
      </c>
      <c r="I130" s="11" t="s">
        <v>5555</v>
      </c>
      <c r="J130" s="7" t="s">
        <v>245</v>
      </c>
      <c r="K130" s="7" t="s">
        <v>5897</v>
      </c>
      <c r="L130" s="7" t="s">
        <v>5556</v>
      </c>
      <c r="M130" s="7" t="s">
        <v>5577</v>
      </c>
      <c r="N130" s="7"/>
    </row>
    <row r="131" customFormat="false" ht="58.5" hidden="false" customHeight="true" outlineLevel="0" collapsed="false">
      <c r="A131" s="7" t="s">
        <v>1488</v>
      </c>
      <c r="B131" s="7" t="s">
        <v>1489</v>
      </c>
      <c r="C131" s="7" t="s">
        <v>1367</v>
      </c>
      <c r="D131" s="7" t="s">
        <v>1490</v>
      </c>
      <c r="E131" s="7" t="s">
        <v>5551</v>
      </c>
      <c r="F131" s="7" t="s">
        <v>5924</v>
      </c>
      <c r="G131" s="7" t="s">
        <v>5925</v>
      </c>
      <c r="H131" s="7" t="s">
        <v>5926</v>
      </c>
      <c r="I131" s="11" t="s">
        <v>5555</v>
      </c>
      <c r="J131" s="7" t="s">
        <v>749</v>
      </c>
      <c r="K131" s="7" t="s">
        <v>5897</v>
      </c>
      <c r="L131" s="7" t="s">
        <v>5548</v>
      </c>
      <c r="M131" s="7" t="s">
        <v>5557</v>
      </c>
      <c r="N131" s="7"/>
    </row>
    <row r="132" customFormat="false" ht="58.5" hidden="false" customHeight="true" outlineLevel="0" collapsed="false">
      <c r="A132" s="7" t="s">
        <v>1493</v>
      </c>
      <c r="B132" s="7" t="s">
        <v>1494</v>
      </c>
      <c r="C132" s="7" t="s">
        <v>1367</v>
      </c>
      <c r="D132" s="7" t="s">
        <v>1495</v>
      </c>
      <c r="E132" s="7" t="s">
        <v>5542</v>
      </c>
      <c r="F132" s="7" t="s">
        <v>5927</v>
      </c>
      <c r="G132" s="7" t="s">
        <v>5928</v>
      </c>
      <c r="H132" s="7" t="s">
        <v>5929</v>
      </c>
      <c r="I132" s="12" t="s">
        <v>5562</v>
      </c>
      <c r="J132" s="7" t="s">
        <v>749</v>
      </c>
      <c r="K132" s="7" t="s">
        <v>5897</v>
      </c>
      <c r="L132" s="7" t="s">
        <v>5556</v>
      </c>
      <c r="M132" s="7" t="s">
        <v>5557</v>
      </c>
      <c r="N132" s="7"/>
    </row>
    <row r="133" customFormat="false" ht="39" hidden="false" customHeight="true" outlineLevel="0" collapsed="false">
      <c r="A133" s="7" t="s">
        <v>1503</v>
      </c>
      <c r="B133" s="7" t="s">
        <v>1504</v>
      </c>
      <c r="C133" s="7" t="s">
        <v>1367</v>
      </c>
      <c r="D133" s="7" t="s">
        <v>1505</v>
      </c>
      <c r="E133" s="7" t="s">
        <v>5551</v>
      </c>
      <c r="F133" s="7" t="s">
        <v>5930</v>
      </c>
      <c r="G133" s="7" t="s">
        <v>5931</v>
      </c>
      <c r="H133" s="7" t="s">
        <v>5932</v>
      </c>
      <c r="I133" s="11" t="s">
        <v>5555</v>
      </c>
      <c r="J133" s="7" t="s">
        <v>749</v>
      </c>
      <c r="K133" s="7" t="s">
        <v>5897</v>
      </c>
      <c r="L133" s="7" t="s">
        <v>5556</v>
      </c>
      <c r="M133" s="7" t="s">
        <v>5557</v>
      </c>
      <c r="N133" s="7"/>
    </row>
    <row r="134" customFormat="false" ht="39" hidden="false" customHeight="true" outlineLevel="0" collapsed="false">
      <c r="A134" s="7" t="s">
        <v>1528</v>
      </c>
      <c r="B134" s="7" t="s">
        <v>1529</v>
      </c>
      <c r="C134" s="7" t="s">
        <v>1367</v>
      </c>
      <c r="D134" s="7" t="s">
        <v>1530</v>
      </c>
      <c r="E134" s="7" t="s">
        <v>5551</v>
      </c>
      <c r="F134" s="7" t="s">
        <v>5933</v>
      </c>
      <c r="G134" s="7" t="s">
        <v>5934</v>
      </c>
      <c r="H134" s="7" t="s">
        <v>5935</v>
      </c>
      <c r="I134" s="12" t="s">
        <v>5562</v>
      </c>
      <c r="J134" s="7" t="s">
        <v>749</v>
      </c>
      <c r="K134" s="7" t="s">
        <v>5897</v>
      </c>
      <c r="L134" s="7" t="s">
        <v>5548</v>
      </c>
      <c r="M134" s="7" t="s">
        <v>5557</v>
      </c>
      <c r="N134" s="7"/>
    </row>
    <row r="135" customFormat="false" ht="58.5" hidden="false" customHeight="true" outlineLevel="0" collapsed="false">
      <c r="A135" s="7" t="s">
        <v>1538</v>
      </c>
      <c r="B135" s="7" t="s">
        <v>1539</v>
      </c>
      <c r="C135" s="7" t="s">
        <v>1367</v>
      </c>
      <c r="D135" s="7" t="s">
        <v>1540</v>
      </c>
      <c r="E135" s="7" t="s">
        <v>5551</v>
      </c>
      <c r="F135" s="7" t="s">
        <v>5936</v>
      </c>
      <c r="G135" s="7" t="s">
        <v>5937</v>
      </c>
      <c r="H135" s="7" t="s">
        <v>5938</v>
      </c>
      <c r="I135" s="12" t="s">
        <v>5562</v>
      </c>
      <c r="J135" s="7" t="s">
        <v>749</v>
      </c>
      <c r="K135" s="7" t="s">
        <v>5897</v>
      </c>
      <c r="L135" s="7" t="s">
        <v>5548</v>
      </c>
      <c r="M135" s="7" t="s">
        <v>5549</v>
      </c>
      <c r="N135" s="7" t="s">
        <v>5939</v>
      </c>
    </row>
    <row r="136" customFormat="false" ht="58.5" hidden="false" customHeight="true" outlineLevel="0" collapsed="false">
      <c r="A136" s="7" t="s">
        <v>1553</v>
      </c>
      <c r="B136" s="7" t="s">
        <v>1554</v>
      </c>
      <c r="C136" s="7" t="s">
        <v>1367</v>
      </c>
      <c r="D136" s="7" t="s">
        <v>1555</v>
      </c>
      <c r="E136" s="7" t="s">
        <v>5542</v>
      </c>
      <c r="F136" s="7" t="s">
        <v>5940</v>
      </c>
      <c r="G136" s="7" t="s">
        <v>5941</v>
      </c>
      <c r="H136" s="7" t="s">
        <v>5942</v>
      </c>
      <c r="I136" s="11" t="s">
        <v>5555</v>
      </c>
      <c r="J136" s="7" t="s">
        <v>1557</v>
      </c>
      <c r="K136" s="7" t="s">
        <v>5897</v>
      </c>
      <c r="L136" s="7" t="s">
        <v>5556</v>
      </c>
      <c r="M136" s="7" t="s">
        <v>5557</v>
      </c>
      <c r="N136" s="7"/>
    </row>
    <row r="137" customFormat="false" ht="39" hidden="false" customHeight="true" outlineLevel="0" collapsed="false">
      <c r="A137" s="7" t="s">
        <v>1561</v>
      </c>
      <c r="B137" s="7" t="s">
        <v>1562</v>
      </c>
      <c r="C137" s="7" t="s">
        <v>1367</v>
      </c>
      <c r="D137" s="7" t="s">
        <v>1563</v>
      </c>
      <c r="E137" s="7" t="s">
        <v>5573</v>
      </c>
      <c r="F137" s="7" t="s">
        <v>5943</v>
      </c>
      <c r="G137" s="7" t="s">
        <v>5944</v>
      </c>
      <c r="H137" s="7" t="s">
        <v>5945</v>
      </c>
      <c r="I137" s="12" t="s">
        <v>5562</v>
      </c>
      <c r="J137" s="7" t="s">
        <v>1557</v>
      </c>
      <c r="K137" s="7" t="s">
        <v>5897</v>
      </c>
      <c r="L137" s="7" t="s">
        <v>5556</v>
      </c>
      <c r="M137" s="7" t="s">
        <v>5577</v>
      </c>
      <c r="N137" s="7"/>
    </row>
    <row r="138" customFormat="false" ht="58.5" hidden="false" customHeight="true" outlineLevel="0" collapsed="false">
      <c r="A138" s="7" t="s">
        <v>1566</v>
      </c>
      <c r="B138" s="7" t="s">
        <v>1567</v>
      </c>
      <c r="C138" s="7" t="s">
        <v>1367</v>
      </c>
      <c r="D138" s="7" t="s">
        <v>1568</v>
      </c>
      <c r="E138" s="7" t="s">
        <v>5542</v>
      </c>
      <c r="F138" s="7" t="s">
        <v>5946</v>
      </c>
      <c r="G138" s="7" t="s">
        <v>5947</v>
      </c>
      <c r="H138" s="7" t="s">
        <v>5948</v>
      </c>
      <c r="I138" s="12" t="s">
        <v>5562</v>
      </c>
      <c r="J138" s="7" t="s">
        <v>1557</v>
      </c>
      <c r="K138" s="7" t="s">
        <v>5897</v>
      </c>
      <c r="L138" s="7" t="s">
        <v>5556</v>
      </c>
      <c r="M138" s="7" t="s">
        <v>5577</v>
      </c>
      <c r="N138" s="7"/>
    </row>
    <row r="139" customFormat="false" ht="58.5" hidden="false" customHeight="true" outlineLevel="0" collapsed="false">
      <c r="A139" s="7" t="s">
        <v>1571</v>
      </c>
      <c r="B139" s="7" t="s">
        <v>1572</v>
      </c>
      <c r="C139" s="7" t="s">
        <v>1367</v>
      </c>
      <c r="D139" s="7" t="s">
        <v>1573</v>
      </c>
      <c r="E139" s="7" t="s">
        <v>5573</v>
      </c>
      <c r="F139" s="7" t="s">
        <v>5949</v>
      </c>
      <c r="G139" s="7" t="s">
        <v>5950</v>
      </c>
      <c r="H139" s="7" t="s">
        <v>5951</v>
      </c>
      <c r="I139" s="12" t="s">
        <v>5562</v>
      </c>
      <c r="J139" s="7" t="s">
        <v>1557</v>
      </c>
      <c r="K139" s="7" t="s">
        <v>5897</v>
      </c>
      <c r="L139" s="7" t="s">
        <v>5556</v>
      </c>
      <c r="M139" s="7" t="s">
        <v>5557</v>
      </c>
      <c r="N139" s="7"/>
    </row>
    <row r="140" customFormat="false" ht="58.5" hidden="false" customHeight="true" outlineLevel="0" collapsed="false">
      <c r="A140" s="7" t="s">
        <v>1630</v>
      </c>
      <c r="B140" s="7" t="s">
        <v>1631</v>
      </c>
      <c r="C140" s="7" t="s">
        <v>1367</v>
      </c>
      <c r="D140" s="7" t="s">
        <v>1632</v>
      </c>
      <c r="E140" s="7" t="s">
        <v>5551</v>
      </c>
      <c r="F140" s="7" t="s">
        <v>5952</v>
      </c>
      <c r="G140" s="7" t="s">
        <v>5953</v>
      </c>
      <c r="H140" s="7" t="s">
        <v>5954</v>
      </c>
      <c r="I140" s="12" t="s">
        <v>5562</v>
      </c>
      <c r="J140" s="7" t="s">
        <v>1621</v>
      </c>
      <c r="K140" s="7" t="s">
        <v>5897</v>
      </c>
      <c r="L140" s="7" t="s">
        <v>5548</v>
      </c>
      <c r="M140" s="7" t="s">
        <v>5549</v>
      </c>
      <c r="N140" s="7" t="s">
        <v>5955</v>
      </c>
    </row>
    <row r="141" customFormat="false" ht="39" hidden="false" customHeight="true" outlineLevel="0" collapsed="false">
      <c r="A141" s="7" t="s">
        <v>1658</v>
      </c>
      <c r="B141" s="7" t="s">
        <v>1659</v>
      </c>
      <c r="C141" s="7" t="s">
        <v>1367</v>
      </c>
      <c r="D141" s="7" t="s">
        <v>1660</v>
      </c>
      <c r="E141" s="7" t="s">
        <v>5551</v>
      </c>
      <c r="F141" s="7" t="s">
        <v>5956</v>
      </c>
      <c r="G141" s="7" t="s">
        <v>5957</v>
      </c>
      <c r="H141" s="7" t="s">
        <v>5958</v>
      </c>
      <c r="I141" s="12" t="s">
        <v>5562</v>
      </c>
      <c r="J141" s="7" t="s">
        <v>1621</v>
      </c>
      <c r="K141" s="7" t="s">
        <v>5897</v>
      </c>
      <c r="L141" s="7" t="s">
        <v>5548</v>
      </c>
      <c r="M141" s="7" t="s">
        <v>5557</v>
      </c>
      <c r="N141" s="7" t="s">
        <v>1659</v>
      </c>
    </row>
    <row r="142" customFormat="false" ht="58.5" hidden="false" customHeight="true" outlineLevel="0" collapsed="false">
      <c r="A142" s="7" t="s">
        <v>1663</v>
      </c>
      <c r="B142" s="7" t="s">
        <v>1664</v>
      </c>
      <c r="C142" s="7" t="s">
        <v>1665</v>
      </c>
      <c r="D142" s="7" t="s">
        <v>163</v>
      </c>
      <c r="E142" s="7" t="s">
        <v>5542</v>
      </c>
      <c r="F142" s="7" t="s">
        <v>5959</v>
      </c>
      <c r="G142" s="7" t="s">
        <v>5863</v>
      </c>
      <c r="H142" s="7" t="s">
        <v>5766</v>
      </c>
      <c r="I142" s="10" t="s">
        <v>5546</v>
      </c>
      <c r="J142" s="7" t="s">
        <v>165</v>
      </c>
      <c r="K142" s="7" t="s">
        <v>5960</v>
      </c>
      <c r="L142" s="7" t="s">
        <v>5548</v>
      </c>
      <c r="M142" s="7" t="s">
        <v>5549</v>
      </c>
      <c r="N142" s="7" t="s">
        <v>5961</v>
      </c>
    </row>
    <row r="143" customFormat="false" ht="39" hidden="false" customHeight="true" outlineLevel="0" collapsed="false">
      <c r="A143" s="7" t="s">
        <v>1668</v>
      </c>
      <c r="B143" s="7" t="s">
        <v>1669</v>
      </c>
      <c r="C143" s="7" t="s">
        <v>1665</v>
      </c>
      <c r="D143" s="7" t="s">
        <v>1670</v>
      </c>
      <c r="E143" s="7" t="s">
        <v>5542</v>
      </c>
      <c r="F143" s="7" t="s">
        <v>5962</v>
      </c>
      <c r="G143" s="7" t="s">
        <v>5963</v>
      </c>
      <c r="H143" s="7" t="s">
        <v>5964</v>
      </c>
      <c r="I143" s="10" t="s">
        <v>5546</v>
      </c>
      <c r="J143" s="7" t="s">
        <v>1671</v>
      </c>
      <c r="K143" s="7" t="s">
        <v>5960</v>
      </c>
      <c r="L143" s="7" t="s">
        <v>5548</v>
      </c>
      <c r="M143" s="7" t="s">
        <v>5549</v>
      </c>
      <c r="N143" s="7" t="s">
        <v>5965</v>
      </c>
    </row>
    <row r="144" customFormat="false" ht="39" hidden="false" customHeight="true" outlineLevel="0" collapsed="false">
      <c r="A144" s="7" t="s">
        <v>1681</v>
      </c>
      <c r="B144" s="7" t="s">
        <v>1682</v>
      </c>
      <c r="C144" s="7" t="s">
        <v>1665</v>
      </c>
      <c r="D144" s="7" t="s">
        <v>1683</v>
      </c>
      <c r="E144" s="7" t="s">
        <v>5551</v>
      </c>
      <c r="F144" s="7" t="s">
        <v>5966</v>
      </c>
      <c r="G144" s="7" t="s">
        <v>5967</v>
      </c>
      <c r="H144" s="7" t="s">
        <v>5968</v>
      </c>
      <c r="I144" s="10" t="s">
        <v>5546</v>
      </c>
      <c r="J144" s="7" t="s">
        <v>1671</v>
      </c>
      <c r="K144" s="7" t="s">
        <v>5960</v>
      </c>
      <c r="L144" s="7" t="s">
        <v>5556</v>
      </c>
      <c r="M144" s="7" t="s">
        <v>5577</v>
      </c>
      <c r="N144" s="7"/>
    </row>
    <row r="145" customFormat="false" ht="58.5" hidden="false" customHeight="true" outlineLevel="0" collapsed="false">
      <c r="A145" s="7" t="s">
        <v>1696</v>
      </c>
      <c r="B145" s="7" t="s">
        <v>1697</v>
      </c>
      <c r="C145" s="7" t="s">
        <v>1665</v>
      </c>
      <c r="D145" s="7" t="s">
        <v>1698</v>
      </c>
      <c r="E145" s="7" t="s">
        <v>5542</v>
      </c>
      <c r="F145" s="7" t="s">
        <v>5969</v>
      </c>
      <c r="G145" s="7" t="s">
        <v>5970</v>
      </c>
      <c r="H145" s="7" t="s">
        <v>5971</v>
      </c>
      <c r="I145" s="10" t="s">
        <v>5546</v>
      </c>
      <c r="J145" s="7" t="s">
        <v>1671</v>
      </c>
      <c r="K145" s="7" t="s">
        <v>5960</v>
      </c>
      <c r="L145" s="7" t="s">
        <v>5556</v>
      </c>
      <c r="M145" s="7" t="s">
        <v>5577</v>
      </c>
      <c r="N145" s="7"/>
    </row>
    <row r="146" customFormat="false" ht="39" hidden="false" customHeight="true" outlineLevel="0" collapsed="false">
      <c r="A146" s="7" t="s">
        <v>1711</v>
      </c>
      <c r="B146" s="7" t="s">
        <v>1712</v>
      </c>
      <c r="C146" s="7" t="s">
        <v>1665</v>
      </c>
      <c r="D146" s="7" t="s">
        <v>1713</v>
      </c>
      <c r="E146" s="7" t="s">
        <v>5542</v>
      </c>
      <c r="F146" s="7" t="s">
        <v>5972</v>
      </c>
      <c r="G146" s="7" t="s">
        <v>5973</v>
      </c>
      <c r="H146" s="7" t="s">
        <v>5974</v>
      </c>
      <c r="I146" s="10" t="s">
        <v>5546</v>
      </c>
      <c r="J146" s="7" t="s">
        <v>882</v>
      </c>
      <c r="K146" s="7" t="s">
        <v>5960</v>
      </c>
      <c r="L146" s="7" t="s">
        <v>5548</v>
      </c>
      <c r="M146" s="7" t="s">
        <v>5549</v>
      </c>
      <c r="N146" s="7" t="s">
        <v>5975</v>
      </c>
    </row>
    <row r="147" customFormat="false" ht="78" hidden="false" customHeight="true" outlineLevel="0" collapsed="false">
      <c r="A147" s="7" t="s">
        <v>1727</v>
      </c>
      <c r="B147" s="7" t="s">
        <v>1728</v>
      </c>
      <c r="C147" s="7" t="s">
        <v>1665</v>
      </c>
      <c r="D147" s="7" t="s">
        <v>1729</v>
      </c>
      <c r="E147" s="7" t="s">
        <v>5542</v>
      </c>
      <c r="F147" s="7" t="s">
        <v>5976</v>
      </c>
      <c r="G147" s="7" t="s">
        <v>5977</v>
      </c>
      <c r="H147" s="7" t="s">
        <v>5978</v>
      </c>
      <c r="I147" s="10" t="s">
        <v>5546</v>
      </c>
      <c r="J147" s="7" t="s">
        <v>1730</v>
      </c>
      <c r="K147" s="7" t="s">
        <v>5960</v>
      </c>
      <c r="L147" s="7" t="s">
        <v>5548</v>
      </c>
      <c r="M147" s="7" t="s">
        <v>5549</v>
      </c>
      <c r="N147" s="7" t="s">
        <v>5979</v>
      </c>
    </row>
    <row r="148" customFormat="false" ht="39" hidden="false" customHeight="true" outlineLevel="0" collapsed="false">
      <c r="A148" s="7" t="s">
        <v>1759</v>
      </c>
      <c r="B148" s="7" t="s">
        <v>1760</v>
      </c>
      <c r="C148" s="7" t="s">
        <v>1665</v>
      </c>
      <c r="D148" s="7" t="s">
        <v>1761</v>
      </c>
      <c r="E148" s="7" t="s">
        <v>5551</v>
      </c>
      <c r="F148" s="7" t="s">
        <v>5980</v>
      </c>
      <c r="G148" s="7" t="s">
        <v>5981</v>
      </c>
      <c r="H148" s="7" t="s">
        <v>5982</v>
      </c>
      <c r="I148" s="12" t="s">
        <v>5562</v>
      </c>
      <c r="J148" s="7" t="s">
        <v>1671</v>
      </c>
      <c r="K148" s="7" t="s">
        <v>5960</v>
      </c>
      <c r="L148" s="7" t="s">
        <v>5556</v>
      </c>
      <c r="M148" s="7" t="s">
        <v>5557</v>
      </c>
      <c r="N148" s="7" t="s">
        <v>5983</v>
      </c>
    </row>
    <row r="149" customFormat="false" ht="39" hidden="false" customHeight="true" outlineLevel="0" collapsed="false">
      <c r="A149" s="7" t="s">
        <v>1764</v>
      </c>
      <c r="B149" s="7" t="s">
        <v>1765</v>
      </c>
      <c r="C149" s="7" t="s">
        <v>1665</v>
      </c>
      <c r="D149" s="7" t="s">
        <v>1766</v>
      </c>
      <c r="E149" s="7" t="s">
        <v>5551</v>
      </c>
      <c r="F149" s="7" t="s">
        <v>5984</v>
      </c>
      <c r="G149" s="7" t="s">
        <v>5985</v>
      </c>
      <c r="H149" s="7" t="s">
        <v>5986</v>
      </c>
      <c r="I149" s="10" t="s">
        <v>5546</v>
      </c>
      <c r="J149" s="7" t="s">
        <v>1671</v>
      </c>
      <c r="K149" s="7" t="s">
        <v>5960</v>
      </c>
      <c r="L149" s="7" t="s">
        <v>5556</v>
      </c>
      <c r="M149" s="7" t="s">
        <v>5577</v>
      </c>
      <c r="N149" s="7"/>
    </row>
    <row r="150" customFormat="false" ht="39" hidden="false" customHeight="true" outlineLevel="0" collapsed="false">
      <c r="A150" s="7" t="s">
        <v>1769</v>
      </c>
      <c r="B150" s="7" t="s">
        <v>1770</v>
      </c>
      <c r="C150" s="7" t="s">
        <v>1665</v>
      </c>
      <c r="D150" s="7" t="s">
        <v>1771</v>
      </c>
      <c r="E150" s="7" t="s">
        <v>5551</v>
      </c>
      <c r="F150" s="7" t="s">
        <v>5987</v>
      </c>
      <c r="G150" s="7" t="s">
        <v>5988</v>
      </c>
      <c r="H150" s="7" t="s">
        <v>5989</v>
      </c>
      <c r="I150" s="10" t="s">
        <v>5546</v>
      </c>
      <c r="J150" s="7" t="s">
        <v>1671</v>
      </c>
      <c r="K150" s="7" t="s">
        <v>5960</v>
      </c>
      <c r="L150" s="7" t="s">
        <v>5556</v>
      </c>
      <c r="M150" s="7" t="s">
        <v>5577</v>
      </c>
      <c r="N150" s="7"/>
    </row>
    <row r="151" customFormat="false" ht="58.5" hidden="false" customHeight="true" outlineLevel="0" collapsed="false">
      <c r="A151" s="7" t="s">
        <v>1779</v>
      </c>
      <c r="B151" s="7" t="s">
        <v>1780</v>
      </c>
      <c r="C151" s="7" t="s">
        <v>1665</v>
      </c>
      <c r="D151" s="7" t="s">
        <v>1781</v>
      </c>
      <c r="E151" s="7" t="s">
        <v>5542</v>
      </c>
      <c r="F151" s="7" t="s">
        <v>5990</v>
      </c>
      <c r="G151" s="7" t="s">
        <v>5991</v>
      </c>
      <c r="H151" s="7" t="s">
        <v>5992</v>
      </c>
      <c r="I151" s="12" t="s">
        <v>5562</v>
      </c>
      <c r="J151" s="7" t="s">
        <v>1671</v>
      </c>
      <c r="K151" s="7" t="s">
        <v>5960</v>
      </c>
      <c r="L151" s="7" t="s">
        <v>5548</v>
      </c>
      <c r="M151" s="7" t="s">
        <v>5557</v>
      </c>
      <c r="N151" s="7"/>
    </row>
    <row r="152" customFormat="false" ht="39" hidden="false" customHeight="true" outlineLevel="0" collapsed="false">
      <c r="A152" s="7" t="s">
        <v>1839</v>
      </c>
      <c r="B152" s="7" t="s">
        <v>1840</v>
      </c>
      <c r="C152" s="7" t="s">
        <v>1665</v>
      </c>
      <c r="D152" s="7" t="s">
        <v>1841</v>
      </c>
      <c r="E152" s="7" t="s">
        <v>5551</v>
      </c>
      <c r="F152" s="7" t="s">
        <v>5993</v>
      </c>
      <c r="G152" s="7" t="s">
        <v>5994</v>
      </c>
      <c r="H152" s="7" t="s">
        <v>5995</v>
      </c>
      <c r="I152" s="11" t="s">
        <v>5555</v>
      </c>
      <c r="J152" s="7" t="s">
        <v>1134</v>
      </c>
      <c r="K152" s="7" t="s">
        <v>5960</v>
      </c>
      <c r="L152" s="7" t="s">
        <v>5556</v>
      </c>
      <c r="M152" s="7" t="s">
        <v>5557</v>
      </c>
      <c r="N152" s="7"/>
    </row>
    <row r="153" customFormat="false" ht="39" hidden="false" customHeight="true" outlineLevel="0" collapsed="false">
      <c r="A153" s="7" t="s">
        <v>1855</v>
      </c>
      <c r="B153" s="7" t="s">
        <v>1856</v>
      </c>
      <c r="C153" s="7" t="s">
        <v>1665</v>
      </c>
      <c r="D153" s="7" t="s">
        <v>1857</v>
      </c>
      <c r="E153" s="7" t="s">
        <v>5551</v>
      </c>
      <c r="F153" s="7" t="s">
        <v>5996</v>
      </c>
      <c r="G153" s="7" t="s">
        <v>5997</v>
      </c>
      <c r="H153" s="7" t="s">
        <v>5998</v>
      </c>
      <c r="I153" s="12" t="s">
        <v>5562</v>
      </c>
      <c r="J153" s="7" t="s">
        <v>1134</v>
      </c>
      <c r="K153" s="7" t="s">
        <v>5960</v>
      </c>
      <c r="L153" s="7" t="s">
        <v>5548</v>
      </c>
      <c r="M153" s="7" t="s">
        <v>5557</v>
      </c>
      <c r="N153" s="7" t="s">
        <v>5999</v>
      </c>
    </row>
    <row r="154" customFormat="false" ht="39" hidden="false" customHeight="true" outlineLevel="0" collapsed="false">
      <c r="A154" s="7" t="s">
        <v>1865</v>
      </c>
      <c r="B154" s="7" t="s">
        <v>1866</v>
      </c>
      <c r="C154" s="7" t="s">
        <v>1665</v>
      </c>
      <c r="D154" s="7" t="s">
        <v>1867</v>
      </c>
      <c r="E154" s="7" t="s">
        <v>5542</v>
      </c>
      <c r="F154" s="7" t="s">
        <v>6000</v>
      </c>
      <c r="G154" s="7" t="s">
        <v>6001</v>
      </c>
      <c r="H154" s="7" t="s">
        <v>6002</v>
      </c>
      <c r="I154" s="12" t="s">
        <v>5562</v>
      </c>
      <c r="J154" s="7" t="s">
        <v>1134</v>
      </c>
      <c r="K154" s="7" t="s">
        <v>5960</v>
      </c>
      <c r="L154" s="7" t="s">
        <v>5548</v>
      </c>
      <c r="M154" s="7" t="s">
        <v>5549</v>
      </c>
      <c r="N154" s="7" t="s">
        <v>6003</v>
      </c>
    </row>
    <row r="155" customFormat="false" ht="39" hidden="false" customHeight="true" outlineLevel="0" collapsed="false">
      <c r="A155" s="7" t="s">
        <v>1875</v>
      </c>
      <c r="B155" s="7" t="s">
        <v>1876</v>
      </c>
      <c r="C155" s="7" t="s">
        <v>1665</v>
      </c>
      <c r="D155" s="7" t="s">
        <v>1877</v>
      </c>
      <c r="E155" s="7" t="s">
        <v>5551</v>
      </c>
      <c r="F155" s="7" t="s">
        <v>6004</v>
      </c>
      <c r="G155" s="7" t="s">
        <v>6005</v>
      </c>
      <c r="H155" s="7" t="s">
        <v>6006</v>
      </c>
      <c r="I155" s="11" t="s">
        <v>5555</v>
      </c>
      <c r="J155" s="7" t="s">
        <v>1134</v>
      </c>
      <c r="K155" s="7" t="s">
        <v>5960</v>
      </c>
      <c r="L155" s="7" t="s">
        <v>5548</v>
      </c>
      <c r="M155" s="7" t="s">
        <v>5557</v>
      </c>
      <c r="N155" s="7" t="s">
        <v>6007</v>
      </c>
    </row>
    <row r="156" customFormat="false" ht="58.5" hidden="false" customHeight="true" outlineLevel="0" collapsed="false">
      <c r="A156" s="7" t="s">
        <v>1880</v>
      </c>
      <c r="B156" s="7" t="s">
        <v>1881</v>
      </c>
      <c r="C156" s="7" t="s">
        <v>1665</v>
      </c>
      <c r="D156" s="7" t="s">
        <v>1882</v>
      </c>
      <c r="E156" s="7" t="s">
        <v>5542</v>
      </c>
      <c r="F156" s="7" t="s">
        <v>6008</v>
      </c>
      <c r="G156" s="7" t="s">
        <v>6009</v>
      </c>
      <c r="H156" s="7" t="s">
        <v>6010</v>
      </c>
      <c r="I156" s="12" t="s">
        <v>5562</v>
      </c>
      <c r="J156" s="7" t="s">
        <v>1884</v>
      </c>
      <c r="K156" s="7" t="s">
        <v>5960</v>
      </c>
      <c r="L156" s="7" t="s">
        <v>5556</v>
      </c>
      <c r="M156" s="7" t="s">
        <v>5557</v>
      </c>
      <c r="N156" s="7"/>
    </row>
    <row r="157" customFormat="false" ht="136.5" hidden="false" customHeight="true" outlineLevel="0" collapsed="false">
      <c r="A157" s="7" t="s">
        <v>1923</v>
      </c>
      <c r="B157" s="7" t="s">
        <v>1924</v>
      </c>
      <c r="C157" s="7" t="s">
        <v>1920</v>
      </c>
      <c r="D157" s="7" t="s">
        <v>1925</v>
      </c>
      <c r="E157" s="7" t="s">
        <v>5551</v>
      </c>
      <c r="F157" s="7" t="s">
        <v>6011</v>
      </c>
      <c r="G157" s="7" t="s">
        <v>6012</v>
      </c>
      <c r="H157" s="7" t="s">
        <v>6013</v>
      </c>
      <c r="I157" s="11" t="s">
        <v>5555</v>
      </c>
      <c r="J157" s="7" t="s">
        <v>538</v>
      </c>
      <c r="K157" s="7" t="s">
        <v>5547</v>
      </c>
      <c r="L157" s="7" t="s">
        <v>5548</v>
      </c>
      <c r="M157" s="7" t="s">
        <v>5557</v>
      </c>
      <c r="N157" s="7" t="s">
        <v>6014</v>
      </c>
    </row>
    <row r="158" customFormat="false" ht="78" hidden="false" customHeight="true" outlineLevel="0" collapsed="false">
      <c r="A158" s="7" t="s">
        <v>1928</v>
      </c>
      <c r="B158" s="7" t="s">
        <v>1929</v>
      </c>
      <c r="C158" s="7" t="s">
        <v>1920</v>
      </c>
      <c r="D158" s="7" t="s">
        <v>1930</v>
      </c>
      <c r="E158" s="7" t="s">
        <v>5551</v>
      </c>
      <c r="F158" s="7" t="s">
        <v>6015</v>
      </c>
      <c r="G158" s="7" t="s">
        <v>6016</v>
      </c>
      <c r="H158" s="7" t="s">
        <v>6017</v>
      </c>
      <c r="I158" s="11" t="s">
        <v>5555</v>
      </c>
      <c r="J158" s="7" t="s">
        <v>538</v>
      </c>
      <c r="K158" s="7" t="s">
        <v>5547</v>
      </c>
      <c r="L158" s="7" t="s">
        <v>5556</v>
      </c>
      <c r="M158" s="7" t="s">
        <v>5557</v>
      </c>
      <c r="N158" s="7" t="s">
        <v>6018</v>
      </c>
    </row>
    <row r="159" customFormat="false" ht="78" hidden="false" customHeight="true" outlineLevel="0" collapsed="false">
      <c r="A159" s="7" t="s">
        <v>1933</v>
      </c>
      <c r="B159" s="7" t="s">
        <v>1934</v>
      </c>
      <c r="C159" s="7" t="s">
        <v>1920</v>
      </c>
      <c r="D159" s="7" t="s">
        <v>1935</v>
      </c>
      <c r="E159" s="7" t="s">
        <v>5551</v>
      </c>
      <c r="F159" s="7" t="s">
        <v>6019</v>
      </c>
      <c r="G159" s="7" t="s">
        <v>6020</v>
      </c>
      <c r="H159" s="7" t="s">
        <v>6021</v>
      </c>
      <c r="I159" s="11" t="s">
        <v>5555</v>
      </c>
      <c r="J159" s="7" t="s">
        <v>538</v>
      </c>
      <c r="K159" s="7" t="s">
        <v>5547</v>
      </c>
      <c r="L159" s="7" t="s">
        <v>5556</v>
      </c>
      <c r="M159" s="7" t="s">
        <v>5557</v>
      </c>
      <c r="N159" s="7"/>
    </row>
    <row r="160" customFormat="false" ht="58.5" hidden="false" customHeight="true" outlineLevel="0" collapsed="false">
      <c r="A160" s="7" t="s">
        <v>1943</v>
      </c>
      <c r="B160" s="7" t="s">
        <v>1944</v>
      </c>
      <c r="C160" s="7" t="s">
        <v>1920</v>
      </c>
      <c r="D160" s="7" t="s">
        <v>1945</v>
      </c>
      <c r="E160" s="7" t="s">
        <v>5551</v>
      </c>
      <c r="F160" s="7" t="s">
        <v>6022</v>
      </c>
      <c r="G160" s="7" t="s">
        <v>6023</v>
      </c>
      <c r="H160" s="7" t="s">
        <v>6024</v>
      </c>
      <c r="I160" s="12" t="s">
        <v>5562</v>
      </c>
      <c r="J160" s="7" t="s">
        <v>538</v>
      </c>
      <c r="K160" s="7" t="s">
        <v>5547</v>
      </c>
      <c r="L160" s="7" t="s">
        <v>5556</v>
      </c>
      <c r="M160" s="7" t="s">
        <v>5563</v>
      </c>
      <c r="N160" s="7" t="s">
        <v>6025</v>
      </c>
    </row>
    <row r="161" customFormat="false" ht="58.5" hidden="false" customHeight="true" outlineLevel="0" collapsed="false">
      <c r="A161" s="7" t="s">
        <v>1948</v>
      </c>
      <c r="B161" s="7" t="s">
        <v>1949</v>
      </c>
      <c r="C161" s="7" t="s">
        <v>1920</v>
      </c>
      <c r="D161" s="7" t="s">
        <v>1950</v>
      </c>
      <c r="E161" s="7" t="s">
        <v>5551</v>
      </c>
      <c r="F161" s="7" t="s">
        <v>6026</v>
      </c>
      <c r="G161" s="7" t="s">
        <v>6027</v>
      </c>
      <c r="H161" s="7" t="s">
        <v>6028</v>
      </c>
      <c r="I161" s="12" t="s">
        <v>5562</v>
      </c>
      <c r="J161" s="7" t="s">
        <v>538</v>
      </c>
      <c r="K161" s="7" t="s">
        <v>5547</v>
      </c>
      <c r="L161" s="7" t="s">
        <v>5556</v>
      </c>
      <c r="M161" s="7" t="s">
        <v>5577</v>
      </c>
      <c r="N161" s="7"/>
    </row>
    <row r="162" customFormat="false" ht="58.5" hidden="false" customHeight="true" outlineLevel="0" collapsed="false">
      <c r="A162" s="7" t="s">
        <v>1953</v>
      </c>
      <c r="B162" s="7" t="s">
        <v>1954</v>
      </c>
      <c r="C162" s="7" t="s">
        <v>1920</v>
      </c>
      <c r="D162" s="7" t="s">
        <v>1955</v>
      </c>
      <c r="E162" s="7" t="s">
        <v>5542</v>
      </c>
      <c r="F162" s="7" t="s">
        <v>6029</v>
      </c>
      <c r="G162" s="7" t="s">
        <v>6030</v>
      </c>
      <c r="H162" s="7" t="s">
        <v>6031</v>
      </c>
      <c r="I162" s="12" t="s">
        <v>5562</v>
      </c>
      <c r="J162" s="7" t="s">
        <v>538</v>
      </c>
      <c r="K162" s="7" t="s">
        <v>5547</v>
      </c>
      <c r="L162" s="7" t="s">
        <v>5548</v>
      </c>
      <c r="M162" s="7" t="s">
        <v>5557</v>
      </c>
      <c r="N162" s="7" t="s">
        <v>6032</v>
      </c>
    </row>
    <row r="163" customFormat="false" ht="39" hidden="false" customHeight="true" outlineLevel="0" collapsed="false">
      <c r="A163" s="7" t="s">
        <v>1988</v>
      </c>
      <c r="B163" s="7" t="s">
        <v>1989</v>
      </c>
      <c r="C163" s="7" t="s">
        <v>1920</v>
      </c>
      <c r="D163" s="7" t="s">
        <v>1990</v>
      </c>
      <c r="E163" s="7" t="s">
        <v>5551</v>
      </c>
      <c r="F163" s="7" t="s">
        <v>6033</v>
      </c>
      <c r="G163" s="7" t="s">
        <v>6034</v>
      </c>
      <c r="H163" s="7" t="s">
        <v>6035</v>
      </c>
      <c r="I163" s="12" t="s">
        <v>5562</v>
      </c>
      <c r="J163" s="7" t="s">
        <v>175</v>
      </c>
      <c r="K163" s="7" t="s">
        <v>5547</v>
      </c>
      <c r="L163" s="7" t="s">
        <v>5548</v>
      </c>
      <c r="M163" s="7" t="s">
        <v>5557</v>
      </c>
      <c r="N163" s="7"/>
    </row>
    <row r="164" customFormat="false" ht="58.5" hidden="false" customHeight="true" outlineLevel="0" collapsed="false">
      <c r="A164" s="7" t="s">
        <v>2029</v>
      </c>
      <c r="B164" s="7" t="s">
        <v>2030</v>
      </c>
      <c r="C164" s="7" t="s">
        <v>1920</v>
      </c>
      <c r="D164" s="7" t="s">
        <v>2031</v>
      </c>
      <c r="E164" s="7" t="s">
        <v>5551</v>
      </c>
      <c r="F164" s="7" t="s">
        <v>6036</v>
      </c>
      <c r="G164" s="7" t="s">
        <v>6037</v>
      </c>
      <c r="H164" s="7" t="s">
        <v>6038</v>
      </c>
      <c r="I164" s="11" t="s">
        <v>5555</v>
      </c>
      <c r="J164" s="7" t="s">
        <v>175</v>
      </c>
      <c r="K164" s="7" t="s">
        <v>5547</v>
      </c>
      <c r="L164" s="7" t="s">
        <v>5548</v>
      </c>
      <c r="M164" s="7" t="s">
        <v>5557</v>
      </c>
      <c r="N164" s="7"/>
    </row>
    <row r="165" customFormat="false" ht="78" hidden="false" customHeight="true" outlineLevel="0" collapsed="false">
      <c r="A165" s="7" t="s">
        <v>2034</v>
      </c>
      <c r="B165" s="7" t="s">
        <v>2035</v>
      </c>
      <c r="C165" s="7" t="s">
        <v>1920</v>
      </c>
      <c r="D165" s="7" t="s">
        <v>2036</v>
      </c>
      <c r="E165" s="7" t="s">
        <v>5551</v>
      </c>
      <c r="F165" s="7" t="s">
        <v>6039</v>
      </c>
      <c r="G165" s="7" t="s">
        <v>6040</v>
      </c>
      <c r="H165" s="7" t="s">
        <v>6041</v>
      </c>
      <c r="I165" s="12" t="s">
        <v>5562</v>
      </c>
      <c r="J165" s="7" t="s">
        <v>175</v>
      </c>
      <c r="K165" s="7" t="s">
        <v>5547</v>
      </c>
      <c r="L165" s="7" t="s">
        <v>5556</v>
      </c>
      <c r="M165" s="7" t="s">
        <v>5563</v>
      </c>
      <c r="N165" s="7" t="s">
        <v>6042</v>
      </c>
    </row>
    <row r="166" customFormat="false" ht="58.5" hidden="false" customHeight="true" outlineLevel="0" collapsed="false">
      <c r="A166" s="7" t="s">
        <v>2039</v>
      </c>
      <c r="B166" s="7" t="s">
        <v>2040</v>
      </c>
      <c r="C166" s="7" t="s">
        <v>1920</v>
      </c>
      <c r="D166" s="7" t="s">
        <v>2041</v>
      </c>
      <c r="E166" s="7" t="s">
        <v>5551</v>
      </c>
      <c r="F166" s="7" t="s">
        <v>6043</v>
      </c>
      <c r="G166" s="7" t="s">
        <v>6044</v>
      </c>
      <c r="H166" s="7" t="s">
        <v>6045</v>
      </c>
      <c r="I166" s="12" t="s">
        <v>5562</v>
      </c>
      <c r="J166" s="7" t="s">
        <v>175</v>
      </c>
      <c r="K166" s="7" t="s">
        <v>5547</v>
      </c>
      <c r="L166" s="7" t="s">
        <v>5548</v>
      </c>
      <c r="M166" s="7" t="s">
        <v>5549</v>
      </c>
      <c r="N166" s="7" t="s">
        <v>6046</v>
      </c>
    </row>
    <row r="167" customFormat="false" ht="58.5" hidden="false" customHeight="true" outlineLevel="0" collapsed="false">
      <c r="A167" s="7" t="s">
        <v>2054</v>
      </c>
      <c r="B167" s="7" t="s">
        <v>2055</v>
      </c>
      <c r="C167" s="7" t="s">
        <v>1920</v>
      </c>
      <c r="D167" s="7" t="s">
        <v>2056</v>
      </c>
      <c r="E167" s="7" t="s">
        <v>5551</v>
      </c>
      <c r="F167" s="7" t="s">
        <v>6047</v>
      </c>
      <c r="G167" s="7" t="s">
        <v>6048</v>
      </c>
      <c r="H167" s="7" t="s">
        <v>6049</v>
      </c>
      <c r="I167" s="12" t="s">
        <v>5562</v>
      </c>
      <c r="J167" s="7" t="s">
        <v>175</v>
      </c>
      <c r="K167" s="7" t="s">
        <v>5547</v>
      </c>
      <c r="L167" s="7" t="s">
        <v>5548</v>
      </c>
      <c r="M167" s="7" t="s">
        <v>5557</v>
      </c>
      <c r="N167" s="7"/>
    </row>
    <row r="168" customFormat="false" ht="58.5" hidden="false" customHeight="true" outlineLevel="0" collapsed="false">
      <c r="A168" s="7" t="s">
        <v>2104</v>
      </c>
      <c r="B168" s="7" t="s">
        <v>2105</v>
      </c>
      <c r="C168" s="7" t="s">
        <v>1920</v>
      </c>
      <c r="D168" s="7" t="s">
        <v>2106</v>
      </c>
      <c r="E168" s="7" t="s">
        <v>5542</v>
      </c>
      <c r="F168" s="7" t="s">
        <v>6050</v>
      </c>
      <c r="G168" s="7" t="s">
        <v>6051</v>
      </c>
      <c r="H168" s="7" t="s">
        <v>6052</v>
      </c>
      <c r="I168" s="12" t="s">
        <v>5562</v>
      </c>
      <c r="J168" s="7" t="s">
        <v>175</v>
      </c>
      <c r="K168" s="7" t="s">
        <v>5547</v>
      </c>
      <c r="L168" s="7" t="s">
        <v>5548</v>
      </c>
      <c r="M168" s="7" t="s">
        <v>5549</v>
      </c>
      <c r="N168" s="7" t="s">
        <v>6053</v>
      </c>
    </row>
    <row r="169" customFormat="false" ht="58.5" hidden="false" customHeight="true" outlineLevel="0" collapsed="false">
      <c r="A169" s="7" t="s">
        <v>2114</v>
      </c>
      <c r="B169" s="7" t="s">
        <v>2115</v>
      </c>
      <c r="C169" s="7" t="s">
        <v>1920</v>
      </c>
      <c r="D169" s="7" t="s">
        <v>2116</v>
      </c>
      <c r="E169" s="7" t="s">
        <v>5551</v>
      </c>
      <c r="F169" s="7" t="s">
        <v>6054</v>
      </c>
      <c r="G169" s="7" t="s">
        <v>6055</v>
      </c>
      <c r="H169" s="7" t="s">
        <v>6056</v>
      </c>
      <c r="I169" s="12" t="s">
        <v>5562</v>
      </c>
      <c r="J169" s="7" t="s">
        <v>538</v>
      </c>
      <c r="K169" s="7" t="s">
        <v>5547</v>
      </c>
      <c r="L169" s="7" t="s">
        <v>5548</v>
      </c>
      <c r="M169" s="7" t="s">
        <v>5549</v>
      </c>
      <c r="N169" s="7" t="s">
        <v>6057</v>
      </c>
    </row>
    <row r="170" customFormat="false" ht="58.5" hidden="false" customHeight="true" outlineLevel="0" collapsed="false">
      <c r="A170" s="7" t="s">
        <v>2119</v>
      </c>
      <c r="B170" s="7" t="s">
        <v>2120</v>
      </c>
      <c r="C170" s="7" t="s">
        <v>1920</v>
      </c>
      <c r="D170" s="7" t="s">
        <v>2121</v>
      </c>
      <c r="E170" s="7" t="s">
        <v>5551</v>
      </c>
      <c r="F170" s="7" t="s">
        <v>6058</v>
      </c>
      <c r="G170" s="7" t="s">
        <v>6059</v>
      </c>
      <c r="H170" s="7" t="s">
        <v>6060</v>
      </c>
      <c r="I170" s="11" t="s">
        <v>5555</v>
      </c>
      <c r="J170" s="7" t="s">
        <v>538</v>
      </c>
      <c r="K170" s="7" t="s">
        <v>5547</v>
      </c>
      <c r="L170" s="7" t="s">
        <v>5548</v>
      </c>
      <c r="M170" s="7" t="s">
        <v>5557</v>
      </c>
      <c r="N170" s="7"/>
    </row>
    <row r="171" customFormat="false" ht="39" hidden="false" customHeight="true" outlineLevel="0" collapsed="false">
      <c r="A171" s="7" t="s">
        <v>2154</v>
      </c>
      <c r="B171" s="7" t="s">
        <v>2155</v>
      </c>
      <c r="C171" s="7" t="s">
        <v>1920</v>
      </c>
      <c r="D171" s="7" t="s">
        <v>2156</v>
      </c>
      <c r="E171" s="7" t="s">
        <v>5551</v>
      </c>
      <c r="F171" s="7" t="s">
        <v>6061</v>
      </c>
      <c r="G171" s="7" t="s">
        <v>6062</v>
      </c>
      <c r="H171" s="7" t="s">
        <v>6063</v>
      </c>
      <c r="I171" s="12" t="s">
        <v>5562</v>
      </c>
      <c r="J171" s="7" t="s">
        <v>538</v>
      </c>
      <c r="K171" s="7" t="s">
        <v>5547</v>
      </c>
      <c r="L171" s="7" t="s">
        <v>5548</v>
      </c>
      <c r="M171" s="7" t="s">
        <v>5557</v>
      </c>
      <c r="N171" s="7"/>
    </row>
    <row r="172" customFormat="false" ht="39" hidden="false" customHeight="true" outlineLevel="0" collapsed="false">
      <c r="A172" s="7" t="s">
        <v>2164</v>
      </c>
      <c r="B172" s="7" t="s">
        <v>2165</v>
      </c>
      <c r="C172" s="7" t="s">
        <v>1920</v>
      </c>
      <c r="D172" s="7" t="s">
        <v>2166</v>
      </c>
      <c r="E172" s="7" t="s">
        <v>5551</v>
      </c>
      <c r="F172" s="7" t="s">
        <v>6064</v>
      </c>
      <c r="G172" s="7" t="s">
        <v>6065</v>
      </c>
      <c r="H172" s="7" t="s">
        <v>6066</v>
      </c>
      <c r="I172" s="12" t="s">
        <v>5562</v>
      </c>
      <c r="J172" s="7" t="s">
        <v>538</v>
      </c>
      <c r="K172" s="7" t="s">
        <v>5547</v>
      </c>
      <c r="L172" s="7" t="s">
        <v>5548</v>
      </c>
      <c r="M172" s="7" t="s">
        <v>5557</v>
      </c>
      <c r="N172" s="7"/>
    </row>
    <row r="173" customFormat="false" ht="39" hidden="false" customHeight="true" outlineLevel="0" collapsed="false">
      <c r="A173" s="7" t="s">
        <v>2207</v>
      </c>
      <c r="B173" s="7" t="s">
        <v>2208</v>
      </c>
      <c r="C173" s="7" t="s">
        <v>1920</v>
      </c>
      <c r="D173" s="7" t="s">
        <v>2209</v>
      </c>
      <c r="E173" s="7" t="s">
        <v>5551</v>
      </c>
      <c r="F173" s="7" t="s">
        <v>6067</v>
      </c>
      <c r="G173" s="7" t="s">
        <v>6068</v>
      </c>
      <c r="H173" s="7" t="s">
        <v>6069</v>
      </c>
      <c r="I173" s="12" t="s">
        <v>5562</v>
      </c>
      <c r="J173" s="7" t="s">
        <v>2210</v>
      </c>
      <c r="K173" s="7" t="s">
        <v>5547</v>
      </c>
      <c r="L173" s="7" t="s">
        <v>6070</v>
      </c>
      <c r="M173" s="7" t="s">
        <v>5557</v>
      </c>
      <c r="N173" s="7"/>
    </row>
    <row r="174" customFormat="false" ht="58.5" hidden="false" customHeight="true" outlineLevel="0" collapsed="false">
      <c r="A174" s="7" t="s">
        <v>2229</v>
      </c>
      <c r="B174" s="7" t="s">
        <v>2230</v>
      </c>
      <c r="C174" s="7" t="s">
        <v>2231</v>
      </c>
      <c r="D174" s="7" t="s">
        <v>163</v>
      </c>
      <c r="E174" s="7" t="s">
        <v>5542</v>
      </c>
      <c r="F174" s="7" t="s">
        <v>6071</v>
      </c>
      <c r="G174" s="7" t="s">
        <v>5863</v>
      </c>
      <c r="H174" s="7" t="s">
        <v>5766</v>
      </c>
      <c r="I174" s="10" t="s">
        <v>5546</v>
      </c>
      <c r="J174" s="7" t="s">
        <v>165</v>
      </c>
      <c r="K174" s="7" t="s">
        <v>6072</v>
      </c>
      <c r="L174" s="7" t="s">
        <v>5548</v>
      </c>
      <c r="M174" s="7" t="s">
        <v>5549</v>
      </c>
      <c r="N174" s="7" t="s">
        <v>6073</v>
      </c>
    </row>
    <row r="175" customFormat="false" ht="39" hidden="false" customHeight="true" outlineLevel="0" collapsed="false">
      <c r="A175" s="7" t="s">
        <v>2234</v>
      </c>
      <c r="B175" s="7" t="s">
        <v>2235</v>
      </c>
      <c r="C175" s="7" t="s">
        <v>2231</v>
      </c>
      <c r="D175" s="7" t="s">
        <v>2236</v>
      </c>
      <c r="E175" s="7" t="s">
        <v>5542</v>
      </c>
      <c r="F175" s="7" t="s">
        <v>6074</v>
      </c>
      <c r="G175" s="7" t="s">
        <v>6075</v>
      </c>
      <c r="H175" s="7" t="s">
        <v>6076</v>
      </c>
      <c r="I175" s="10" t="s">
        <v>5546</v>
      </c>
      <c r="J175" s="7" t="s">
        <v>882</v>
      </c>
      <c r="K175" s="7" t="s">
        <v>6072</v>
      </c>
      <c r="L175" s="7" t="s">
        <v>5548</v>
      </c>
      <c r="M175" s="7" t="s">
        <v>5549</v>
      </c>
      <c r="N175" s="7" t="s">
        <v>6077</v>
      </c>
    </row>
    <row r="176" customFormat="false" ht="39" hidden="false" customHeight="true" outlineLevel="0" collapsed="false">
      <c r="A176" s="7" t="s">
        <v>2254</v>
      </c>
      <c r="B176" s="7" t="s">
        <v>2255</v>
      </c>
      <c r="C176" s="7" t="s">
        <v>2231</v>
      </c>
      <c r="D176" s="7" t="s">
        <v>2256</v>
      </c>
      <c r="E176" s="7" t="s">
        <v>5542</v>
      </c>
      <c r="F176" s="7" t="s">
        <v>6078</v>
      </c>
      <c r="G176" s="7" t="s">
        <v>6079</v>
      </c>
      <c r="H176" s="7" t="s">
        <v>6080</v>
      </c>
      <c r="I176" s="10" t="s">
        <v>5546</v>
      </c>
      <c r="J176" s="7" t="s">
        <v>1730</v>
      </c>
      <c r="K176" s="7" t="s">
        <v>6072</v>
      </c>
      <c r="L176" s="7" t="s">
        <v>5548</v>
      </c>
      <c r="M176" s="7" t="s">
        <v>5549</v>
      </c>
      <c r="N176" s="7" t="s">
        <v>6081</v>
      </c>
    </row>
    <row r="177" customFormat="false" ht="58.5" hidden="false" customHeight="true" outlineLevel="0" collapsed="false">
      <c r="A177" s="7" t="s">
        <v>2274</v>
      </c>
      <c r="B177" s="7" t="s">
        <v>2275</v>
      </c>
      <c r="C177" s="7" t="s">
        <v>2231</v>
      </c>
      <c r="D177" s="7" t="s">
        <v>2276</v>
      </c>
      <c r="E177" s="7" t="s">
        <v>5542</v>
      </c>
      <c r="F177" s="7" t="s">
        <v>6082</v>
      </c>
      <c r="G177" s="7" t="s">
        <v>6083</v>
      </c>
      <c r="H177" s="7" t="s">
        <v>6084</v>
      </c>
      <c r="I177" s="12" t="s">
        <v>5562</v>
      </c>
      <c r="J177" s="7" t="s">
        <v>2278</v>
      </c>
      <c r="K177" s="7" t="s">
        <v>6072</v>
      </c>
      <c r="L177" s="7" t="s">
        <v>5548</v>
      </c>
      <c r="M177" s="7" t="s">
        <v>5557</v>
      </c>
      <c r="N177" s="7"/>
    </row>
    <row r="178" customFormat="false" ht="39" hidden="false" customHeight="true" outlineLevel="0" collapsed="false">
      <c r="A178" s="7" t="s">
        <v>2282</v>
      </c>
      <c r="B178" s="7" t="s">
        <v>2283</v>
      </c>
      <c r="C178" s="7" t="s">
        <v>2231</v>
      </c>
      <c r="D178" s="7" t="s">
        <v>2284</v>
      </c>
      <c r="E178" s="7" t="s">
        <v>5542</v>
      </c>
      <c r="F178" s="7" t="s">
        <v>6085</v>
      </c>
      <c r="G178" s="7" t="s">
        <v>6086</v>
      </c>
      <c r="H178" s="7" t="s">
        <v>6087</v>
      </c>
      <c r="I178" s="10" t="s">
        <v>5546</v>
      </c>
      <c r="J178" s="7" t="s">
        <v>2278</v>
      </c>
      <c r="K178" s="7" t="s">
        <v>6072</v>
      </c>
      <c r="L178" s="7" t="s">
        <v>5556</v>
      </c>
      <c r="M178" s="7" t="s">
        <v>5557</v>
      </c>
      <c r="N178" s="7"/>
    </row>
    <row r="179" customFormat="false" ht="58.5" hidden="false" customHeight="true" outlineLevel="0" collapsed="false">
      <c r="A179" s="7" t="s">
        <v>2302</v>
      </c>
      <c r="B179" s="7" t="s">
        <v>2303</v>
      </c>
      <c r="C179" s="7" t="s">
        <v>2231</v>
      </c>
      <c r="D179" s="7" t="s">
        <v>2304</v>
      </c>
      <c r="E179" s="7" t="s">
        <v>5551</v>
      </c>
      <c r="F179" s="7" t="s">
        <v>6088</v>
      </c>
      <c r="G179" s="7" t="s">
        <v>6089</v>
      </c>
      <c r="H179" s="7" t="s">
        <v>6090</v>
      </c>
      <c r="I179" s="10" t="s">
        <v>5546</v>
      </c>
      <c r="J179" s="7" t="s">
        <v>2278</v>
      </c>
      <c r="K179" s="7" t="s">
        <v>6072</v>
      </c>
      <c r="L179" s="7" t="s">
        <v>5556</v>
      </c>
      <c r="M179" s="7" t="s">
        <v>5577</v>
      </c>
      <c r="N179" s="7"/>
    </row>
    <row r="180" customFormat="false" ht="58.5" hidden="false" customHeight="true" outlineLevel="0" collapsed="false">
      <c r="A180" s="7" t="s">
        <v>2327</v>
      </c>
      <c r="B180" s="7" t="s">
        <v>2328</v>
      </c>
      <c r="C180" s="7" t="s">
        <v>2231</v>
      </c>
      <c r="D180" s="7" t="s">
        <v>2329</v>
      </c>
      <c r="E180" s="7" t="s">
        <v>5542</v>
      </c>
      <c r="F180" s="7" t="s">
        <v>6091</v>
      </c>
      <c r="G180" s="7" t="s">
        <v>6092</v>
      </c>
      <c r="H180" s="7" t="s">
        <v>6093</v>
      </c>
      <c r="I180" s="10" t="s">
        <v>5546</v>
      </c>
      <c r="J180" s="7" t="s">
        <v>2278</v>
      </c>
      <c r="K180" s="7" t="s">
        <v>6072</v>
      </c>
      <c r="L180" s="7" t="s">
        <v>5548</v>
      </c>
      <c r="M180" s="7" t="s">
        <v>5549</v>
      </c>
      <c r="N180" s="7" t="s">
        <v>6094</v>
      </c>
    </row>
    <row r="181" customFormat="false" ht="39" hidden="false" customHeight="true" outlineLevel="0" collapsed="false">
      <c r="A181" s="7" t="s">
        <v>2337</v>
      </c>
      <c r="B181" s="7" t="s">
        <v>2338</v>
      </c>
      <c r="C181" s="7" t="s">
        <v>2231</v>
      </c>
      <c r="D181" s="7" t="s">
        <v>2339</v>
      </c>
      <c r="E181" s="7" t="s">
        <v>5542</v>
      </c>
      <c r="F181" s="7" t="s">
        <v>6095</v>
      </c>
      <c r="G181" s="7" t="s">
        <v>6096</v>
      </c>
      <c r="H181" s="7" t="s">
        <v>6097</v>
      </c>
      <c r="I181" s="10" t="s">
        <v>5546</v>
      </c>
      <c r="J181" s="7" t="s">
        <v>2278</v>
      </c>
      <c r="K181" s="7" t="s">
        <v>6072</v>
      </c>
      <c r="L181" s="7" t="s">
        <v>5548</v>
      </c>
      <c r="M181" s="7" t="s">
        <v>5549</v>
      </c>
      <c r="N181" s="7" t="s">
        <v>6098</v>
      </c>
    </row>
    <row r="182" customFormat="false" ht="58.5" hidden="false" customHeight="true" outlineLevel="0" collapsed="false">
      <c r="A182" s="7" t="s">
        <v>2342</v>
      </c>
      <c r="B182" s="7" t="s">
        <v>2343</v>
      </c>
      <c r="C182" s="7" t="s">
        <v>2231</v>
      </c>
      <c r="D182" s="7" t="s">
        <v>2344</v>
      </c>
      <c r="E182" s="7" t="s">
        <v>5573</v>
      </c>
      <c r="F182" s="7" t="s">
        <v>6099</v>
      </c>
      <c r="G182" s="7" t="s">
        <v>6100</v>
      </c>
      <c r="H182" s="7" t="s">
        <v>6101</v>
      </c>
      <c r="I182" s="10" t="s">
        <v>5546</v>
      </c>
      <c r="J182" s="7" t="s">
        <v>2278</v>
      </c>
      <c r="K182" s="7" t="s">
        <v>6072</v>
      </c>
      <c r="L182" s="7" t="s">
        <v>5548</v>
      </c>
      <c r="M182" s="7" t="s">
        <v>5549</v>
      </c>
      <c r="N182" s="7" t="s">
        <v>6102</v>
      </c>
    </row>
    <row r="183" customFormat="false" ht="39" hidden="false" customHeight="true" outlineLevel="0" collapsed="false">
      <c r="A183" s="7" t="s">
        <v>2357</v>
      </c>
      <c r="B183" s="7" t="s">
        <v>2358</v>
      </c>
      <c r="C183" s="7" t="s">
        <v>2231</v>
      </c>
      <c r="D183" s="7" t="s">
        <v>2359</v>
      </c>
      <c r="E183" s="7" t="s">
        <v>5551</v>
      </c>
      <c r="F183" s="7" t="s">
        <v>6103</v>
      </c>
      <c r="G183" s="7" t="s">
        <v>6104</v>
      </c>
      <c r="H183" s="7" t="s">
        <v>6105</v>
      </c>
      <c r="I183" s="10" t="s">
        <v>5546</v>
      </c>
      <c r="J183" s="7" t="s">
        <v>2360</v>
      </c>
      <c r="K183" s="7" t="s">
        <v>6072</v>
      </c>
      <c r="L183" s="7" t="s">
        <v>5548</v>
      </c>
      <c r="M183" s="7" t="s">
        <v>5557</v>
      </c>
      <c r="N183" s="7" t="s">
        <v>6106</v>
      </c>
    </row>
    <row r="184" customFormat="false" ht="39" hidden="false" customHeight="true" outlineLevel="0" collapsed="false">
      <c r="A184" s="7" t="s">
        <v>2377</v>
      </c>
      <c r="B184" s="7" t="s">
        <v>2378</v>
      </c>
      <c r="C184" s="7" t="s">
        <v>2231</v>
      </c>
      <c r="D184" s="7" t="s">
        <v>2379</v>
      </c>
      <c r="E184" s="7" t="s">
        <v>5551</v>
      </c>
      <c r="F184" s="7" t="s">
        <v>6107</v>
      </c>
      <c r="G184" s="7" t="s">
        <v>6108</v>
      </c>
      <c r="H184" s="7" t="s">
        <v>6109</v>
      </c>
      <c r="I184" s="10" t="s">
        <v>5546</v>
      </c>
      <c r="J184" s="7" t="s">
        <v>2373</v>
      </c>
      <c r="K184" s="7" t="s">
        <v>6072</v>
      </c>
      <c r="L184" s="7" t="s">
        <v>5548</v>
      </c>
      <c r="M184" s="7" t="s">
        <v>5557</v>
      </c>
      <c r="N184" s="7"/>
    </row>
    <row r="185" customFormat="false" ht="58.5" hidden="false" customHeight="true" outlineLevel="0" collapsed="false">
      <c r="A185" s="7" t="s">
        <v>2382</v>
      </c>
      <c r="B185" s="7" t="s">
        <v>2383</v>
      </c>
      <c r="C185" s="7" t="s">
        <v>2231</v>
      </c>
      <c r="D185" s="7" t="s">
        <v>2384</v>
      </c>
      <c r="E185" s="7" t="s">
        <v>5542</v>
      </c>
      <c r="F185" s="7" t="s">
        <v>6110</v>
      </c>
      <c r="G185" s="7" t="s">
        <v>6111</v>
      </c>
      <c r="H185" s="7" t="s">
        <v>6112</v>
      </c>
      <c r="I185" s="10" t="s">
        <v>5546</v>
      </c>
      <c r="J185" s="7" t="s">
        <v>2373</v>
      </c>
      <c r="K185" s="7" t="s">
        <v>6072</v>
      </c>
      <c r="L185" s="7" t="s">
        <v>5548</v>
      </c>
      <c r="M185" s="7" t="s">
        <v>5549</v>
      </c>
      <c r="N185" s="7" t="s">
        <v>6113</v>
      </c>
    </row>
    <row r="186" customFormat="false" ht="39" hidden="false" customHeight="true" outlineLevel="0" collapsed="false">
      <c r="A186" s="7" t="s">
        <v>2387</v>
      </c>
      <c r="B186" s="7" t="s">
        <v>2388</v>
      </c>
      <c r="C186" s="7" t="s">
        <v>2231</v>
      </c>
      <c r="D186" s="7" t="s">
        <v>2389</v>
      </c>
      <c r="E186" s="7" t="s">
        <v>5542</v>
      </c>
      <c r="F186" s="7" t="s">
        <v>6114</v>
      </c>
      <c r="G186" s="7" t="s">
        <v>6115</v>
      </c>
      <c r="H186" s="7" t="s">
        <v>6116</v>
      </c>
      <c r="I186" s="10" t="s">
        <v>5546</v>
      </c>
      <c r="J186" s="7" t="s">
        <v>2373</v>
      </c>
      <c r="K186" s="7" t="s">
        <v>6072</v>
      </c>
      <c r="L186" s="7" t="s">
        <v>5548</v>
      </c>
      <c r="M186" s="7" t="s">
        <v>5549</v>
      </c>
      <c r="N186" s="7" t="s">
        <v>6117</v>
      </c>
    </row>
    <row r="187" customFormat="false" ht="58.5" hidden="false" customHeight="true" outlineLevel="0" collapsed="false">
      <c r="A187" s="7" t="s">
        <v>2411</v>
      </c>
      <c r="B187" s="7" t="s">
        <v>2412</v>
      </c>
      <c r="C187" s="7" t="s">
        <v>2231</v>
      </c>
      <c r="D187" s="7" t="s">
        <v>2413</v>
      </c>
      <c r="E187" s="7" t="s">
        <v>5542</v>
      </c>
      <c r="F187" s="7" t="s">
        <v>6118</v>
      </c>
      <c r="G187" s="7" t="s">
        <v>6119</v>
      </c>
      <c r="H187" s="7" t="s">
        <v>6120</v>
      </c>
      <c r="I187" s="10" t="s">
        <v>5546</v>
      </c>
      <c r="J187" s="7" t="s">
        <v>2407</v>
      </c>
      <c r="K187" s="7" t="s">
        <v>6072</v>
      </c>
      <c r="L187" s="7" t="s">
        <v>5548</v>
      </c>
      <c r="M187" s="7" t="s">
        <v>5549</v>
      </c>
      <c r="N187" s="7" t="s">
        <v>6121</v>
      </c>
    </row>
    <row r="188" customFormat="false" ht="58.5" hidden="false" customHeight="true" outlineLevel="0" collapsed="false">
      <c r="A188" s="7" t="s">
        <v>2416</v>
      </c>
      <c r="B188" s="7" t="s">
        <v>2417</v>
      </c>
      <c r="C188" s="7" t="s">
        <v>2231</v>
      </c>
      <c r="D188" s="7" t="s">
        <v>2418</v>
      </c>
      <c r="E188" s="7" t="s">
        <v>5542</v>
      </c>
      <c r="F188" s="7" t="s">
        <v>6122</v>
      </c>
      <c r="G188" s="7" t="s">
        <v>6123</v>
      </c>
      <c r="H188" s="7" t="s">
        <v>6124</v>
      </c>
      <c r="I188" s="10" t="s">
        <v>5546</v>
      </c>
      <c r="J188" s="7" t="s">
        <v>2420</v>
      </c>
      <c r="K188" s="7" t="s">
        <v>6072</v>
      </c>
      <c r="L188" s="7" t="s">
        <v>5548</v>
      </c>
      <c r="M188" s="7" t="s">
        <v>5549</v>
      </c>
      <c r="N188" s="7" t="s">
        <v>6125</v>
      </c>
    </row>
    <row r="189" customFormat="false" ht="39" hidden="false" customHeight="true" outlineLevel="0" collapsed="false">
      <c r="A189" s="7" t="s">
        <v>2424</v>
      </c>
      <c r="B189" s="7" t="s">
        <v>2425</v>
      </c>
      <c r="C189" s="7" t="s">
        <v>2231</v>
      </c>
      <c r="D189" s="7" t="s">
        <v>2426</v>
      </c>
      <c r="E189" s="7" t="s">
        <v>5542</v>
      </c>
      <c r="F189" s="7" t="s">
        <v>6126</v>
      </c>
      <c r="G189" s="7" t="s">
        <v>6127</v>
      </c>
      <c r="H189" s="7" t="s">
        <v>6076</v>
      </c>
      <c r="I189" s="10" t="s">
        <v>5546</v>
      </c>
      <c r="J189" s="7" t="s">
        <v>2420</v>
      </c>
      <c r="K189" s="7" t="s">
        <v>6072</v>
      </c>
      <c r="L189" s="7" t="s">
        <v>5548</v>
      </c>
      <c r="M189" s="7" t="s">
        <v>5549</v>
      </c>
      <c r="N189" s="7" t="s">
        <v>6128</v>
      </c>
    </row>
    <row r="190" customFormat="false" ht="39" hidden="false" customHeight="true" outlineLevel="0" collapsed="false">
      <c r="A190" s="7" t="s">
        <v>3413</v>
      </c>
      <c r="B190" s="7" t="s">
        <v>3414</v>
      </c>
      <c r="C190" s="7" t="s">
        <v>3415</v>
      </c>
      <c r="D190" s="7" t="s">
        <v>163</v>
      </c>
      <c r="E190" s="7" t="s">
        <v>5542</v>
      </c>
      <c r="F190" s="7" t="s">
        <v>6129</v>
      </c>
      <c r="G190" s="7" t="s">
        <v>5863</v>
      </c>
      <c r="H190" s="7" t="s">
        <v>5766</v>
      </c>
      <c r="I190" s="10" t="s">
        <v>5546</v>
      </c>
      <c r="J190" s="7" t="s">
        <v>165</v>
      </c>
      <c r="K190" s="7" t="s">
        <v>5864</v>
      </c>
      <c r="L190" s="7" t="s">
        <v>5548</v>
      </c>
      <c r="M190" s="7" t="s">
        <v>5549</v>
      </c>
      <c r="N190" s="7" t="s">
        <v>6130</v>
      </c>
    </row>
    <row r="191" customFormat="false" ht="39" hidden="false" customHeight="true" outlineLevel="0" collapsed="false">
      <c r="A191" s="7" t="s">
        <v>3418</v>
      </c>
      <c r="B191" s="7" t="s">
        <v>3419</v>
      </c>
      <c r="C191" s="7" t="s">
        <v>3415</v>
      </c>
      <c r="D191" s="7" t="s">
        <v>3420</v>
      </c>
      <c r="E191" s="7" t="s">
        <v>5542</v>
      </c>
      <c r="F191" s="7" t="s">
        <v>6131</v>
      </c>
      <c r="G191" s="7" t="s">
        <v>6132</v>
      </c>
      <c r="H191" s="7" t="s">
        <v>6133</v>
      </c>
      <c r="I191" s="10" t="s">
        <v>5546</v>
      </c>
      <c r="J191" s="7" t="s">
        <v>3421</v>
      </c>
      <c r="K191" s="7" t="s">
        <v>5864</v>
      </c>
      <c r="L191" s="7" t="s">
        <v>5548</v>
      </c>
      <c r="M191" s="7" t="s">
        <v>5549</v>
      </c>
      <c r="N191" s="7" t="s">
        <v>6134</v>
      </c>
    </row>
    <row r="192" customFormat="false" ht="39" hidden="false" customHeight="true" outlineLevel="0" collapsed="false">
      <c r="A192" s="7" t="s">
        <v>3430</v>
      </c>
      <c r="B192" s="7" t="s">
        <v>3431</v>
      </c>
      <c r="C192" s="7" t="s">
        <v>3415</v>
      </c>
      <c r="D192" s="7" t="s">
        <v>3432</v>
      </c>
      <c r="E192" s="7" t="s">
        <v>5542</v>
      </c>
      <c r="F192" s="7" t="s">
        <v>6135</v>
      </c>
      <c r="G192" s="7" t="s">
        <v>6136</v>
      </c>
      <c r="H192" s="7" t="s">
        <v>6137</v>
      </c>
      <c r="I192" s="10" t="s">
        <v>5546</v>
      </c>
      <c r="J192" s="7" t="s">
        <v>3433</v>
      </c>
      <c r="K192" s="7" t="s">
        <v>5864</v>
      </c>
      <c r="L192" s="7" t="s">
        <v>5548</v>
      </c>
      <c r="M192" s="7" t="s">
        <v>5549</v>
      </c>
      <c r="N192" s="7" t="s">
        <v>6138</v>
      </c>
    </row>
    <row r="193" customFormat="false" ht="39" hidden="false" customHeight="true" outlineLevel="0" collapsed="false">
      <c r="A193" s="7" t="s">
        <v>3437</v>
      </c>
      <c r="B193" s="7" t="s">
        <v>3438</v>
      </c>
      <c r="C193" s="7" t="s">
        <v>3415</v>
      </c>
      <c r="D193" s="7" t="s">
        <v>3439</v>
      </c>
      <c r="E193" s="7" t="s">
        <v>5542</v>
      </c>
      <c r="F193" s="7" t="s">
        <v>6139</v>
      </c>
      <c r="G193" s="7" t="s">
        <v>6140</v>
      </c>
      <c r="H193" s="7" t="s">
        <v>6141</v>
      </c>
      <c r="I193" s="10" t="s">
        <v>5546</v>
      </c>
      <c r="J193" s="7" t="s">
        <v>3433</v>
      </c>
      <c r="K193" s="7" t="s">
        <v>5864</v>
      </c>
      <c r="L193" s="7" t="s">
        <v>5548</v>
      </c>
      <c r="M193" s="7" t="s">
        <v>5549</v>
      </c>
      <c r="N193" s="7" t="s">
        <v>6142</v>
      </c>
    </row>
    <row r="194" customFormat="false" ht="39" hidden="false" customHeight="true" outlineLevel="0" collapsed="false">
      <c r="A194" s="7" t="s">
        <v>3447</v>
      </c>
      <c r="B194" s="7" t="s">
        <v>3448</v>
      </c>
      <c r="C194" s="7" t="s">
        <v>3415</v>
      </c>
      <c r="D194" s="7" t="s">
        <v>3449</v>
      </c>
      <c r="E194" s="7" t="s">
        <v>5573</v>
      </c>
      <c r="F194" s="7" t="s">
        <v>6143</v>
      </c>
      <c r="G194" s="7" t="s">
        <v>6144</v>
      </c>
      <c r="H194" s="7" t="s">
        <v>6145</v>
      </c>
      <c r="I194" s="10" t="s">
        <v>5546</v>
      </c>
      <c r="J194" s="7" t="s">
        <v>3433</v>
      </c>
      <c r="K194" s="7" t="s">
        <v>5864</v>
      </c>
      <c r="L194" s="7" t="s">
        <v>5548</v>
      </c>
      <c r="M194" s="7" t="s">
        <v>5549</v>
      </c>
      <c r="N194" s="7" t="s">
        <v>6146</v>
      </c>
    </row>
    <row r="195" customFormat="false" ht="39" hidden="false" customHeight="true" outlineLevel="0" collapsed="false">
      <c r="A195" s="7" t="s">
        <v>3452</v>
      </c>
      <c r="B195" s="7" t="s">
        <v>3453</v>
      </c>
      <c r="C195" s="7" t="s">
        <v>3415</v>
      </c>
      <c r="D195" s="7" t="s">
        <v>3454</v>
      </c>
      <c r="E195" s="7" t="s">
        <v>5573</v>
      </c>
      <c r="F195" s="7" t="s">
        <v>6147</v>
      </c>
      <c r="G195" s="7" t="s">
        <v>6148</v>
      </c>
      <c r="H195" s="7" t="s">
        <v>6149</v>
      </c>
      <c r="I195" s="10" t="s">
        <v>5546</v>
      </c>
      <c r="J195" s="7" t="s">
        <v>3433</v>
      </c>
      <c r="K195" s="7" t="s">
        <v>5864</v>
      </c>
      <c r="L195" s="7" t="s">
        <v>5556</v>
      </c>
      <c r="M195" s="7" t="s">
        <v>5577</v>
      </c>
      <c r="N195" s="7"/>
    </row>
    <row r="196" customFormat="false" ht="58.5" hidden="false" customHeight="true" outlineLevel="0" collapsed="false">
      <c r="A196" s="7" t="s">
        <v>3457</v>
      </c>
      <c r="B196" s="7" t="s">
        <v>3458</v>
      </c>
      <c r="C196" s="7" t="s">
        <v>3415</v>
      </c>
      <c r="D196" s="7" t="s">
        <v>3459</v>
      </c>
      <c r="E196" s="7" t="s">
        <v>6150</v>
      </c>
      <c r="F196" s="7" t="s">
        <v>6151</v>
      </c>
      <c r="G196" s="7" t="s">
        <v>6152</v>
      </c>
      <c r="H196" s="7" t="s">
        <v>6153</v>
      </c>
      <c r="I196" s="11" t="s">
        <v>5555</v>
      </c>
      <c r="J196" s="7" t="s">
        <v>1336</v>
      </c>
      <c r="K196" s="7" t="s">
        <v>5864</v>
      </c>
      <c r="L196" s="7" t="s">
        <v>5548</v>
      </c>
      <c r="M196" s="7" t="s">
        <v>5557</v>
      </c>
      <c r="N196" s="7" t="s">
        <v>6154</v>
      </c>
    </row>
    <row r="197" customFormat="false" ht="58.5" hidden="false" customHeight="true" outlineLevel="0" collapsed="false">
      <c r="A197" s="7" t="s">
        <v>3462</v>
      </c>
      <c r="B197" s="7" t="s">
        <v>3463</v>
      </c>
      <c r="C197" s="7" t="s">
        <v>3415</v>
      </c>
      <c r="D197" s="7" t="s">
        <v>3464</v>
      </c>
      <c r="E197" s="7" t="s">
        <v>5551</v>
      </c>
      <c r="F197" s="7" t="s">
        <v>6155</v>
      </c>
      <c r="G197" s="7" t="s">
        <v>6156</v>
      </c>
      <c r="H197" s="7" t="s">
        <v>6157</v>
      </c>
      <c r="I197" s="12" t="s">
        <v>5562</v>
      </c>
      <c r="J197" s="7" t="s">
        <v>1336</v>
      </c>
      <c r="K197" s="7" t="s">
        <v>5864</v>
      </c>
      <c r="L197" s="7" t="s">
        <v>5548</v>
      </c>
      <c r="M197" s="7" t="s">
        <v>5557</v>
      </c>
      <c r="N197" s="7"/>
    </row>
    <row r="198" customFormat="false" ht="39" hidden="false" customHeight="true" outlineLevel="0" collapsed="false">
      <c r="A198" s="7" t="s">
        <v>3477</v>
      </c>
      <c r="B198" s="7" t="s">
        <v>3478</v>
      </c>
      <c r="C198" s="7" t="s">
        <v>3415</v>
      </c>
      <c r="D198" s="7" t="s">
        <v>3479</v>
      </c>
      <c r="E198" s="7" t="s">
        <v>5551</v>
      </c>
      <c r="F198" s="7" t="s">
        <v>6158</v>
      </c>
      <c r="G198" s="7" t="s">
        <v>6159</v>
      </c>
      <c r="H198" s="7" t="s">
        <v>6160</v>
      </c>
      <c r="I198" s="11" t="s">
        <v>5555</v>
      </c>
      <c r="J198" s="7" t="s">
        <v>1336</v>
      </c>
      <c r="K198" s="7" t="s">
        <v>5864</v>
      </c>
      <c r="L198" s="7" t="s">
        <v>5548</v>
      </c>
      <c r="M198" s="7" t="s">
        <v>5557</v>
      </c>
      <c r="N198" s="7" t="s">
        <v>6161</v>
      </c>
    </row>
    <row r="199" customFormat="false" ht="58.5" hidden="false" customHeight="true" outlineLevel="0" collapsed="false">
      <c r="A199" s="7" t="s">
        <v>3487</v>
      </c>
      <c r="B199" s="7" t="s">
        <v>3488</v>
      </c>
      <c r="C199" s="7" t="s">
        <v>3415</v>
      </c>
      <c r="D199" s="7" t="s">
        <v>3489</v>
      </c>
      <c r="E199" s="7" t="s">
        <v>5573</v>
      </c>
      <c r="F199" s="7" t="s">
        <v>6162</v>
      </c>
      <c r="G199" s="7" t="s">
        <v>6163</v>
      </c>
      <c r="H199" s="7" t="s">
        <v>6164</v>
      </c>
      <c r="I199" s="11" t="s">
        <v>5555</v>
      </c>
      <c r="J199" s="7" t="s">
        <v>1336</v>
      </c>
      <c r="K199" s="7" t="s">
        <v>5864</v>
      </c>
      <c r="L199" s="7" t="s">
        <v>5548</v>
      </c>
      <c r="M199" s="7" t="s">
        <v>5549</v>
      </c>
      <c r="N199" s="7" t="s">
        <v>6165</v>
      </c>
    </row>
    <row r="200" customFormat="false" ht="39" hidden="false" customHeight="true" outlineLevel="0" collapsed="false">
      <c r="A200" s="7" t="s">
        <v>3512</v>
      </c>
      <c r="B200" s="7" t="s">
        <v>3513</v>
      </c>
      <c r="C200" s="7" t="s">
        <v>3415</v>
      </c>
      <c r="D200" s="7" t="s">
        <v>3514</v>
      </c>
      <c r="E200" s="7" t="s">
        <v>5542</v>
      </c>
      <c r="F200" s="7" t="s">
        <v>6166</v>
      </c>
      <c r="G200" s="7" t="s">
        <v>6167</v>
      </c>
      <c r="H200" s="7" t="s">
        <v>6168</v>
      </c>
      <c r="I200" s="10" t="s">
        <v>5546</v>
      </c>
      <c r="J200" s="7" t="s">
        <v>3515</v>
      </c>
      <c r="K200" s="7" t="s">
        <v>5864</v>
      </c>
      <c r="L200" s="7" t="s">
        <v>5548</v>
      </c>
      <c r="M200" s="7" t="s">
        <v>5549</v>
      </c>
      <c r="N200" s="7" t="s">
        <v>6169</v>
      </c>
    </row>
    <row r="201" customFormat="false" ht="39" hidden="false" customHeight="true" outlineLevel="0" collapsed="false">
      <c r="A201" s="7" t="s">
        <v>3524</v>
      </c>
      <c r="B201" s="7" t="s">
        <v>3525</v>
      </c>
      <c r="C201" s="7" t="s">
        <v>3415</v>
      </c>
      <c r="D201" s="7" t="s">
        <v>3526</v>
      </c>
      <c r="E201" s="7" t="s">
        <v>5573</v>
      </c>
      <c r="F201" s="7" t="s">
        <v>6170</v>
      </c>
      <c r="G201" s="7" t="s">
        <v>6171</v>
      </c>
      <c r="H201" s="7" t="s">
        <v>6172</v>
      </c>
      <c r="I201" s="12" t="s">
        <v>5562</v>
      </c>
      <c r="J201" s="7" t="s">
        <v>1002</v>
      </c>
      <c r="K201" s="7" t="s">
        <v>5864</v>
      </c>
      <c r="L201" s="7" t="s">
        <v>5548</v>
      </c>
      <c r="M201" s="7" t="s">
        <v>5557</v>
      </c>
      <c r="N201" s="7"/>
    </row>
    <row r="202" customFormat="false" ht="58.5" hidden="false" customHeight="true" outlineLevel="0" collapsed="false">
      <c r="A202" s="7" t="s">
        <v>3529</v>
      </c>
      <c r="B202" s="7" t="s">
        <v>3530</v>
      </c>
      <c r="C202" s="7" t="s">
        <v>3531</v>
      </c>
      <c r="D202" s="7" t="s">
        <v>163</v>
      </c>
      <c r="E202" s="7" t="s">
        <v>5542</v>
      </c>
      <c r="F202" s="7" t="s">
        <v>6173</v>
      </c>
      <c r="G202" s="7" t="s">
        <v>5863</v>
      </c>
      <c r="H202" s="7" t="s">
        <v>5766</v>
      </c>
      <c r="I202" s="10" t="s">
        <v>5546</v>
      </c>
      <c r="J202" s="7" t="s">
        <v>165</v>
      </c>
      <c r="K202" s="7" t="s">
        <v>6174</v>
      </c>
      <c r="L202" s="7" t="s">
        <v>5548</v>
      </c>
      <c r="M202" s="7" t="s">
        <v>5549</v>
      </c>
      <c r="N202" s="7" t="s">
        <v>6175</v>
      </c>
    </row>
    <row r="203" customFormat="false" ht="253.5" hidden="false" customHeight="true" outlineLevel="0" collapsed="false">
      <c r="A203" s="7" t="s">
        <v>3534</v>
      </c>
      <c r="B203" s="7" t="s">
        <v>3535</v>
      </c>
      <c r="C203" s="7" t="s">
        <v>3531</v>
      </c>
      <c r="D203" s="7" t="s">
        <v>3536</v>
      </c>
      <c r="E203" s="7" t="s">
        <v>5542</v>
      </c>
      <c r="F203" s="7" t="s">
        <v>6176</v>
      </c>
      <c r="G203" s="7" t="s">
        <v>6177</v>
      </c>
      <c r="H203" s="7" t="s">
        <v>6178</v>
      </c>
      <c r="I203" s="10" t="s">
        <v>5546</v>
      </c>
      <c r="J203" s="7" t="s">
        <v>3018</v>
      </c>
      <c r="K203" s="7" t="s">
        <v>6174</v>
      </c>
      <c r="L203" s="7" t="s">
        <v>5548</v>
      </c>
      <c r="M203" s="7" t="s">
        <v>5549</v>
      </c>
      <c r="N203" s="7" t="s">
        <v>6179</v>
      </c>
    </row>
    <row r="204" customFormat="false" ht="39" hidden="false" customHeight="true" outlineLevel="0" collapsed="false">
      <c r="A204" s="7" t="s">
        <v>3539</v>
      </c>
      <c r="B204" s="7" t="s">
        <v>3540</v>
      </c>
      <c r="C204" s="7" t="s">
        <v>3531</v>
      </c>
      <c r="D204" s="7" t="s">
        <v>3541</v>
      </c>
      <c r="E204" s="7" t="s">
        <v>5542</v>
      </c>
      <c r="F204" s="7" t="s">
        <v>6180</v>
      </c>
      <c r="G204" s="7" t="s">
        <v>6181</v>
      </c>
      <c r="H204" s="7" t="s">
        <v>6182</v>
      </c>
      <c r="I204" s="10" t="s">
        <v>5546</v>
      </c>
      <c r="J204" s="7" t="s">
        <v>3542</v>
      </c>
      <c r="K204" s="7" t="s">
        <v>6174</v>
      </c>
      <c r="L204" s="7" t="s">
        <v>5556</v>
      </c>
      <c r="M204" s="7" t="s">
        <v>5577</v>
      </c>
      <c r="N204" s="7"/>
    </row>
    <row r="205" customFormat="false" ht="58.5" hidden="false" customHeight="true" outlineLevel="0" collapsed="false">
      <c r="A205" s="7" t="s">
        <v>3561</v>
      </c>
      <c r="B205" s="7" t="s">
        <v>3562</v>
      </c>
      <c r="C205" s="7" t="s">
        <v>3531</v>
      </c>
      <c r="D205" s="7" t="s">
        <v>3563</v>
      </c>
      <c r="E205" s="7" t="s">
        <v>5542</v>
      </c>
      <c r="F205" s="7" t="s">
        <v>6183</v>
      </c>
      <c r="G205" s="7" t="s">
        <v>6184</v>
      </c>
      <c r="H205" s="7" t="s">
        <v>6185</v>
      </c>
      <c r="I205" s="10" t="s">
        <v>5546</v>
      </c>
      <c r="J205" s="7" t="s">
        <v>3126</v>
      </c>
      <c r="K205" s="7" t="s">
        <v>6174</v>
      </c>
      <c r="L205" s="7" t="s">
        <v>5548</v>
      </c>
      <c r="M205" s="7" t="s">
        <v>5549</v>
      </c>
      <c r="N205" s="7" t="s">
        <v>6186</v>
      </c>
    </row>
    <row r="206" customFormat="false" ht="39" hidden="false" customHeight="true" outlineLevel="0" collapsed="false">
      <c r="A206" s="7" t="s">
        <v>3586</v>
      </c>
      <c r="B206" s="7" t="s">
        <v>3587</v>
      </c>
      <c r="C206" s="7" t="s">
        <v>3531</v>
      </c>
      <c r="D206" s="7" t="s">
        <v>3588</v>
      </c>
      <c r="E206" s="7" t="s">
        <v>5542</v>
      </c>
      <c r="F206" s="7" t="s">
        <v>6187</v>
      </c>
      <c r="G206" s="7" t="s">
        <v>6188</v>
      </c>
      <c r="H206" s="7" t="s">
        <v>6189</v>
      </c>
      <c r="I206" s="10" t="s">
        <v>5546</v>
      </c>
      <c r="J206" s="7" t="s">
        <v>3126</v>
      </c>
      <c r="K206" s="7" t="s">
        <v>6174</v>
      </c>
      <c r="L206" s="7" t="s">
        <v>5548</v>
      </c>
      <c r="M206" s="7" t="s">
        <v>5549</v>
      </c>
      <c r="N206" s="7" t="s">
        <v>6190</v>
      </c>
    </row>
    <row r="207" customFormat="false" ht="39" hidden="false" customHeight="true" outlineLevel="0" collapsed="false">
      <c r="A207" s="7" t="s">
        <v>3591</v>
      </c>
      <c r="B207" s="7" t="s">
        <v>3592</v>
      </c>
      <c r="C207" s="7" t="s">
        <v>3531</v>
      </c>
      <c r="D207" s="7" t="s">
        <v>3593</v>
      </c>
      <c r="E207" s="7" t="s">
        <v>5542</v>
      </c>
      <c r="F207" s="7" t="s">
        <v>6191</v>
      </c>
      <c r="G207" s="7" t="s">
        <v>6192</v>
      </c>
      <c r="H207" s="7" t="s">
        <v>6193</v>
      </c>
      <c r="I207" s="10" t="s">
        <v>5546</v>
      </c>
      <c r="J207" s="7" t="s">
        <v>3126</v>
      </c>
      <c r="K207" s="7" t="s">
        <v>6174</v>
      </c>
      <c r="L207" s="7" t="s">
        <v>5548</v>
      </c>
      <c r="M207" s="7" t="s">
        <v>5549</v>
      </c>
      <c r="N207" s="7" t="s">
        <v>6194</v>
      </c>
    </row>
    <row r="208" customFormat="false" ht="39" hidden="false" customHeight="true" outlineLevel="0" collapsed="false">
      <c r="A208" s="7" t="s">
        <v>3596</v>
      </c>
      <c r="B208" s="7" t="s">
        <v>3597</v>
      </c>
      <c r="C208" s="7" t="s">
        <v>3531</v>
      </c>
      <c r="D208" s="7" t="s">
        <v>3598</v>
      </c>
      <c r="E208" s="7" t="s">
        <v>5542</v>
      </c>
      <c r="F208" s="7" t="s">
        <v>6195</v>
      </c>
      <c r="G208" s="7" t="s">
        <v>6196</v>
      </c>
      <c r="H208" s="7" t="s">
        <v>6197</v>
      </c>
      <c r="I208" s="10" t="s">
        <v>5546</v>
      </c>
      <c r="J208" s="7" t="s">
        <v>3126</v>
      </c>
      <c r="K208" s="7" t="s">
        <v>6174</v>
      </c>
      <c r="L208" s="7" t="s">
        <v>5548</v>
      </c>
      <c r="M208" s="7" t="s">
        <v>5549</v>
      </c>
      <c r="N208" s="7" t="s">
        <v>6198</v>
      </c>
    </row>
    <row r="209" customFormat="false" ht="58.5" hidden="false" customHeight="true" outlineLevel="0" collapsed="false">
      <c r="A209" s="7" t="s">
        <v>3621</v>
      </c>
      <c r="B209" s="7" t="s">
        <v>3622</v>
      </c>
      <c r="C209" s="7" t="s">
        <v>3531</v>
      </c>
      <c r="D209" s="7" t="s">
        <v>3623</v>
      </c>
      <c r="E209" s="7" t="s">
        <v>5542</v>
      </c>
      <c r="F209" s="7" t="s">
        <v>6199</v>
      </c>
      <c r="G209" s="7" t="s">
        <v>6200</v>
      </c>
      <c r="H209" s="7" t="s">
        <v>6201</v>
      </c>
      <c r="I209" s="10" t="s">
        <v>5546</v>
      </c>
      <c r="J209" s="7" t="s">
        <v>749</v>
      </c>
      <c r="K209" s="7" t="s">
        <v>6174</v>
      </c>
      <c r="L209" s="7" t="s">
        <v>5548</v>
      </c>
      <c r="M209" s="7" t="s">
        <v>5549</v>
      </c>
      <c r="N209" s="7" t="s">
        <v>6202</v>
      </c>
    </row>
    <row r="210" customFormat="false" ht="58.5" hidden="false" customHeight="true" outlineLevel="0" collapsed="false">
      <c r="A210" s="7" t="s">
        <v>3696</v>
      </c>
      <c r="B210" s="7" t="s">
        <v>3697</v>
      </c>
      <c r="C210" s="7" t="s">
        <v>3531</v>
      </c>
      <c r="D210" s="7" t="s">
        <v>3698</v>
      </c>
      <c r="E210" s="7" t="s">
        <v>5551</v>
      </c>
      <c r="F210" s="7" t="s">
        <v>6203</v>
      </c>
      <c r="G210" s="7" t="s">
        <v>6204</v>
      </c>
      <c r="H210" s="7" t="s">
        <v>6205</v>
      </c>
      <c r="I210" s="10" t="s">
        <v>5546</v>
      </c>
      <c r="J210" s="7" t="s">
        <v>3542</v>
      </c>
      <c r="K210" s="7" t="s">
        <v>6174</v>
      </c>
      <c r="L210" s="7" t="s">
        <v>5556</v>
      </c>
      <c r="M210" s="7" t="s">
        <v>5563</v>
      </c>
      <c r="N210" s="7" t="s">
        <v>6206</v>
      </c>
    </row>
    <row r="211" customFormat="false" ht="39" hidden="false" customHeight="true" outlineLevel="0" collapsed="false">
      <c r="A211" s="7" t="s">
        <v>3721</v>
      </c>
      <c r="B211" s="7" t="s">
        <v>3722</v>
      </c>
      <c r="C211" s="7" t="s">
        <v>3531</v>
      </c>
      <c r="D211" s="7" t="s">
        <v>3723</v>
      </c>
      <c r="E211" s="7" t="s">
        <v>5573</v>
      </c>
      <c r="F211" s="7" t="s">
        <v>6207</v>
      </c>
      <c r="G211" s="7" t="s">
        <v>6208</v>
      </c>
      <c r="H211" s="7" t="s">
        <v>6209</v>
      </c>
      <c r="I211" s="10" t="s">
        <v>5546</v>
      </c>
      <c r="J211" s="7" t="s">
        <v>3542</v>
      </c>
      <c r="K211" s="7" t="s">
        <v>6174</v>
      </c>
      <c r="L211" s="7" t="s">
        <v>5556</v>
      </c>
      <c r="M211" s="7" t="s">
        <v>5577</v>
      </c>
      <c r="N211" s="7"/>
    </row>
    <row r="212" customFormat="false" ht="39" hidden="false" customHeight="true" outlineLevel="0" collapsed="false">
      <c r="A212" s="7" t="s">
        <v>3731</v>
      </c>
      <c r="B212" s="7" t="s">
        <v>3732</v>
      </c>
      <c r="C212" s="7" t="s">
        <v>3531</v>
      </c>
      <c r="D212" s="7" t="s">
        <v>3733</v>
      </c>
      <c r="E212" s="7" t="s">
        <v>5573</v>
      </c>
      <c r="F212" s="7" t="s">
        <v>6210</v>
      </c>
      <c r="G212" s="7" t="s">
        <v>6211</v>
      </c>
      <c r="H212" s="7" t="s">
        <v>6212</v>
      </c>
      <c r="I212" s="10" t="s">
        <v>5546</v>
      </c>
      <c r="J212" s="7" t="s">
        <v>3542</v>
      </c>
      <c r="K212" s="7" t="s">
        <v>6174</v>
      </c>
      <c r="L212" s="7" t="s">
        <v>5556</v>
      </c>
      <c r="M212" s="7" t="s">
        <v>5577</v>
      </c>
      <c r="N212" s="7"/>
    </row>
    <row r="213" customFormat="false" ht="58.5" hidden="false" customHeight="true" outlineLevel="0" collapsed="false">
      <c r="A213" s="7" t="s">
        <v>3736</v>
      </c>
      <c r="B213" s="7" t="s">
        <v>3737</v>
      </c>
      <c r="C213" s="7" t="s">
        <v>3531</v>
      </c>
      <c r="D213" s="7" t="s">
        <v>3738</v>
      </c>
      <c r="E213" s="7" t="s">
        <v>5551</v>
      </c>
      <c r="F213" s="7" t="s">
        <v>6213</v>
      </c>
      <c r="G213" s="7" t="s">
        <v>6214</v>
      </c>
      <c r="H213" s="7" t="s">
        <v>6215</v>
      </c>
      <c r="I213" s="10" t="s">
        <v>5546</v>
      </c>
      <c r="J213" s="7" t="s">
        <v>3542</v>
      </c>
      <c r="K213" s="7" t="s">
        <v>6174</v>
      </c>
      <c r="L213" s="7" t="s">
        <v>5556</v>
      </c>
      <c r="M213" s="7" t="s">
        <v>5577</v>
      </c>
      <c r="N213" s="7"/>
    </row>
    <row r="214" customFormat="false" ht="58.5" hidden="false" customHeight="true" outlineLevel="0" collapsed="false">
      <c r="A214" s="7" t="s">
        <v>3741</v>
      </c>
      <c r="B214" s="7" t="s">
        <v>3742</v>
      </c>
      <c r="C214" s="7" t="s">
        <v>3531</v>
      </c>
      <c r="D214" s="7" t="s">
        <v>3743</v>
      </c>
      <c r="E214" s="7" t="s">
        <v>5551</v>
      </c>
      <c r="F214" s="7" t="s">
        <v>6216</v>
      </c>
      <c r="G214" s="7" t="s">
        <v>6217</v>
      </c>
      <c r="H214" s="7" t="s">
        <v>6218</v>
      </c>
      <c r="I214" s="10" t="s">
        <v>5546</v>
      </c>
      <c r="J214" s="7" t="s">
        <v>3542</v>
      </c>
      <c r="K214" s="7" t="s">
        <v>6174</v>
      </c>
      <c r="L214" s="7" t="s">
        <v>5556</v>
      </c>
      <c r="M214" s="7" t="s">
        <v>5577</v>
      </c>
      <c r="N214" s="7"/>
    </row>
    <row r="215" customFormat="false" ht="58.5" hidden="false" customHeight="true" outlineLevel="0" collapsed="false">
      <c r="A215" s="7" t="s">
        <v>3796</v>
      </c>
      <c r="B215" s="7" t="s">
        <v>3797</v>
      </c>
      <c r="C215" s="7" t="s">
        <v>3531</v>
      </c>
      <c r="D215" s="7" t="s">
        <v>3798</v>
      </c>
      <c r="E215" s="7" t="s">
        <v>5551</v>
      </c>
      <c r="F215" s="7" t="s">
        <v>6219</v>
      </c>
      <c r="G215" s="7" t="s">
        <v>6220</v>
      </c>
      <c r="H215" s="7" t="s">
        <v>6221</v>
      </c>
      <c r="I215" s="12" t="s">
        <v>5562</v>
      </c>
      <c r="J215" s="7" t="s">
        <v>3799</v>
      </c>
      <c r="K215" s="7" t="s">
        <v>6174</v>
      </c>
      <c r="L215" s="7" t="s">
        <v>5548</v>
      </c>
      <c r="M215" s="7" t="s">
        <v>5557</v>
      </c>
      <c r="N215" s="7"/>
    </row>
    <row r="216" customFormat="false" ht="39" hidden="false" customHeight="true" outlineLevel="0" collapsed="false">
      <c r="A216" s="7" t="s">
        <v>3824</v>
      </c>
      <c r="B216" s="7" t="s">
        <v>3825</v>
      </c>
      <c r="C216" s="7" t="s">
        <v>3531</v>
      </c>
      <c r="D216" s="7" t="s">
        <v>3826</v>
      </c>
      <c r="E216" s="7" t="s">
        <v>5551</v>
      </c>
      <c r="F216" s="7" t="s">
        <v>6222</v>
      </c>
      <c r="G216" s="7" t="s">
        <v>6223</v>
      </c>
      <c r="H216" s="7" t="s">
        <v>6224</v>
      </c>
      <c r="I216" s="10" t="s">
        <v>5546</v>
      </c>
      <c r="J216" s="7" t="s">
        <v>3799</v>
      </c>
      <c r="K216" s="7" t="s">
        <v>6174</v>
      </c>
      <c r="L216" s="7" t="s">
        <v>5548</v>
      </c>
      <c r="M216" s="7" t="s">
        <v>5557</v>
      </c>
      <c r="N216" s="7"/>
    </row>
    <row r="217" customFormat="false" ht="58.5" hidden="false" customHeight="true" outlineLevel="0" collapsed="false">
      <c r="A217" s="7" t="s">
        <v>3829</v>
      </c>
      <c r="B217" s="7" t="s">
        <v>3830</v>
      </c>
      <c r="C217" s="7" t="s">
        <v>3531</v>
      </c>
      <c r="D217" s="7" t="s">
        <v>3831</v>
      </c>
      <c r="E217" s="7" t="s">
        <v>5551</v>
      </c>
      <c r="F217" s="7" t="s">
        <v>6225</v>
      </c>
      <c r="G217" s="7" t="s">
        <v>6226</v>
      </c>
      <c r="H217" s="7" t="s">
        <v>6227</v>
      </c>
      <c r="I217" s="12" t="s">
        <v>5562</v>
      </c>
      <c r="J217" s="7" t="s">
        <v>3799</v>
      </c>
      <c r="K217" s="7" t="s">
        <v>6174</v>
      </c>
      <c r="L217" s="7" t="s">
        <v>5548</v>
      </c>
      <c r="M217" s="7" t="s">
        <v>5557</v>
      </c>
      <c r="N217" s="7" t="s">
        <v>6228</v>
      </c>
    </row>
    <row r="218" customFormat="false" ht="58.5" hidden="false" customHeight="true" outlineLevel="0" collapsed="false">
      <c r="A218" s="7" t="s">
        <v>3844</v>
      </c>
      <c r="B218" s="7" t="s">
        <v>3845</v>
      </c>
      <c r="C218" s="7" t="s">
        <v>3531</v>
      </c>
      <c r="D218" s="7" t="s">
        <v>3846</v>
      </c>
      <c r="E218" s="7" t="s">
        <v>5551</v>
      </c>
      <c r="F218" s="7" t="s">
        <v>6229</v>
      </c>
      <c r="G218" s="7" t="s">
        <v>6230</v>
      </c>
      <c r="H218" s="7" t="s">
        <v>6231</v>
      </c>
      <c r="I218" s="12" t="s">
        <v>5562</v>
      </c>
      <c r="J218" s="7" t="s">
        <v>3542</v>
      </c>
      <c r="K218" s="7" t="s">
        <v>6174</v>
      </c>
      <c r="L218" s="7" t="s">
        <v>5548</v>
      </c>
      <c r="M218" s="7" t="s">
        <v>5557</v>
      </c>
      <c r="N218" s="7"/>
    </row>
    <row r="219" customFormat="false" ht="58.5" hidden="false" customHeight="true" outlineLevel="0" collapsed="false">
      <c r="A219" s="7" t="s">
        <v>3879</v>
      </c>
      <c r="B219" s="7" t="s">
        <v>3880</v>
      </c>
      <c r="C219" s="7" t="s">
        <v>3531</v>
      </c>
      <c r="D219" s="7" t="s">
        <v>3881</v>
      </c>
      <c r="E219" s="7" t="s">
        <v>5542</v>
      </c>
      <c r="F219" s="7" t="s">
        <v>6232</v>
      </c>
      <c r="G219" s="7" t="s">
        <v>6233</v>
      </c>
      <c r="H219" s="7" t="s">
        <v>6234</v>
      </c>
      <c r="I219" s="10" t="s">
        <v>5546</v>
      </c>
      <c r="J219" s="7" t="s">
        <v>3542</v>
      </c>
      <c r="K219" s="7" t="s">
        <v>6174</v>
      </c>
      <c r="L219" s="7" t="s">
        <v>5548</v>
      </c>
      <c r="M219" s="7" t="s">
        <v>5549</v>
      </c>
      <c r="N219" s="7" t="s">
        <v>6235</v>
      </c>
    </row>
    <row r="220" customFormat="false" ht="39" hidden="false" customHeight="true" outlineLevel="0" collapsed="false">
      <c r="A220" s="7" t="s">
        <v>3884</v>
      </c>
      <c r="B220" s="7" t="s">
        <v>3885</v>
      </c>
      <c r="C220" s="7" t="s">
        <v>3531</v>
      </c>
      <c r="D220" s="7" t="s">
        <v>3886</v>
      </c>
      <c r="E220" s="7" t="s">
        <v>6150</v>
      </c>
      <c r="F220" s="7" t="s">
        <v>6236</v>
      </c>
      <c r="G220" s="7" t="s">
        <v>6237</v>
      </c>
      <c r="H220" s="7" t="s">
        <v>6238</v>
      </c>
      <c r="I220" s="10" t="s">
        <v>5546</v>
      </c>
      <c r="J220" s="7" t="s">
        <v>3542</v>
      </c>
      <c r="K220" s="7" t="s">
        <v>6174</v>
      </c>
      <c r="L220" s="7" t="s">
        <v>5548</v>
      </c>
      <c r="M220" s="7" t="s">
        <v>5557</v>
      </c>
      <c r="N220" s="7" t="s">
        <v>6239</v>
      </c>
    </row>
    <row r="221" customFormat="false" ht="58.5" hidden="false" customHeight="true" outlineLevel="0" collapsed="false">
      <c r="A221" s="7" t="s">
        <v>3909</v>
      </c>
      <c r="B221" s="7" t="s">
        <v>3910</v>
      </c>
      <c r="C221" s="7" t="s">
        <v>3531</v>
      </c>
      <c r="D221" s="7" t="s">
        <v>3911</v>
      </c>
      <c r="E221" s="7" t="s">
        <v>5542</v>
      </c>
      <c r="F221" s="7" t="s">
        <v>6240</v>
      </c>
      <c r="G221" s="7" t="s">
        <v>6241</v>
      </c>
      <c r="H221" s="7" t="s">
        <v>6242</v>
      </c>
      <c r="I221" s="10" t="s">
        <v>5546</v>
      </c>
      <c r="J221" s="7" t="s">
        <v>3542</v>
      </c>
      <c r="K221" s="7" t="s">
        <v>6174</v>
      </c>
      <c r="L221" s="7" t="s">
        <v>5548</v>
      </c>
      <c r="M221" s="7" t="s">
        <v>5549</v>
      </c>
      <c r="N221" s="7" t="s">
        <v>6243</v>
      </c>
    </row>
    <row r="222" customFormat="false" ht="58.5" hidden="false" customHeight="true" outlineLevel="0" collapsed="false">
      <c r="A222" s="7" t="s">
        <v>3954</v>
      </c>
      <c r="B222" s="7" t="s">
        <v>3955</v>
      </c>
      <c r="C222" s="7" t="s">
        <v>3531</v>
      </c>
      <c r="D222" s="7" t="s">
        <v>3956</v>
      </c>
      <c r="E222" s="7" t="s">
        <v>5551</v>
      </c>
      <c r="F222" s="7" t="s">
        <v>6244</v>
      </c>
      <c r="G222" s="7" t="s">
        <v>6245</v>
      </c>
      <c r="H222" s="7" t="s">
        <v>6246</v>
      </c>
      <c r="I222" s="10" t="s">
        <v>5546</v>
      </c>
      <c r="J222" s="7" t="s">
        <v>3542</v>
      </c>
      <c r="K222" s="7" t="s">
        <v>6174</v>
      </c>
      <c r="L222" s="7" t="s">
        <v>5556</v>
      </c>
      <c r="M222" s="7" t="s">
        <v>5577</v>
      </c>
      <c r="N222" s="7"/>
    </row>
    <row r="223" customFormat="false" ht="39" hidden="false" customHeight="true" outlineLevel="0" collapsed="false">
      <c r="A223" s="7" t="s">
        <v>3974</v>
      </c>
      <c r="B223" s="7" t="s">
        <v>3975</v>
      </c>
      <c r="C223" s="7" t="s">
        <v>3531</v>
      </c>
      <c r="D223" s="7" t="s">
        <v>3976</v>
      </c>
      <c r="E223" s="7" t="s">
        <v>5542</v>
      </c>
      <c r="F223" s="7" t="s">
        <v>6247</v>
      </c>
      <c r="G223" s="7" t="s">
        <v>6248</v>
      </c>
      <c r="H223" s="7" t="s">
        <v>6249</v>
      </c>
      <c r="I223" s="10" t="s">
        <v>5546</v>
      </c>
      <c r="J223" s="7" t="s">
        <v>3542</v>
      </c>
      <c r="K223" s="7" t="s">
        <v>6174</v>
      </c>
      <c r="L223" s="7" t="s">
        <v>5548</v>
      </c>
      <c r="M223" s="7" t="s">
        <v>5549</v>
      </c>
      <c r="N223" s="7" t="s">
        <v>3975</v>
      </c>
    </row>
    <row r="224" customFormat="false" ht="58.5" hidden="false" customHeight="true" outlineLevel="0" collapsed="false">
      <c r="A224" s="7" t="s">
        <v>3984</v>
      </c>
      <c r="B224" s="7" t="s">
        <v>3985</v>
      </c>
      <c r="C224" s="7" t="s">
        <v>3531</v>
      </c>
      <c r="D224" s="7" t="s">
        <v>3986</v>
      </c>
      <c r="E224" s="7" t="s">
        <v>5551</v>
      </c>
      <c r="F224" s="7" t="s">
        <v>6250</v>
      </c>
      <c r="G224" s="7" t="s">
        <v>6251</v>
      </c>
      <c r="H224" s="7" t="s">
        <v>6252</v>
      </c>
      <c r="I224" s="10" t="s">
        <v>5546</v>
      </c>
      <c r="J224" s="7" t="s">
        <v>3542</v>
      </c>
      <c r="K224" s="7" t="s">
        <v>6174</v>
      </c>
      <c r="L224" s="7" t="s">
        <v>5548</v>
      </c>
      <c r="M224" s="7" t="s">
        <v>5549</v>
      </c>
      <c r="N224" s="7" t="s">
        <v>3985</v>
      </c>
    </row>
    <row r="225" customFormat="false" ht="58.5" hidden="false" customHeight="true" outlineLevel="0" collapsed="false">
      <c r="A225" s="7" t="s">
        <v>6253</v>
      </c>
      <c r="B225" s="7" t="s">
        <v>6254</v>
      </c>
      <c r="C225" s="7" t="s">
        <v>3531</v>
      </c>
      <c r="D225" s="7" t="s">
        <v>6255</v>
      </c>
      <c r="E225" s="7" t="s">
        <v>5551</v>
      </c>
      <c r="F225" s="7" t="s">
        <v>6256</v>
      </c>
      <c r="G225" s="7" t="s">
        <v>6257</v>
      </c>
      <c r="H225" s="7" t="s">
        <v>6258</v>
      </c>
      <c r="I225" s="10" t="s">
        <v>5546</v>
      </c>
      <c r="J225" s="7" t="s">
        <v>929</v>
      </c>
      <c r="K225" s="7" t="s">
        <v>6174</v>
      </c>
      <c r="L225" s="7" t="s">
        <v>6070</v>
      </c>
      <c r="M225" s="7" t="s">
        <v>5549</v>
      </c>
      <c r="N225" s="7" t="s">
        <v>6254</v>
      </c>
    </row>
    <row r="226" customFormat="false" ht="39" hidden="false" customHeight="true" outlineLevel="0" collapsed="false">
      <c r="A226" s="7" t="s">
        <v>3989</v>
      </c>
      <c r="B226" s="7" t="s">
        <v>3990</v>
      </c>
      <c r="C226" s="7" t="s">
        <v>3531</v>
      </c>
      <c r="D226" s="7" t="s">
        <v>3991</v>
      </c>
      <c r="E226" s="7" t="s">
        <v>5542</v>
      </c>
      <c r="F226" s="7" t="s">
        <v>6259</v>
      </c>
      <c r="G226" s="7" t="s">
        <v>6260</v>
      </c>
      <c r="H226" s="7" t="s">
        <v>6076</v>
      </c>
      <c r="I226" s="10" t="s">
        <v>5546</v>
      </c>
      <c r="J226" s="7" t="s">
        <v>882</v>
      </c>
      <c r="K226" s="7" t="s">
        <v>6174</v>
      </c>
      <c r="L226" s="7" t="s">
        <v>5548</v>
      </c>
      <c r="M226" s="7" t="s">
        <v>5549</v>
      </c>
      <c r="N226" s="7" t="s">
        <v>3990</v>
      </c>
    </row>
    <row r="227" customFormat="false" ht="58.5" hidden="false" customHeight="true" outlineLevel="0" collapsed="false">
      <c r="A227" s="7" t="s">
        <v>4029</v>
      </c>
      <c r="B227" s="7" t="s">
        <v>4030</v>
      </c>
      <c r="C227" s="7" t="s">
        <v>3531</v>
      </c>
      <c r="D227" s="7" t="s">
        <v>4031</v>
      </c>
      <c r="E227" s="7" t="s">
        <v>5542</v>
      </c>
      <c r="F227" s="7" t="s">
        <v>6261</v>
      </c>
      <c r="G227" s="7" t="s">
        <v>6262</v>
      </c>
      <c r="H227" s="7" t="s">
        <v>6263</v>
      </c>
      <c r="I227" s="10" t="s">
        <v>5546</v>
      </c>
      <c r="J227" s="7" t="s">
        <v>3542</v>
      </c>
      <c r="K227" s="7" t="s">
        <v>6174</v>
      </c>
      <c r="L227" s="7" t="s">
        <v>5556</v>
      </c>
      <c r="M227" s="7" t="s">
        <v>5577</v>
      </c>
      <c r="N227" s="7"/>
    </row>
    <row r="228" customFormat="false" ht="39" hidden="false" customHeight="true" outlineLevel="0" collapsed="false">
      <c r="A228" s="7" t="s">
        <v>4049</v>
      </c>
      <c r="B228" s="7" t="s">
        <v>4050</v>
      </c>
      <c r="C228" s="7" t="s">
        <v>3531</v>
      </c>
      <c r="D228" s="7" t="s">
        <v>4051</v>
      </c>
      <c r="E228" s="7" t="s">
        <v>5542</v>
      </c>
      <c r="F228" s="7" t="s">
        <v>6264</v>
      </c>
      <c r="G228" s="7" t="s">
        <v>6265</v>
      </c>
      <c r="H228" s="7" t="s">
        <v>6266</v>
      </c>
      <c r="I228" s="10" t="s">
        <v>5546</v>
      </c>
      <c r="J228" s="7" t="s">
        <v>3091</v>
      </c>
      <c r="K228" s="7" t="s">
        <v>6174</v>
      </c>
      <c r="L228" s="7" t="s">
        <v>5548</v>
      </c>
      <c r="M228" s="7" t="s">
        <v>5549</v>
      </c>
      <c r="N228" s="7" t="s">
        <v>4050</v>
      </c>
    </row>
    <row r="229" customFormat="false" ht="39" hidden="false" customHeight="true" outlineLevel="0" collapsed="false">
      <c r="A229" s="7" t="s">
        <v>4059</v>
      </c>
      <c r="B229" s="7" t="s">
        <v>4060</v>
      </c>
      <c r="C229" s="7" t="s">
        <v>3531</v>
      </c>
      <c r="D229" s="7" t="s">
        <v>4061</v>
      </c>
      <c r="E229" s="7" t="s">
        <v>5551</v>
      </c>
      <c r="F229" s="7" t="s">
        <v>6267</v>
      </c>
      <c r="G229" s="7" t="s">
        <v>6268</v>
      </c>
      <c r="H229" s="7" t="s">
        <v>6269</v>
      </c>
      <c r="I229" s="12" t="s">
        <v>5562</v>
      </c>
      <c r="J229" s="7" t="s">
        <v>1609</v>
      </c>
      <c r="K229" s="7" t="s">
        <v>6174</v>
      </c>
      <c r="L229" s="7" t="s">
        <v>5548</v>
      </c>
      <c r="M229" s="7" t="s">
        <v>5557</v>
      </c>
      <c r="N229" s="7"/>
    </row>
    <row r="230" customFormat="false" ht="58.5" hidden="false" customHeight="true" outlineLevel="0" collapsed="false">
      <c r="A230" s="7" t="s">
        <v>4079</v>
      </c>
      <c r="B230" s="7" t="s">
        <v>4080</v>
      </c>
      <c r="C230" s="7" t="s">
        <v>4081</v>
      </c>
      <c r="D230" s="7" t="s">
        <v>163</v>
      </c>
      <c r="E230" s="7" t="s">
        <v>5542</v>
      </c>
      <c r="F230" s="7" t="s">
        <v>6270</v>
      </c>
      <c r="G230" s="7" t="s">
        <v>5863</v>
      </c>
      <c r="H230" s="7" t="s">
        <v>5766</v>
      </c>
      <c r="I230" s="10" t="s">
        <v>5546</v>
      </c>
      <c r="J230" s="7" t="s">
        <v>165</v>
      </c>
      <c r="K230" s="7" t="s">
        <v>5873</v>
      </c>
      <c r="L230" s="7" t="s">
        <v>5548</v>
      </c>
      <c r="M230" s="7" t="s">
        <v>5549</v>
      </c>
      <c r="N230" s="7" t="s">
        <v>6271</v>
      </c>
    </row>
    <row r="231" customFormat="false" ht="234" hidden="false" customHeight="true" outlineLevel="0" collapsed="false">
      <c r="A231" s="7" t="s">
        <v>4084</v>
      </c>
      <c r="B231" s="7" t="s">
        <v>4085</v>
      </c>
      <c r="C231" s="7" t="s">
        <v>4081</v>
      </c>
      <c r="D231" s="7" t="s">
        <v>4086</v>
      </c>
      <c r="E231" s="7" t="s">
        <v>5551</v>
      </c>
      <c r="F231" s="7" t="s">
        <v>6272</v>
      </c>
      <c r="G231" s="7" t="s">
        <v>6273</v>
      </c>
      <c r="H231" s="7" t="s">
        <v>6274</v>
      </c>
      <c r="I231" s="12" t="s">
        <v>5562</v>
      </c>
      <c r="J231" s="7" t="s">
        <v>319</v>
      </c>
      <c r="K231" s="7" t="s">
        <v>5873</v>
      </c>
      <c r="L231" s="7" t="s">
        <v>5548</v>
      </c>
      <c r="M231" s="7" t="s">
        <v>5549</v>
      </c>
      <c r="N231" s="7" t="s">
        <v>6275</v>
      </c>
    </row>
    <row r="232" customFormat="false" ht="58.5" hidden="false" customHeight="true" outlineLevel="0" collapsed="false">
      <c r="A232" s="7" t="s">
        <v>4089</v>
      </c>
      <c r="B232" s="7" t="s">
        <v>4090</v>
      </c>
      <c r="C232" s="7" t="s">
        <v>4081</v>
      </c>
      <c r="D232" s="7" t="s">
        <v>4091</v>
      </c>
      <c r="E232" s="7" t="s">
        <v>5551</v>
      </c>
      <c r="F232" s="7" t="s">
        <v>6276</v>
      </c>
      <c r="G232" s="7" t="s">
        <v>6277</v>
      </c>
      <c r="H232" s="7" t="s">
        <v>6278</v>
      </c>
      <c r="I232" s="10" t="s">
        <v>5546</v>
      </c>
      <c r="J232" s="7" t="s">
        <v>319</v>
      </c>
      <c r="K232" s="7" t="s">
        <v>5873</v>
      </c>
      <c r="L232" s="7" t="s">
        <v>5548</v>
      </c>
      <c r="M232" s="7" t="s">
        <v>5549</v>
      </c>
      <c r="N232" s="7" t="s">
        <v>6279</v>
      </c>
    </row>
    <row r="233" customFormat="false" ht="39" hidden="false" customHeight="true" outlineLevel="0" collapsed="false">
      <c r="A233" s="7" t="s">
        <v>4094</v>
      </c>
      <c r="B233" s="7" t="s">
        <v>4095</v>
      </c>
      <c r="C233" s="7" t="s">
        <v>4081</v>
      </c>
      <c r="D233" s="7" t="s">
        <v>4096</v>
      </c>
      <c r="E233" s="7" t="s">
        <v>5551</v>
      </c>
      <c r="F233" s="7" t="s">
        <v>6280</v>
      </c>
      <c r="G233" s="7" t="s">
        <v>6281</v>
      </c>
      <c r="H233" s="7" t="s">
        <v>6282</v>
      </c>
      <c r="I233" s="10" t="s">
        <v>5546</v>
      </c>
      <c r="J233" s="7" t="s">
        <v>319</v>
      </c>
      <c r="K233" s="7" t="s">
        <v>5873</v>
      </c>
      <c r="L233" s="7" t="s">
        <v>5548</v>
      </c>
      <c r="M233" s="7" t="s">
        <v>5549</v>
      </c>
      <c r="N233" s="7" t="s">
        <v>6283</v>
      </c>
    </row>
    <row r="234" customFormat="false" ht="39" hidden="false" customHeight="true" outlineLevel="0" collapsed="false">
      <c r="A234" s="7" t="s">
        <v>4134</v>
      </c>
      <c r="B234" s="7" t="s">
        <v>4135</v>
      </c>
      <c r="C234" s="7" t="s">
        <v>4081</v>
      </c>
      <c r="D234" s="7" t="s">
        <v>4136</v>
      </c>
      <c r="E234" s="7" t="s">
        <v>5573</v>
      </c>
      <c r="F234" s="7" t="s">
        <v>6284</v>
      </c>
      <c r="G234" s="7" t="s">
        <v>6285</v>
      </c>
      <c r="H234" s="7" t="s">
        <v>6286</v>
      </c>
      <c r="I234" s="11" t="s">
        <v>5555</v>
      </c>
      <c r="J234" s="7" t="s">
        <v>957</v>
      </c>
      <c r="K234" s="7" t="s">
        <v>5873</v>
      </c>
      <c r="L234" s="7" t="s">
        <v>5556</v>
      </c>
      <c r="M234" s="7" t="s">
        <v>5557</v>
      </c>
      <c r="N234" s="7"/>
    </row>
    <row r="235" customFormat="false" ht="39" hidden="false" customHeight="true" outlineLevel="0" collapsed="false">
      <c r="A235" s="7" t="s">
        <v>4144</v>
      </c>
      <c r="B235" s="7" t="s">
        <v>4145</v>
      </c>
      <c r="C235" s="7" t="s">
        <v>4081</v>
      </c>
      <c r="D235" s="7" t="s">
        <v>4146</v>
      </c>
      <c r="E235" s="7" t="s">
        <v>5551</v>
      </c>
      <c r="F235" s="7" t="s">
        <v>6287</v>
      </c>
      <c r="G235" s="7" t="s">
        <v>6288</v>
      </c>
      <c r="H235" s="7" t="s">
        <v>6289</v>
      </c>
      <c r="I235" s="12" t="s">
        <v>5562</v>
      </c>
      <c r="J235" s="7" t="s">
        <v>957</v>
      </c>
      <c r="K235" s="7" t="s">
        <v>5873</v>
      </c>
      <c r="L235" s="7" t="s">
        <v>5581</v>
      </c>
      <c r="M235" s="7" t="s">
        <v>5563</v>
      </c>
      <c r="N235" s="7" t="s">
        <v>6290</v>
      </c>
    </row>
    <row r="236" customFormat="false" ht="39" hidden="false" customHeight="true" outlineLevel="0" collapsed="false">
      <c r="A236" s="7" t="s">
        <v>4149</v>
      </c>
      <c r="B236" s="7" t="s">
        <v>4150</v>
      </c>
      <c r="C236" s="7" t="s">
        <v>4081</v>
      </c>
      <c r="D236" s="7" t="s">
        <v>4151</v>
      </c>
      <c r="E236" s="7" t="s">
        <v>5573</v>
      </c>
      <c r="F236" s="7" t="s">
        <v>6291</v>
      </c>
      <c r="G236" s="7" t="s">
        <v>6292</v>
      </c>
      <c r="H236" s="7" t="s">
        <v>6293</v>
      </c>
      <c r="I236" s="12" t="s">
        <v>5562</v>
      </c>
      <c r="J236" s="7" t="s">
        <v>957</v>
      </c>
      <c r="K236" s="7" t="s">
        <v>5873</v>
      </c>
      <c r="L236" s="7" t="s">
        <v>5556</v>
      </c>
      <c r="M236" s="7" t="s">
        <v>5577</v>
      </c>
      <c r="N236" s="7"/>
    </row>
    <row r="237" customFormat="false" ht="39" hidden="false" customHeight="true" outlineLevel="0" collapsed="false">
      <c r="A237" s="7" t="s">
        <v>4154</v>
      </c>
      <c r="B237" s="7" t="s">
        <v>4155</v>
      </c>
      <c r="C237" s="7" t="s">
        <v>4081</v>
      </c>
      <c r="D237" s="7" t="s">
        <v>4156</v>
      </c>
      <c r="E237" s="7" t="s">
        <v>5551</v>
      </c>
      <c r="F237" s="7" t="s">
        <v>6294</v>
      </c>
      <c r="G237" s="7" t="s">
        <v>6295</v>
      </c>
      <c r="H237" s="7" t="s">
        <v>6296</v>
      </c>
      <c r="I237" s="12" t="s">
        <v>5562</v>
      </c>
      <c r="J237" s="7" t="s">
        <v>957</v>
      </c>
      <c r="K237" s="7" t="s">
        <v>5873</v>
      </c>
      <c r="L237" s="7" t="s">
        <v>5548</v>
      </c>
      <c r="M237" s="7" t="s">
        <v>5557</v>
      </c>
      <c r="N237" s="7"/>
    </row>
    <row r="238" customFormat="false" ht="58.5" hidden="false" customHeight="true" outlineLevel="0" collapsed="false">
      <c r="A238" s="7" t="s">
        <v>4159</v>
      </c>
      <c r="B238" s="7" t="s">
        <v>4160</v>
      </c>
      <c r="C238" s="7" t="s">
        <v>4081</v>
      </c>
      <c r="D238" s="7" t="s">
        <v>4161</v>
      </c>
      <c r="E238" s="7" t="s">
        <v>5551</v>
      </c>
      <c r="F238" s="7" t="s">
        <v>6297</v>
      </c>
      <c r="G238" s="7" t="s">
        <v>6298</v>
      </c>
      <c r="H238" s="7" t="s">
        <v>6299</v>
      </c>
      <c r="I238" s="11" t="s">
        <v>5555</v>
      </c>
      <c r="J238" s="7" t="s">
        <v>319</v>
      </c>
      <c r="K238" s="7" t="s">
        <v>5873</v>
      </c>
      <c r="L238" s="7" t="s">
        <v>5556</v>
      </c>
      <c r="M238" s="7" t="s">
        <v>5557</v>
      </c>
      <c r="N238" s="7" t="s">
        <v>6300</v>
      </c>
    </row>
    <row r="239" customFormat="false" ht="58.5" hidden="false" customHeight="true" outlineLevel="0" collapsed="false">
      <c r="A239" s="7" t="s">
        <v>4164</v>
      </c>
      <c r="B239" s="7" t="s">
        <v>4165</v>
      </c>
      <c r="C239" s="7" t="s">
        <v>4081</v>
      </c>
      <c r="D239" s="7" t="s">
        <v>4166</v>
      </c>
      <c r="E239" s="7" t="s">
        <v>5551</v>
      </c>
      <c r="F239" s="7" t="s">
        <v>6301</v>
      </c>
      <c r="G239" s="7" t="s">
        <v>6302</v>
      </c>
      <c r="H239" s="7" t="s">
        <v>6303</v>
      </c>
      <c r="I239" s="12" t="s">
        <v>5562</v>
      </c>
      <c r="J239" s="7" t="s">
        <v>319</v>
      </c>
      <c r="K239" s="7" t="s">
        <v>5873</v>
      </c>
      <c r="L239" s="7" t="s">
        <v>5556</v>
      </c>
      <c r="M239" s="7" t="s">
        <v>5577</v>
      </c>
      <c r="N239" s="7"/>
    </row>
    <row r="240" customFormat="false" ht="58.5" hidden="false" customHeight="true" outlineLevel="0" collapsed="false">
      <c r="A240" s="7" t="s">
        <v>4169</v>
      </c>
      <c r="B240" s="7" t="s">
        <v>4170</v>
      </c>
      <c r="C240" s="7" t="s">
        <v>4081</v>
      </c>
      <c r="D240" s="7" t="s">
        <v>4171</v>
      </c>
      <c r="E240" s="7" t="s">
        <v>5551</v>
      </c>
      <c r="F240" s="7" t="s">
        <v>6304</v>
      </c>
      <c r="G240" s="7" t="s">
        <v>6305</v>
      </c>
      <c r="H240" s="7" t="s">
        <v>6306</v>
      </c>
      <c r="I240" s="12" t="s">
        <v>5562</v>
      </c>
      <c r="J240" s="7" t="s">
        <v>319</v>
      </c>
      <c r="K240" s="7" t="s">
        <v>5873</v>
      </c>
      <c r="L240" s="7" t="s">
        <v>5556</v>
      </c>
      <c r="M240" s="7" t="s">
        <v>5577</v>
      </c>
      <c r="N240" s="7"/>
    </row>
    <row r="241" customFormat="false" ht="39" hidden="false" customHeight="true" outlineLevel="0" collapsed="false">
      <c r="A241" s="7" t="s">
        <v>4174</v>
      </c>
      <c r="B241" s="7" t="s">
        <v>4175</v>
      </c>
      <c r="C241" s="7" t="s">
        <v>4081</v>
      </c>
      <c r="D241" s="7" t="s">
        <v>4176</v>
      </c>
      <c r="E241" s="7" t="s">
        <v>5551</v>
      </c>
      <c r="F241" s="7" t="s">
        <v>6307</v>
      </c>
      <c r="G241" s="7" t="s">
        <v>6308</v>
      </c>
      <c r="H241" s="7" t="s">
        <v>6309</v>
      </c>
      <c r="I241" s="11" t="s">
        <v>5555</v>
      </c>
      <c r="J241" s="7" t="s">
        <v>319</v>
      </c>
      <c r="K241" s="7" t="s">
        <v>5873</v>
      </c>
      <c r="L241" s="7" t="s">
        <v>5556</v>
      </c>
      <c r="M241" s="7" t="s">
        <v>5557</v>
      </c>
      <c r="N241" s="7"/>
    </row>
    <row r="242" customFormat="false" ht="58.5" hidden="false" customHeight="true" outlineLevel="0" collapsed="false">
      <c r="A242" s="7" t="s">
        <v>4189</v>
      </c>
      <c r="B242" s="7" t="s">
        <v>4190</v>
      </c>
      <c r="C242" s="7" t="s">
        <v>4081</v>
      </c>
      <c r="D242" s="7" t="s">
        <v>4191</v>
      </c>
      <c r="E242" s="7" t="s">
        <v>5551</v>
      </c>
      <c r="F242" s="7" t="s">
        <v>6310</v>
      </c>
      <c r="G242" s="7" t="s">
        <v>6311</v>
      </c>
      <c r="H242" s="7" t="s">
        <v>6312</v>
      </c>
      <c r="I242" s="12" t="s">
        <v>5562</v>
      </c>
      <c r="J242" s="7" t="s">
        <v>319</v>
      </c>
      <c r="K242" s="7" t="s">
        <v>5873</v>
      </c>
      <c r="L242" s="7" t="s">
        <v>5556</v>
      </c>
      <c r="M242" s="7" t="s">
        <v>5563</v>
      </c>
      <c r="N242" s="7" t="s">
        <v>6313</v>
      </c>
    </row>
    <row r="243" customFormat="false" ht="39" hidden="false" customHeight="true" outlineLevel="0" collapsed="false">
      <c r="A243" s="7" t="s">
        <v>4194</v>
      </c>
      <c r="B243" s="7" t="s">
        <v>4195</v>
      </c>
      <c r="C243" s="7" t="s">
        <v>4081</v>
      </c>
      <c r="D243" s="7" t="s">
        <v>4196</v>
      </c>
      <c r="E243" s="7" t="s">
        <v>5551</v>
      </c>
      <c r="F243" s="7" t="s">
        <v>6314</v>
      </c>
      <c r="G243" s="7" t="s">
        <v>6315</v>
      </c>
      <c r="H243" s="7" t="s">
        <v>6316</v>
      </c>
      <c r="I243" s="12" t="s">
        <v>5562</v>
      </c>
      <c r="J243" s="7" t="s">
        <v>319</v>
      </c>
      <c r="K243" s="7" t="s">
        <v>5873</v>
      </c>
      <c r="L243" s="7" t="s">
        <v>5548</v>
      </c>
      <c r="M243" s="7" t="s">
        <v>5557</v>
      </c>
      <c r="N243" s="7"/>
    </row>
    <row r="244" customFormat="false" ht="39" hidden="false" customHeight="true" outlineLevel="0" collapsed="false">
      <c r="A244" s="7" t="s">
        <v>4199</v>
      </c>
      <c r="B244" s="7" t="s">
        <v>4200</v>
      </c>
      <c r="C244" s="7" t="s">
        <v>4081</v>
      </c>
      <c r="D244" s="7" t="s">
        <v>4201</v>
      </c>
      <c r="E244" s="7" t="s">
        <v>5551</v>
      </c>
      <c r="F244" s="7" t="s">
        <v>6317</v>
      </c>
      <c r="G244" s="7" t="s">
        <v>6318</v>
      </c>
      <c r="H244" s="7" t="s">
        <v>6319</v>
      </c>
      <c r="I244" s="12" t="s">
        <v>5562</v>
      </c>
      <c r="J244" s="7" t="s">
        <v>319</v>
      </c>
      <c r="K244" s="7" t="s">
        <v>5873</v>
      </c>
      <c r="L244" s="7" t="s">
        <v>5556</v>
      </c>
      <c r="M244" s="7" t="s">
        <v>5577</v>
      </c>
      <c r="N244" s="7"/>
    </row>
    <row r="245" customFormat="false" ht="58.5" hidden="false" customHeight="true" outlineLevel="0" collapsed="false">
      <c r="A245" s="7" t="s">
        <v>4204</v>
      </c>
      <c r="B245" s="7" t="s">
        <v>4205</v>
      </c>
      <c r="C245" s="7" t="s">
        <v>4081</v>
      </c>
      <c r="D245" s="7" t="s">
        <v>4206</v>
      </c>
      <c r="E245" s="7" t="s">
        <v>6150</v>
      </c>
      <c r="F245" s="7" t="s">
        <v>6320</v>
      </c>
      <c r="G245" s="7" t="s">
        <v>6321</v>
      </c>
      <c r="H245" s="7" t="s">
        <v>6322</v>
      </c>
      <c r="I245" s="12" t="s">
        <v>5562</v>
      </c>
      <c r="J245" s="7" t="s">
        <v>319</v>
      </c>
      <c r="K245" s="7" t="s">
        <v>5873</v>
      </c>
      <c r="L245" s="7" t="s">
        <v>5548</v>
      </c>
      <c r="M245" s="7" t="s">
        <v>5549</v>
      </c>
      <c r="N245" s="7" t="s">
        <v>6323</v>
      </c>
    </row>
    <row r="246" customFormat="false" ht="58.5" hidden="false" customHeight="true" outlineLevel="0" collapsed="false">
      <c r="A246" s="7" t="s">
        <v>4209</v>
      </c>
      <c r="B246" s="7" t="s">
        <v>4210</v>
      </c>
      <c r="C246" s="7" t="s">
        <v>4081</v>
      </c>
      <c r="D246" s="7" t="s">
        <v>4211</v>
      </c>
      <c r="E246" s="7" t="s">
        <v>5551</v>
      </c>
      <c r="F246" s="7" t="s">
        <v>6324</v>
      </c>
      <c r="G246" s="7" t="s">
        <v>6325</v>
      </c>
      <c r="H246" s="7" t="s">
        <v>6326</v>
      </c>
      <c r="I246" s="12" t="s">
        <v>5562</v>
      </c>
      <c r="J246" s="7" t="s">
        <v>319</v>
      </c>
      <c r="K246" s="7" t="s">
        <v>5873</v>
      </c>
      <c r="L246" s="7" t="s">
        <v>5548</v>
      </c>
      <c r="M246" s="7" t="s">
        <v>5549</v>
      </c>
      <c r="N246" s="7" t="s">
        <v>6327</v>
      </c>
    </row>
    <row r="247" customFormat="false" ht="58.5" hidden="false" customHeight="true" outlineLevel="0" collapsed="false">
      <c r="A247" s="7" t="s">
        <v>6328</v>
      </c>
      <c r="B247" s="7" t="s">
        <v>6329</v>
      </c>
      <c r="C247" s="7" t="s">
        <v>4081</v>
      </c>
      <c r="D247" s="7" t="s">
        <v>6330</v>
      </c>
      <c r="E247" s="7" t="s">
        <v>5551</v>
      </c>
      <c r="F247" s="7" t="s">
        <v>6331</v>
      </c>
      <c r="G247" s="7" t="s">
        <v>6332</v>
      </c>
      <c r="H247" s="7" t="s">
        <v>6333</v>
      </c>
      <c r="I247" s="12" t="s">
        <v>5562</v>
      </c>
      <c r="J247" s="7" t="s">
        <v>319</v>
      </c>
      <c r="K247" s="7" t="s">
        <v>5873</v>
      </c>
      <c r="L247" s="7" t="s">
        <v>5556</v>
      </c>
      <c r="M247" s="7" t="s">
        <v>5577</v>
      </c>
      <c r="N247" s="7"/>
    </row>
    <row r="248" customFormat="false" ht="58.5" hidden="false" customHeight="true" outlineLevel="0" collapsed="false">
      <c r="A248" s="7" t="s">
        <v>4239</v>
      </c>
      <c r="B248" s="7" t="s">
        <v>4240</v>
      </c>
      <c r="C248" s="7" t="s">
        <v>4081</v>
      </c>
      <c r="D248" s="7" t="s">
        <v>4241</v>
      </c>
      <c r="E248" s="7" t="s">
        <v>5542</v>
      </c>
      <c r="F248" s="7" t="s">
        <v>6334</v>
      </c>
      <c r="G248" s="7" t="s">
        <v>6335</v>
      </c>
      <c r="H248" s="7" t="s">
        <v>6336</v>
      </c>
      <c r="I248" s="12" t="s">
        <v>5562</v>
      </c>
      <c r="J248" s="7" t="s">
        <v>319</v>
      </c>
      <c r="K248" s="7" t="s">
        <v>5873</v>
      </c>
      <c r="L248" s="7" t="s">
        <v>5556</v>
      </c>
      <c r="M248" s="7" t="s">
        <v>5577</v>
      </c>
      <c r="N248" s="7"/>
    </row>
    <row r="249" customFormat="false" ht="39" hidden="false" customHeight="true" outlineLevel="0" collapsed="false">
      <c r="A249" s="7" t="s">
        <v>4244</v>
      </c>
      <c r="B249" s="7" t="s">
        <v>4245</v>
      </c>
      <c r="C249" s="7" t="s">
        <v>4081</v>
      </c>
      <c r="D249" s="7" t="s">
        <v>4246</v>
      </c>
      <c r="E249" s="7" t="s">
        <v>5551</v>
      </c>
      <c r="F249" s="7" t="s">
        <v>6337</v>
      </c>
      <c r="G249" s="7" t="s">
        <v>6338</v>
      </c>
      <c r="H249" s="7" t="s">
        <v>6339</v>
      </c>
      <c r="I249" s="12" t="s">
        <v>5562</v>
      </c>
      <c r="J249" s="7" t="s">
        <v>319</v>
      </c>
      <c r="K249" s="7" t="s">
        <v>5873</v>
      </c>
      <c r="L249" s="7" t="s">
        <v>5556</v>
      </c>
      <c r="M249" s="7" t="s">
        <v>5563</v>
      </c>
      <c r="N249" s="7" t="s">
        <v>6340</v>
      </c>
    </row>
    <row r="250" customFormat="false" ht="58.5" hidden="false" customHeight="true" outlineLevel="0" collapsed="false">
      <c r="A250" s="7" t="s">
        <v>4249</v>
      </c>
      <c r="B250" s="7" t="s">
        <v>4250</v>
      </c>
      <c r="C250" s="7" t="s">
        <v>4081</v>
      </c>
      <c r="D250" s="7" t="s">
        <v>4251</v>
      </c>
      <c r="E250" s="7" t="s">
        <v>5551</v>
      </c>
      <c r="F250" s="7" t="s">
        <v>6341</v>
      </c>
      <c r="G250" s="7" t="s">
        <v>6342</v>
      </c>
      <c r="H250" s="7" t="s">
        <v>6343</v>
      </c>
      <c r="I250" s="12" t="s">
        <v>5562</v>
      </c>
      <c r="J250" s="7" t="s">
        <v>319</v>
      </c>
      <c r="K250" s="7" t="s">
        <v>5873</v>
      </c>
      <c r="L250" s="7" t="s">
        <v>5548</v>
      </c>
      <c r="M250" s="7" t="s">
        <v>5549</v>
      </c>
      <c r="N250" s="7" t="s">
        <v>6344</v>
      </c>
    </row>
    <row r="251" customFormat="false" ht="58.5" hidden="false" customHeight="true" outlineLevel="0" collapsed="false">
      <c r="A251" s="7" t="s">
        <v>4259</v>
      </c>
      <c r="B251" s="7" t="s">
        <v>4260</v>
      </c>
      <c r="C251" s="7" t="s">
        <v>4081</v>
      </c>
      <c r="D251" s="7" t="s">
        <v>4261</v>
      </c>
      <c r="E251" s="7" t="s">
        <v>5551</v>
      </c>
      <c r="F251" s="7" t="s">
        <v>6345</v>
      </c>
      <c r="G251" s="7" t="s">
        <v>6346</v>
      </c>
      <c r="H251" s="7" t="s">
        <v>6347</v>
      </c>
      <c r="I251" s="12" t="s">
        <v>5562</v>
      </c>
      <c r="J251" s="7" t="s">
        <v>319</v>
      </c>
      <c r="K251" s="7" t="s">
        <v>5873</v>
      </c>
      <c r="L251" s="7" t="s">
        <v>5548</v>
      </c>
      <c r="M251" s="7" t="s">
        <v>5549</v>
      </c>
      <c r="N251" s="7" t="s">
        <v>6348</v>
      </c>
    </row>
    <row r="252" customFormat="false" ht="39" hidden="false" customHeight="true" outlineLevel="0" collapsed="false">
      <c r="A252" s="7" t="s">
        <v>4289</v>
      </c>
      <c r="B252" s="7" t="s">
        <v>4290</v>
      </c>
      <c r="C252" s="7" t="s">
        <v>4081</v>
      </c>
      <c r="D252" s="7" t="s">
        <v>4291</v>
      </c>
      <c r="E252" s="7" t="s">
        <v>5551</v>
      </c>
      <c r="F252" s="7" t="s">
        <v>6349</v>
      </c>
      <c r="G252" s="7" t="s">
        <v>6350</v>
      </c>
      <c r="H252" s="7" t="s">
        <v>6351</v>
      </c>
      <c r="I252" s="11" t="s">
        <v>5555</v>
      </c>
      <c r="J252" s="7" t="s">
        <v>2611</v>
      </c>
      <c r="K252" s="7" t="s">
        <v>5873</v>
      </c>
      <c r="L252" s="7" t="s">
        <v>5556</v>
      </c>
      <c r="M252" s="7" t="s">
        <v>5557</v>
      </c>
      <c r="N252" s="7" t="s">
        <v>6352</v>
      </c>
    </row>
    <row r="253" customFormat="false" ht="58.5" hidden="false" customHeight="true" outlineLevel="0" collapsed="false">
      <c r="A253" s="7" t="s">
        <v>4294</v>
      </c>
      <c r="B253" s="7" t="s">
        <v>4295</v>
      </c>
      <c r="C253" s="7" t="s">
        <v>4081</v>
      </c>
      <c r="D253" s="7" t="s">
        <v>4296</v>
      </c>
      <c r="E253" s="7" t="s">
        <v>5551</v>
      </c>
      <c r="F253" s="7" t="s">
        <v>6353</v>
      </c>
      <c r="G253" s="7" t="s">
        <v>6354</v>
      </c>
      <c r="H253" s="7" t="s">
        <v>6355</v>
      </c>
      <c r="I253" s="11" t="s">
        <v>5555</v>
      </c>
      <c r="J253" s="7" t="s">
        <v>2611</v>
      </c>
      <c r="K253" s="7" t="s">
        <v>5873</v>
      </c>
      <c r="L253" s="7" t="s">
        <v>5556</v>
      </c>
      <c r="M253" s="7" t="s">
        <v>5577</v>
      </c>
      <c r="N253" s="7"/>
    </row>
    <row r="254" customFormat="false" ht="58.5" hidden="false" customHeight="true" outlineLevel="0" collapsed="false">
      <c r="A254" s="7" t="s">
        <v>4299</v>
      </c>
      <c r="B254" s="7" t="s">
        <v>4300</v>
      </c>
      <c r="C254" s="7" t="s">
        <v>4081</v>
      </c>
      <c r="D254" s="7" t="s">
        <v>4301</v>
      </c>
      <c r="E254" s="7" t="s">
        <v>5551</v>
      </c>
      <c r="F254" s="7" t="s">
        <v>6356</v>
      </c>
      <c r="G254" s="7" t="s">
        <v>6357</v>
      </c>
      <c r="H254" s="7" t="s">
        <v>6358</v>
      </c>
      <c r="I254" s="12" t="s">
        <v>5562</v>
      </c>
      <c r="J254" s="7" t="s">
        <v>2611</v>
      </c>
      <c r="K254" s="7" t="s">
        <v>5873</v>
      </c>
      <c r="L254" s="7" t="s">
        <v>5556</v>
      </c>
      <c r="M254" s="7" t="s">
        <v>5577</v>
      </c>
      <c r="N254" s="7"/>
    </row>
    <row r="255" customFormat="false" ht="39" hidden="false" customHeight="true" outlineLevel="0" collapsed="false">
      <c r="A255" s="7" t="s">
        <v>4319</v>
      </c>
      <c r="B255" s="7" t="s">
        <v>4320</v>
      </c>
      <c r="C255" s="7" t="s">
        <v>4081</v>
      </c>
      <c r="D255" s="7" t="s">
        <v>4321</v>
      </c>
      <c r="E255" s="7" t="s">
        <v>5551</v>
      </c>
      <c r="F255" s="7" t="s">
        <v>6359</v>
      </c>
      <c r="G255" s="7" t="s">
        <v>6360</v>
      </c>
      <c r="H255" s="7" t="s">
        <v>6361</v>
      </c>
      <c r="I255" s="11" t="s">
        <v>5555</v>
      </c>
      <c r="J255" s="7" t="s">
        <v>538</v>
      </c>
      <c r="K255" s="7" t="s">
        <v>5873</v>
      </c>
      <c r="L255" s="7" t="s">
        <v>5548</v>
      </c>
      <c r="M255" s="7" t="s">
        <v>5549</v>
      </c>
      <c r="N255" s="7" t="s">
        <v>4320</v>
      </c>
    </row>
    <row r="256" customFormat="false" ht="58.5" hidden="false" customHeight="true" outlineLevel="0" collapsed="false">
      <c r="A256" s="7" t="s">
        <v>4334</v>
      </c>
      <c r="B256" s="7" t="s">
        <v>4335</v>
      </c>
      <c r="C256" s="7" t="s">
        <v>4081</v>
      </c>
      <c r="D256" s="7" t="s">
        <v>4336</v>
      </c>
      <c r="E256" s="7" t="s">
        <v>5551</v>
      </c>
      <c r="F256" s="7" t="s">
        <v>6362</v>
      </c>
      <c r="G256" s="7" t="s">
        <v>6363</v>
      </c>
      <c r="H256" s="7" t="s">
        <v>6364</v>
      </c>
      <c r="I256" s="11" t="s">
        <v>5555</v>
      </c>
      <c r="J256" s="7" t="s">
        <v>629</v>
      </c>
      <c r="K256" s="7" t="s">
        <v>5873</v>
      </c>
      <c r="L256" s="7" t="s">
        <v>5556</v>
      </c>
      <c r="M256" s="7" t="s">
        <v>5557</v>
      </c>
      <c r="N256" s="7" t="s">
        <v>6365</v>
      </c>
    </row>
    <row r="257" customFormat="false" ht="39" hidden="false" customHeight="true" outlineLevel="0" collapsed="false">
      <c r="A257" s="7" t="s">
        <v>4344</v>
      </c>
      <c r="B257" s="7" t="s">
        <v>4345</v>
      </c>
      <c r="C257" s="7" t="s">
        <v>4081</v>
      </c>
      <c r="D257" s="7" t="s">
        <v>4346</v>
      </c>
      <c r="E257" s="7" t="s">
        <v>5551</v>
      </c>
      <c r="F257" s="7" t="s">
        <v>6366</v>
      </c>
      <c r="G257" s="7" t="s">
        <v>6367</v>
      </c>
      <c r="H257" s="7" t="s">
        <v>6368</v>
      </c>
      <c r="I257" s="12" t="s">
        <v>5562</v>
      </c>
      <c r="J257" s="7" t="s">
        <v>629</v>
      </c>
      <c r="K257" s="7" t="s">
        <v>5873</v>
      </c>
      <c r="L257" s="7" t="s">
        <v>5556</v>
      </c>
      <c r="M257" s="7" t="s">
        <v>5577</v>
      </c>
      <c r="N257" s="7"/>
    </row>
    <row r="258" customFormat="false" ht="39" hidden="false" customHeight="true" outlineLevel="0" collapsed="false">
      <c r="A258" s="7" t="s">
        <v>4349</v>
      </c>
      <c r="B258" s="7" t="s">
        <v>4350</v>
      </c>
      <c r="C258" s="7" t="s">
        <v>4081</v>
      </c>
      <c r="D258" s="7" t="s">
        <v>4351</v>
      </c>
      <c r="E258" s="7" t="s">
        <v>5551</v>
      </c>
      <c r="F258" s="7" t="s">
        <v>6369</v>
      </c>
      <c r="G258" s="7" t="s">
        <v>6370</v>
      </c>
      <c r="H258" s="7" t="s">
        <v>6371</v>
      </c>
      <c r="I258" s="12" t="s">
        <v>5562</v>
      </c>
      <c r="J258" s="7" t="s">
        <v>629</v>
      </c>
      <c r="K258" s="7" t="s">
        <v>5873</v>
      </c>
      <c r="L258" s="7" t="s">
        <v>5556</v>
      </c>
      <c r="M258" s="7" t="s">
        <v>5577</v>
      </c>
      <c r="N258" s="7"/>
    </row>
    <row r="259" customFormat="false" ht="58.5" hidden="false" customHeight="true" outlineLevel="0" collapsed="false">
      <c r="A259" s="7" t="s">
        <v>4354</v>
      </c>
      <c r="B259" s="7" t="s">
        <v>4355</v>
      </c>
      <c r="C259" s="7" t="s">
        <v>4081</v>
      </c>
      <c r="D259" s="7" t="s">
        <v>4356</v>
      </c>
      <c r="E259" s="7" t="s">
        <v>5551</v>
      </c>
      <c r="F259" s="7" t="s">
        <v>6372</v>
      </c>
      <c r="G259" s="7" t="s">
        <v>6373</v>
      </c>
      <c r="H259" s="7" t="s">
        <v>6374</v>
      </c>
      <c r="I259" s="12" t="s">
        <v>5562</v>
      </c>
      <c r="J259" s="7" t="s">
        <v>629</v>
      </c>
      <c r="K259" s="7" t="s">
        <v>5873</v>
      </c>
      <c r="L259" s="7" t="s">
        <v>5556</v>
      </c>
      <c r="M259" s="7" t="s">
        <v>5577</v>
      </c>
      <c r="N259" s="7"/>
    </row>
    <row r="260" customFormat="false" ht="39" hidden="false" customHeight="true" outlineLevel="0" collapsed="false">
      <c r="A260" s="7" t="s">
        <v>4359</v>
      </c>
      <c r="B260" s="7" t="s">
        <v>4360</v>
      </c>
      <c r="C260" s="7" t="s">
        <v>4081</v>
      </c>
      <c r="D260" s="7" t="s">
        <v>4361</v>
      </c>
      <c r="E260" s="7" t="s">
        <v>5551</v>
      </c>
      <c r="F260" s="7" t="s">
        <v>6375</v>
      </c>
      <c r="G260" s="7" t="s">
        <v>6376</v>
      </c>
      <c r="H260" s="7" t="s">
        <v>6377</v>
      </c>
      <c r="I260" s="11" t="s">
        <v>5555</v>
      </c>
      <c r="J260" s="7" t="s">
        <v>629</v>
      </c>
      <c r="K260" s="7" t="s">
        <v>5873</v>
      </c>
      <c r="L260" s="7" t="s">
        <v>5556</v>
      </c>
      <c r="M260" s="7" t="s">
        <v>5557</v>
      </c>
      <c r="N260" s="7" t="s">
        <v>6378</v>
      </c>
    </row>
    <row r="261" customFormat="false" ht="39" hidden="false" customHeight="true" outlineLevel="0" collapsed="false">
      <c r="A261" s="7" t="s">
        <v>4399</v>
      </c>
      <c r="B261" s="7" t="s">
        <v>4400</v>
      </c>
      <c r="C261" s="7" t="s">
        <v>4081</v>
      </c>
      <c r="D261" s="7" t="s">
        <v>4401</v>
      </c>
      <c r="E261" s="7" t="s">
        <v>5542</v>
      </c>
      <c r="F261" s="7" t="s">
        <v>6379</v>
      </c>
      <c r="G261" s="7" t="s">
        <v>6380</v>
      </c>
      <c r="H261" s="7" t="s">
        <v>6381</v>
      </c>
      <c r="I261" s="11" t="s">
        <v>5555</v>
      </c>
      <c r="J261" s="7" t="s">
        <v>2210</v>
      </c>
      <c r="K261" s="7" t="s">
        <v>5873</v>
      </c>
      <c r="L261" s="7" t="s">
        <v>5556</v>
      </c>
      <c r="M261" s="7" t="s">
        <v>5557</v>
      </c>
      <c r="N261" s="7" t="s">
        <v>6382</v>
      </c>
    </row>
    <row r="262" customFormat="false" ht="39" hidden="false" customHeight="true" outlineLevel="0" collapsed="false">
      <c r="A262" s="7" t="s">
        <v>4434</v>
      </c>
      <c r="B262" s="7" t="s">
        <v>4435</v>
      </c>
      <c r="C262" s="7" t="s">
        <v>4081</v>
      </c>
      <c r="D262" s="7" t="s">
        <v>4436</v>
      </c>
      <c r="E262" s="7" t="s">
        <v>5551</v>
      </c>
      <c r="F262" s="7" t="s">
        <v>6383</v>
      </c>
      <c r="G262" s="7" t="s">
        <v>6384</v>
      </c>
      <c r="H262" s="7" t="s">
        <v>6385</v>
      </c>
      <c r="I262" s="12" t="s">
        <v>5562</v>
      </c>
      <c r="J262" s="7" t="s">
        <v>319</v>
      </c>
      <c r="K262" s="7" t="s">
        <v>5873</v>
      </c>
      <c r="L262" s="7" t="s">
        <v>5548</v>
      </c>
      <c r="M262" s="7" t="s">
        <v>5557</v>
      </c>
      <c r="N262" s="7" t="s">
        <v>6386</v>
      </c>
    </row>
    <row r="263" customFormat="false" ht="58.5" hidden="false" customHeight="true" outlineLevel="0" collapsed="false">
      <c r="A263" s="7" t="s">
        <v>4444</v>
      </c>
      <c r="B263" s="7" t="s">
        <v>4445</v>
      </c>
      <c r="C263" s="7" t="s">
        <v>4081</v>
      </c>
      <c r="D263" s="7" t="s">
        <v>4446</v>
      </c>
      <c r="E263" s="7" t="s">
        <v>5551</v>
      </c>
      <c r="F263" s="7" t="s">
        <v>6387</v>
      </c>
      <c r="G263" s="7" t="s">
        <v>6388</v>
      </c>
      <c r="H263" s="7" t="s">
        <v>6389</v>
      </c>
      <c r="I263" s="12" t="s">
        <v>5562</v>
      </c>
      <c r="J263" s="7" t="s">
        <v>319</v>
      </c>
      <c r="K263" s="7" t="s">
        <v>5873</v>
      </c>
      <c r="L263" s="7" t="s">
        <v>5548</v>
      </c>
      <c r="M263" s="7" t="s">
        <v>5549</v>
      </c>
      <c r="N263" s="7" t="s">
        <v>4445</v>
      </c>
    </row>
    <row r="264" customFormat="false" ht="39" hidden="false" customHeight="true" outlineLevel="0" collapsed="false">
      <c r="A264" s="7" t="s">
        <v>4454</v>
      </c>
      <c r="B264" s="7" t="s">
        <v>4455</v>
      </c>
      <c r="C264" s="7" t="s">
        <v>4081</v>
      </c>
      <c r="D264" s="7" t="s">
        <v>4456</v>
      </c>
      <c r="E264" s="7" t="s">
        <v>5551</v>
      </c>
      <c r="F264" s="7" t="s">
        <v>6390</v>
      </c>
      <c r="G264" s="7" t="s">
        <v>6391</v>
      </c>
      <c r="H264" s="7" t="s">
        <v>6392</v>
      </c>
      <c r="I264" s="11" t="s">
        <v>5555</v>
      </c>
      <c r="J264" s="7" t="s">
        <v>2210</v>
      </c>
      <c r="K264" s="7" t="s">
        <v>5873</v>
      </c>
      <c r="L264" s="7" t="s">
        <v>5556</v>
      </c>
      <c r="M264" s="7" t="s">
        <v>5577</v>
      </c>
      <c r="N264" s="7"/>
    </row>
    <row r="265" customFormat="false" ht="39" hidden="false" customHeight="true" outlineLevel="0" collapsed="false">
      <c r="A265" s="7" t="s">
        <v>4459</v>
      </c>
      <c r="B265" s="7" t="s">
        <v>4460</v>
      </c>
      <c r="C265" s="7" t="s">
        <v>4081</v>
      </c>
      <c r="D265" s="7" t="s">
        <v>4461</v>
      </c>
      <c r="E265" s="7" t="s">
        <v>5551</v>
      </c>
      <c r="F265" s="7" t="s">
        <v>6393</v>
      </c>
      <c r="G265" s="7" t="s">
        <v>6394</v>
      </c>
      <c r="H265" s="7" t="s">
        <v>6395</v>
      </c>
      <c r="I265" s="12" t="s">
        <v>5562</v>
      </c>
      <c r="J265" s="7" t="s">
        <v>2210</v>
      </c>
      <c r="K265" s="7" t="s">
        <v>5873</v>
      </c>
      <c r="L265" s="7" t="s">
        <v>5548</v>
      </c>
      <c r="M265" s="7" t="s">
        <v>5549</v>
      </c>
      <c r="N265" s="7" t="s">
        <v>6396</v>
      </c>
    </row>
    <row r="266" customFormat="false" ht="39" hidden="false" customHeight="true" outlineLevel="0" collapsed="false">
      <c r="A266" s="7" t="s">
        <v>4501</v>
      </c>
      <c r="B266" s="7" t="s">
        <v>4502</v>
      </c>
      <c r="C266" s="7" t="s">
        <v>4081</v>
      </c>
      <c r="D266" s="7" t="s">
        <v>4503</v>
      </c>
      <c r="E266" s="7" t="s">
        <v>5551</v>
      </c>
      <c r="F266" s="7" t="s">
        <v>6397</v>
      </c>
      <c r="G266" s="7" t="s">
        <v>6398</v>
      </c>
      <c r="H266" s="7" t="s">
        <v>6399</v>
      </c>
      <c r="I266" s="11" t="s">
        <v>5555</v>
      </c>
      <c r="J266" s="7" t="s">
        <v>629</v>
      </c>
      <c r="K266" s="7" t="s">
        <v>5873</v>
      </c>
      <c r="L266" s="7" t="s">
        <v>5556</v>
      </c>
      <c r="M266" s="7" t="s">
        <v>5557</v>
      </c>
      <c r="N266" s="7"/>
    </row>
    <row r="267" customFormat="false" ht="39" hidden="false" customHeight="true" outlineLevel="0" collapsed="false">
      <c r="A267" s="7" t="s">
        <v>4507</v>
      </c>
      <c r="B267" s="7" t="s">
        <v>4508</v>
      </c>
      <c r="C267" s="7" t="s">
        <v>4081</v>
      </c>
      <c r="D267" s="7" t="s">
        <v>4509</v>
      </c>
      <c r="E267" s="7" t="s">
        <v>5551</v>
      </c>
      <c r="F267" s="7" t="s">
        <v>6400</v>
      </c>
      <c r="G267" s="7" t="s">
        <v>6401</v>
      </c>
      <c r="H267" s="7" t="s">
        <v>6402</v>
      </c>
      <c r="I267" s="11" t="s">
        <v>5555</v>
      </c>
      <c r="J267" s="7" t="s">
        <v>629</v>
      </c>
      <c r="K267" s="7" t="s">
        <v>5873</v>
      </c>
      <c r="L267" s="7" t="s">
        <v>5556</v>
      </c>
      <c r="M267" s="7" t="s">
        <v>5577</v>
      </c>
      <c r="N267" s="7"/>
    </row>
    <row r="268" customFormat="false" ht="58.5" hidden="false" customHeight="true" outlineLevel="0" collapsed="false">
      <c r="A268" s="7" t="s">
        <v>4577</v>
      </c>
      <c r="B268" s="7" t="s">
        <v>4578</v>
      </c>
      <c r="C268" s="7" t="s">
        <v>4081</v>
      </c>
      <c r="D268" s="7" t="s">
        <v>4579</v>
      </c>
      <c r="E268" s="7" t="s">
        <v>5542</v>
      </c>
      <c r="F268" s="7" t="s">
        <v>6403</v>
      </c>
      <c r="G268" s="7" t="s">
        <v>6404</v>
      </c>
      <c r="H268" s="7" t="s">
        <v>6282</v>
      </c>
      <c r="I268" s="12" t="s">
        <v>5562</v>
      </c>
      <c r="J268" s="7" t="s">
        <v>319</v>
      </c>
      <c r="K268" s="7" t="s">
        <v>5873</v>
      </c>
      <c r="L268" s="7" t="s">
        <v>5548</v>
      </c>
      <c r="M268" s="7" t="s">
        <v>5557</v>
      </c>
      <c r="N268" s="7"/>
    </row>
    <row r="269" customFormat="false" ht="58.5" hidden="false" customHeight="true" outlineLevel="0" collapsed="false">
      <c r="A269" s="7" t="s">
        <v>4607</v>
      </c>
      <c r="B269" s="7" t="s">
        <v>4608</v>
      </c>
      <c r="C269" s="7" t="s">
        <v>4081</v>
      </c>
      <c r="D269" s="7" t="s">
        <v>4609</v>
      </c>
      <c r="E269" s="7" t="s">
        <v>5573</v>
      </c>
      <c r="F269" s="7" t="s">
        <v>6405</v>
      </c>
      <c r="G269" s="7" t="s">
        <v>6406</v>
      </c>
      <c r="H269" s="7" t="s">
        <v>6407</v>
      </c>
      <c r="I269" s="10" t="s">
        <v>5546</v>
      </c>
      <c r="J269" s="7" t="s">
        <v>4487</v>
      </c>
      <c r="K269" s="7" t="s">
        <v>5873</v>
      </c>
      <c r="L269" s="7" t="s">
        <v>5548</v>
      </c>
      <c r="M269" s="7" t="s">
        <v>5549</v>
      </c>
      <c r="N269" s="7" t="s">
        <v>4608</v>
      </c>
    </row>
    <row r="270" customFormat="false" ht="58.5" hidden="false" customHeight="true" outlineLevel="0" collapsed="false">
      <c r="A270" s="7" t="s">
        <v>4612</v>
      </c>
      <c r="B270" s="7" t="s">
        <v>4613</v>
      </c>
      <c r="C270" s="7" t="s">
        <v>4081</v>
      </c>
      <c r="D270" s="7" t="s">
        <v>4614</v>
      </c>
      <c r="E270" s="7" t="s">
        <v>5542</v>
      </c>
      <c r="F270" s="7" t="s">
        <v>6408</v>
      </c>
      <c r="G270" s="7" t="s">
        <v>6409</v>
      </c>
      <c r="H270" s="7" t="s">
        <v>6410</v>
      </c>
      <c r="I270" s="10" t="s">
        <v>5546</v>
      </c>
      <c r="J270" s="7" t="s">
        <v>1671</v>
      </c>
      <c r="K270" s="7" t="s">
        <v>5873</v>
      </c>
      <c r="L270" s="7" t="s">
        <v>5581</v>
      </c>
      <c r="M270" s="7" t="s">
        <v>5577</v>
      </c>
      <c r="N270" s="7"/>
    </row>
    <row r="271" customFormat="false" ht="58.5" hidden="false" customHeight="true" outlineLevel="0" collapsed="false">
      <c r="A271" s="7" t="s">
        <v>4642</v>
      </c>
      <c r="B271" s="7" t="s">
        <v>4643</v>
      </c>
      <c r="C271" s="7" t="s">
        <v>4081</v>
      </c>
      <c r="D271" s="7" t="s">
        <v>4644</v>
      </c>
      <c r="E271" s="7" t="s">
        <v>5551</v>
      </c>
      <c r="F271" s="7" t="s">
        <v>6411</v>
      </c>
      <c r="G271" s="7" t="s">
        <v>6412</v>
      </c>
      <c r="H271" s="7" t="s">
        <v>6413</v>
      </c>
      <c r="I271" s="11" t="s">
        <v>5555</v>
      </c>
      <c r="J271" s="7" t="s">
        <v>749</v>
      </c>
      <c r="K271" s="7" t="s">
        <v>5873</v>
      </c>
      <c r="L271" s="7" t="s">
        <v>5548</v>
      </c>
      <c r="M271" s="7" t="s">
        <v>5557</v>
      </c>
      <c r="N271" s="7"/>
    </row>
    <row r="272" customFormat="false" ht="39" hidden="false" customHeight="true" outlineLevel="0" collapsed="false">
      <c r="A272" s="7" t="s">
        <v>4657</v>
      </c>
      <c r="B272" s="7" t="s">
        <v>4658</v>
      </c>
      <c r="C272" s="7" t="s">
        <v>4081</v>
      </c>
      <c r="D272" s="7" t="s">
        <v>4659</v>
      </c>
      <c r="E272" s="7" t="s">
        <v>5551</v>
      </c>
      <c r="F272" s="7" t="s">
        <v>6414</v>
      </c>
      <c r="G272" s="7" t="s">
        <v>6415</v>
      </c>
      <c r="H272" s="7" t="s">
        <v>6416</v>
      </c>
      <c r="I272" s="12" t="s">
        <v>5562</v>
      </c>
      <c r="J272" s="7" t="s">
        <v>319</v>
      </c>
      <c r="K272" s="7" t="s">
        <v>5873</v>
      </c>
      <c r="L272" s="7" t="s">
        <v>5548</v>
      </c>
      <c r="M272" s="7" t="s">
        <v>5549</v>
      </c>
      <c r="N272" s="7" t="s">
        <v>4658</v>
      </c>
    </row>
    <row r="273" customFormat="false" ht="39" hidden="false" customHeight="true" outlineLevel="0" collapsed="false">
      <c r="A273" s="7" t="s">
        <v>4667</v>
      </c>
      <c r="B273" s="7" t="s">
        <v>4668</v>
      </c>
      <c r="C273" s="7" t="s">
        <v>4081</v>
      </c>
      <c r="D273" s="7" t="s">
        <v>4669</v>
      </c>
      <c r="E273" s="7" t="s">
        <v>5551</v>
      </c>
      <c r="F273" s="7" t="s">
        <v>6417</v>
      </c>
      <c r="G273" s="7" t="s">
        <v>6418</v>
      </c>
      <c r="H273" s="7" t="s">
        <v>6419</v>
      </c>
      <c r="I273" s="10" t="s">
        <v>5546</v>
      </c>
      <c r="J273" s="7" t="s">
        <v>319</v>
      </c>
      <c r="K273" s="7" t="s">
        <v>5873</v>
      </c>
      <c r="L273" s="7" t="s">
        <v>5548</v>
      </c>
      <c r="M273" s="7" t="s">
        <v>5549</v>
      </c>
      <c r="N273" s="7" t="s">
        <v>6420</v>
      </c>
    </row>
    <row r="274" customFormat="false" ht="58.5" hidden="false" customHeight="true" outlineLevel="0" collapsed="false">
      <c r="A274" s="7" t="s">
        <v>4682</v>
      </c>
      <c r="B274" s="7" t="s">
        <v>4683</v>
      </c>
      <c r="C274" s="7" t="s">
        <v>4081</v>
      </c>
      <c r="D274" s="7" t="s">
        <v>4684</v>
      </c>
      <c r="E274" s="7" t="s">
        <v>5551</v>
      </c>
      <c r="F274" s="7" t="s">
        <v>6421</v>
      </c>
      <c r="G274" s="7" t="s">
        <v>6422</v>
      </c>
      <c r="H274" s="7" t="s">
        <v>6423</v>
      </c>
      <c r="I274" s="12" t="s">
        <v>5562</v>
      </c>
      <c r="J274" s="7" t="s">
        <v>1621</v>
      </c>
      <c r="K274" s="7" t="s">
        <v>5873</v>
      </c>
      <c r="L274" s="7" t="s">
        <v>5548</v>
      </c>
      <c r="M274" s="7" t="s">
        <v>5549</v>
      </c>
      <c r="N274" s="7" t="s">
        <v>4683</v>
      </c>
    </row>
    <row r="275" customFormat="false" ht="39" hidden="false" customHeight="true" outlineLevel="0" collapsed="false">
      <c r="A275" s="7" t="s">
        <v>4702</v>
      </c>
      <c r="B275" s="7" t="s">
        <v>4703</v>
      </c>
      <c r="C275" s="7" t="s">
        <v>4081</v>
      </c>
      <c r="D275" s="7" t="s">
        <v>4704</v>
      </c>
      <c r="E275" s="7" t="s">
        <v>5551</v>
      </c>
      <c r="F275" s="7" t="s">
        <v>6424</v>
      </c>
      <c r="G275" s="7" t="s">
        <v>6425</v>
      </c>
      <c r="H275" s="7" t="s">
        <v>6426</v>
      </c>
      <c r="I275" s="10" t="s">
        <v>5546</v>
      </c>
      <c r="J275" s="7" t="s">
        <v>1621</v>
      </c>
      <c r="K275" s="7" t="s">
        <v>5873</v>
      </c>
      <c r="L275" s="7" t="s">
        <v>5548</v>
      </c>
      <c r="M275" s="7" t="s">
        <v>5549</v>
      </c>
      <c r="N275" s="7" t="s">
        <v>6427</v>
      </c>
    </row>
    <row r="276" customFormat="false" ht="58.5" hidden="false" customHeight="true" outlineLevel="0" collapsed="false">
      <c r="A276" s="7" t="s">
        <v>4772</v>
      </c>
      <c r="B276" s="7" t="s">
        <v>4773</v>
      </c>
      <c r="C276" s="7" t="s">
        <v>4774</v>
      </c>
      <c r="D276" s="7" t="s">
        <v>163</v>
      </c>
      <c r="E276" s="7" t="s">
        <v>5542</v>
      </c>
      <c r="F276" s="7" t="s">
        <v>6428</v>
      </c>
      <c r="G276" s="7" t="s">
        <v>5863</v>
      </c>
      <c r="H276" s="7" t="s">
        <v>5766</v>
      </c>
      <c r="I276" s="10" t="s">
        <v>5546</v>
      </c>
      <c r="J276" s="7" t="s">
        <v>165</v>
      </c>
      <c r="K276" s="7" t="s">
        <v>6429</v>
      </c>
      <c r="L276" s="7" t="s">
        <v>5548</v>
      </c>
      <c r="M276" s="7" t="s">
        <v>5549</v>
      </c>
      <c r="N276" s="7" t="s">
        <v>6430</v>
      </c>
    </row>
    <row r="277" customFormat="false" ht="39" hidden="false" customHeight="true" outlineLevel="0" collapsed="false">
      <c r="A277" s="7" t="s">
        <v>4777</v>
      </c>
      <c r="B277" s="7" t="s">
        <v>4778</v>
      </c>
      <c r="C277" s="7" t="s">
        <v>4774</v>
      </c>
      <c r="D277" s="7" t="s">
        <v>4779</v>
      </c>
      <c r="E277" s="7" t="s">
        <v>5542</v>
      </c>
      <c r="F277" s="7" t="s">
        <v>6431</v>
      </c>
      <c r="G277" s="7" t="s">
        <v>6432</v>
      </c>
      <c r="H277" s="7" t="s">
        <v>6433</v>
      </c>
      <c r="I277" s="11" t="s">
        <v>5555</v>
      </c>
      <c r="J277" s="7" t="s">
        <v>4780</v>
      </c>
      <c r="K277" s="7" t="s">
        <v>6429</v>
      </c>
      <c r="L277" s="7" t="s">
        <v>5556</v>
      </c>
      <c r="M277" s="7" t="s">
        <v>5557</v>
      </c>
      <c r="N277" s="7" t="s">
        <v>6434</v>
      </c>
    </row>
    <row r="278" customFormat="false" ht="39" hidden="false" customHeight="true" outlineLevel="0" collapsed="false">
      <c r="A278" s="7" t="s">
        <v>4784</v>
      </c>
      <c r="B278" s="7" t="s">
        <v>4785</v>
      </c>
      <c r="C278" s="7" t="s">
        <v>4774</v>
      </c>
      <c r="D278" s="7" t="s">
        <v>4786</v>
      </c>
      <c r="E278" s="7" t="s">
        <v>5573</v>
      </c>
      <c r="F278" s="7" t="s">
        <v>6435</v>
      </c>
      <c r="G278" s="7" t="s">
        <v>6436</v>
      </c>
      <c r="H278" s="7" t="s">
        <v>6437</v>
      </c>
      <c r="I278" s="12" t="s">
        <v>5562</v>
      </c>
      <c r="J278" s="7" t="s">
        <v>4780</v>
      </c>
      <c r="K278" s="7" t="s">
        <v>6429</v>
      </c>
      <c r="L278" s="7" t="s">
        <v>5556</v>
      </c>
      <c r="M278" s="7" t="s">
        <v>5577</v>
      </c>
      <c r="N278" s="7"/>
    </row>
    <row r="279" customFormat="false" ht="39" hidden="false" customHeight="true" outlineLevel="0" collapsed="false">
      <c r="A279" s="7" t="s">
        <v>4794</v>
      </c>
      <c r="B279" s="7" t="s">
        <v>4795</v>
      </c>
      <c r="C279" s="7" t="s">
        <v>4774</v>
      </c>
      <c r="D279" s="7" t="s">
        <v>4796</v>
      </c>
      <c r="E279" s="7" t="s">
        <v>5573</v>
      </c>
      <c r="F279" s="7" t="s">
        <v>6438</v>
      </c>
      <c r="G279" s="7" t="s">
        <v>6439</v>
      </c>
      <c r="H279" s="7" t="s">
        <v>6440</v>
      </c>
      <c r="I279" s="12" t="s">
        <v>5562</v>
      </c>
      <c r="J279" s="7" t="s">
        <v>4780</v>
      </c>
      <c r="K279" s="7" t="s">
        <v>6429</v>
      </c>
      <c r="L279" s="7" t="s">
        <v>5548</v>
      </c>
      <c r="M279" s="7" t="s">
        <v>5557</v>
      </c>
      <c r="N279" s="7"/>
    </row>
    <row r="280" customFormat="false" ht="39" hidden="false" customHeight="true" outlineLevel="0" collapsed="false">
      <c r="A280" s="7" t="s">
        <v>4804</v>
      </c>
      <c r="B280" s="7" t="s">
        <v>4805</v>
      </c>
      <c r="C280" s="7" t="s">
        <v>4774</v>
      </c>
      <c r="D280" s="7" t="s">
        <v>4806</v>
      </c>
      <c r="E280" s="7" t="s">
        <v>5542</v>
      </c>
      <c r="F280" s="7" t="s">
        <v>6441</v>
      </c>
      <c r="G280" s="7" t="s">
        <v>6442</v>
      </c>
      <c r="H280" s="7" t="s">
        <v>6443</v>
      </c>
      <c r="I280" s="12" t="s">
        <v>5562</v>
      </c>
      <c r="J280" s="7" t="s">
        <v>4780</v>
      </c>
      <c r="K280" s="7" t="s">
        <v>6429</v>
      </c>
      <c r="L280" s="7" t="s">
        <v>6070</v>
      </c>
      <c r="M280" s="7" t="s">
        <v>5549</v>
      </c>
      <c r="N280" s="7" t="s">
        <v>6444</v>
      </c>
    </row>
    <row r="281" customFormat="false" ht="39" hidden="false" customHeight="true" outlineLevel="0" collapsed="false">
      <c r="A281" s="7" t="s">
        <v>4809</v>
      </c>
      <c r="B281" s="7" t="s">
        <v>4810</v>
      </c>
      <c r="C281" s="7" t="s">
        <v>4774</v>
      </c>
      <c r="D281" s="7" t="s">
        <v>4811</v>
      </c>
      <c r="E281" s="7" t="s">
        <v>6150</v>
      </c>
      <c r="F281" s="7" t="s">
        <v>6445</v>
      </c>
      <c r="G281" s="7" t="s">
        <v>6446</v>
      </c>
      <c r="H281" s="7" t="s">
        <v>6160</v>
      </c>
      <c r="I281" s="11" t="s">
        <v>5555</v>
      </c>
      <c r="J281" s="7" t="s">
        <v>4487</v>
      </c>
      <c r="K281" s="7" t="s">
        <v>6429</v>
      </c>
      <c r="L281" s="7" t="s">
        <v>5548</v>
      </c>
      <c r="M281" s="7" t="s">
        <v>5557</v>
      </c>
      <c r="N281" s="7" t="s">
        <v>6447</v>
      </c>
    </row>
    <row r="282" customFormat="false" ht="39" hidden="false" customHeight="true" outlineLevel="0" collapsed="false">
      <c r="A282" s="7" t="s">
        <v>4814</v>
      </c>
      <c r="B282" s="7" t="s">
        <v>4815</v>
      </c>
      <c r="C282" s="7" t="s">
        <v>4774</v>
      </c>
      <c r="D282" s="7" t="s">
        <v>4816</v>
      </c>
      <c r="E282" s="7" t="s">
        <v>5551</v>
      </c>
      <c r="F282" s="7" t="s">
        <v>6448</v>
      </c>
      <c r="G282" s="7" t="s">
        <v>6449</v>
      </c>
      <c r="H282" s="7" t="s">
        <v>6450</v>
      </c>
      <c r="I282" s="11" t="s">
        <v>5555</v>
      </c>
      <c r="J282" s="7" t="s">
        <v>4487</v>
      </c>
      <c r="K282" s="7" t="s">
        <v>6429</v>
      </c>
      <c r="L282" s="7" t="s">
        <v>5548</v>
      </c>
      <c r="M282" s="7" t="s">
        <v>5549</v>
      </c>
      <c r="N282" s="7" t="s">
        <v>6451</v>
      </c>
    </row>
    <row r="283" customFormat="false" ht="39" hidden="false" customHeight="true" outlineLevel="0" collapsed="false">
      <c r="A283" s="7" t="s">
        <v>4819</v>
      </c>
      <c r="B283" s="7" t="s">
        <v>4820</v>
      </c>
      <c r="C283" s="7" t="s">
        <v>4774</v>
      </c>
      <c r="D283" s="7" t="s">
        <v>4821</v>
      </c>
      <c r="E283" s="7" t="s">
        <v>5542</v>
      </c>
      <c r="F283" s="7" t="s">
        <v>6452</v>
      </c>
      <c r="G283" s="7" t="s">
        <v>6453</v>
      </c>
      <c r="H283" s="7" t="s">
        <v>6454</v>
      </c>
      <c r="I283" s="12" t="s">
        <v>5562</v>
      </c>
      <c r="J283" s="7" t="s">
        <v>4487</v>
      </c>
      <c r="K283" s="7" t="s">
        <v>6429</v>
      </c>
      <c r="L283" s="7" t="s">
        <v>5548</v>
      </c>
      <c r="M283" s="7" t="s">
        <v>5549</v>
      </c>
      <c r="N283" s="7" t="s">
        <v>6455</v>
      </c>
    </row>
    <row r="284" customFormat="false" ht="39" hidden="false" customHeight="true" outlineLevel="0" collapsed="false">
      <c r="A284" s="7" t="s">
        <v>4829</v>
      </c>
      <c r="B284" s="7" t="s">
        <v>4830</v>
      </c>
      <c r="C284" s="7" t="s">
        <v>4774</v>
      </c>
      <c r="D284" s="7" t="s">
        <v>4831</v>
      </c>
      <c r="E284" s="7" t="s">
        <v>5573</v>
      </c>
      <c r="F284" s="7" t="s">
        <v>6456</v>
      </c>
      <c r="G284" s="7" t="s">
        <v>6457</v>
      </c>
      <c r="H284" s="7" t="s">
        <v>6458</v>
      </c>
      <c r="I284" s="12" t="s">
        <v>5562</v>
      </c>
      <c r="J284" s="7" t="s">
        <v>4487</v>
      </c>
      <c r="K284" s="7" t="s">
        <v>6429</v>
      </c>
      <c r="L284" s="7" t="s">
        <v>5548</v>
      </c>
      <c r="M284" s="7" t="s">
        <v>5549</v>
      </c>
      <c r="N284" s="7" t="s">
        <v>6459</v>
      </c>
    </row>
    <row r="285" customFormat="false" ht="175.5" hidden="false" customHeight="true" outlineLevel="0" collapsed="false">
      <c r="A285" s="7" t="s">
        <v>4834</v>
      </c>
      <c r="B285" s="7" t="s">
        <v>4835</v>
      </c>
      <c r="C285" s="7" t="s">
        <v>4774</v>
      </c>
      <c r="D285" s="7" t="s">
        <v>4836</v>
      </c>
      <c r="E285" s="7" t="s">
        <v>5573</v>
      </c>
      <c r="F285" s="7" t="s">
        <v>6460</v>
      </c>
      <c r="G285" s="7" t="s">
        <v>6461</v>
      </c>
      <c r="H285" s="7" t="s">
        <v>6462</v>
      </c>
      <c r="I285" s="11" t="s">
        <v>5555</v>
      </c>
      <c r="J285" s="7" t="s">
        <v>4487</v>
      </c>
      <c r="K285" s="7" t="s">
        <v>6429</v>
      </c>
      <c r="L285" s="7" t="s">
        <v>5556</v>
      </c>
      <c r="M285" s="7" t="s">
        <v>5557</v>
      </c>
      <c r="N285" s="7" t="s">
        <v>6463</v>
      </c>
    </row>
    <row r="286" customFormat="false" ht="39" hidden="false" customHeight="true" outlineLevel="0" collapsed="false">
      <c r="A286" s="7" t="s">
        <v>4839</v>
      </c>
      <c r="B286" s="7" t="s">
        <v>4840</v>
      </c>
      <c r="C286" s="7" t="s">
        <v>4774</v>
      </c>
      <c r="D286" s="7" t="s">
        <v>4841</v>
      </c>
      <c r="E286" s="7" t="s">
        <v>5573</v>
      </c>
      <c r="F286" s="7" t="s">
        <v>6464</v>
      </c>
      <c r="G286" s="7" t="s">
        <v>6465</v>
      </c>
      <c r="H286" s="7" t="s">
        <v>6466</v>
      </c>
      <c r="I286" s="12" t="s">
        <v>5562</v>
      </c>
      <c r="J286" s="7" t="s">
        <v>4487</v>
      </c>
      <c r="K286" s="7" t="s">
        <v>6429</v>
      </c>
      <c r="L286" s="7" t="s">
        <v>5556</v>
      </c>
      <c r="M286" s="7" t="s">
        <v>5563</v>
      </c>
      <c r="N286" s="7" t="s">
        <v>6467</v>
      </c>
    </row>
    <row r="287" customFormat="false" ht="58.5" hidden="false" customHeight="true" outlineLevel="0" collapsed="false">
      <c r="A287" s="7" t="s">
        <v>4844</v>
      </c>
      <c r="B287" s="7" t="s">
        <v>4845</v>
      </c>
      <c r="C287" s="7" t="s">
        <v>4774</v>
      </c>
      <c r="D287" s="7" t="s">
        <v>4846</v>
      </c>
      <c r="E287" s="7" t="s">
        <v>5573</v>
      </c>
      <c r="F287" s="7" t="s">
        <v>6468</v>
      </c>
      <c r="G287" s="7" t="s">
        <v>6469</v>
      </c>
      <c r="H287" s="7" t="s">
        <v>6470</v>
      </c>
      <c r="I287" s="12" t="s">
        <v>5562</v>
      </c>
      <c r="J287" s="7" t="s">
        <v>4487</v>
      </c>
      <c r="K287" s="7" t="s">
        <v>6429</v>
      </c>
      <c r="L287" s="7" t="s">
        <v>5556</v>
      </c>
      <c r="M287" s="7" t="s">
        <v>5577</v>
      </c>
      <c r="N287" s="7"/>
    </row>
    <row r="288" customFormat="false" ht="39" hidden="false" customHeight="true" outlineLevel="0" collapsed="false">
      <c r="A288" s="7" t="s">
        <v>4854</v>
      </c>
      <c r="B288" s="7" t="s">
        <v>4855</v>
      </c>
      <c r="C288" s="7" t="s">
        <v>4774</v>
      </c>
      <c r="D288" s="7" t="s">
        <v>4856</v>
      </c>
      <c r="E288" s="7" t="s">
        <v>5573</v>
      </c>
      <c r="F288" s="7" t="s">
        <v>6471</v>
      </c>
      <c r="G288" s="7" t="s">
        <v>6472</v>
      </c>
      <c r="H288" s="7" t="s">
        <v>6473</v>
      </c>
      <c r="I288" s="12" t="s">
        <v>5562</v>
      </c>
      <c r="J288" s="7" t="s">
        <v>4487</v>
      </c>
      <c r="K288" s="7" t="s">
        <v>6429</v>
      </c>
      <c r="L288" s="7" t="s">
        <v>5556</v>
      </c>
      <c r="M288" s="7" t="s">
        <v>5557</v>
      </c>
      <c r="N288" s="7"/>
    </row>
    <row r="289" customFormat="false" ht="39" hidden="false" customHeight="true" outlineLevel="0" collapsed="false">
      <c r="A289" s="7" t="s">
        <v>4859</v>
      </c>
      <c r="B289" s="7" t="s">
        <v>4860</v>
      </c>
      <c r="C289" s="7" t="s">
        <v>4774</v>
      </c>
      <c r="D289" s="7" t="s">
        <v>4861</v>
      </c>
      <c r="E289" s="7" t="s">
        <v>5551</v>
      </c>
      <c r="F289" s="7" t="s">
        <v>6474</v>
      </c>
      <c r="G289" s="7" t="s">
        <v>6475</v>
      </c>
      <c r="H289" s="7" t="s">
        <v>6476</v>
      </c>
      <c r="I289" s="12" t="s">
        <v>5562</v>
      </c>
      <c r="J289" s="7" t="s">
        <v>4487</v>
      </c>
      <c r="K289" s="7" t="s">
        <v>6429</v>
      </c>
      <c r="L289" s="7" t="s">
        <v>5556</v>
      </c>
      <c r="M289" s="7" t="s">
        <v>5577</v>
      </c>
      <c r="N289" s="7"/>
    </row>
    <row r="290" customFormat="false" ht="39" hidden="false" customHeight="true" outlineLevel="0" collapsed="false">
      <c r="A290" s="7" t="s">
        <v>4864</v>
      </c>
      <c r="B290" s="7" t="s">
        <v>4865</v>
      </c>
      <c r="C290" s="7" t="s">
        <v>4774</v>
      </c>
      <c r="D290" s="7" t="s">
        <v>4866</v>
      </c>
      <c r="E290" s="7" t="s">
        <v>5542</v>
      </c>
      <c r="F290" s="7" t="s">
        <v>6477</v>
      </c>
      <c r="G290" s="7" t="s">
        <v>6478</v>
      </c>
      <c r="H290" s="7" t="s">
        <v>6084</v>
      </c>
      <c r="I290" s="12" t="s">
        <v>5562</v>
      </c>
      <c r="J290" s="7" t="s">
        <v>4487</v>
      </c>
      <c r="K290" s="7" t="s">
        <v>6429</v>
      </c>
      <c r="L290" s="7" t="s">
        <v>5548</v>
      </c>
      <c r="M290" s="7" t="s">
        <v>5549</v>
      </c>
      <c r="N290" s="7" t="s">
        <v>6479</v>
      </c>
    </row>
    <row r="291" customFormat="false" ht="39" hidden="false" customHeight="true" outlineLevel="0" collapsed="false">
      <c r="A291" s="7" t="s">
        <v>4879</v>
      </c>
      <c r="B291" s="7" t="s">
        <v>4880</v>
      </c>
      <c r="C291" s="7" t="s">
        <v>4774</v>
      </c>
      <c r="D291" s="7" t="s">
        <v>4881</v>
      </c>
      <c r="E291" s="7" t="s">
        <v>5573</v>
      </c>
      <c r="F291" s="7" t="s">
        <v>6480</v>
      </c>
      <c r="G291" s="7" t="s">
        <v>6481</v>
      </c>
      <c r="H291" s="7" t="s">
        <v>6482</v>
      </c>
      <c r="I291" s="12" t="s">
        <v>5562</v>
      </c>
      <c r="J291" s="7" t="s">
        <v>4487</v>
      </c>
      <c r="K291" s="7" t="s">
        <v>6429</v>
      </c>
      <c r="L291" s="7" t="s">
        <v>5556</v>
      </c>
      <c r="M291" s="7" t="s">
        <v>5577</v>
      </c>
      <c r="N291" s="7"/>
    </row>
    <row r="292" customFormat="false" ht="39" hidden="false" customHeight="true" outlineLevel="0" collapsed="false">
      <c r="A292" s="7" t="s">
        <v>4884</v>
      </c>
      <c r="B292" s="7" t="s">
        <v>4885</v>
      </c>
      <c r="C292" s="7" t="s">
        <v>4774</v>
      </c>
      <c r="D292" s="7" t="s">
        <v>4886</v>
      </c>
      <c r="E292" s="7" t="s">
        <v>5551</v>
      </c>
      <c r="F292" s="7" t="s">
        <v>6483</v>
      </c>
      <c r="G292" s="7" t="s">
        <v>6484</v>
      </c>
      <c r="H292" s="7" t="s">
        <v>6485</v>
      </c>
      <c r="I292" s="12" t="s">
        <v>5562</v>
      </c>
      <c r="J292" s="7" t="s">
        <v>4487</v>
      </c>
      <c r="K292" s="7" t="s">
        <v>6429</v>
      </c>
      <c r="L292" s="7" t="s">
        <v>5556</v>
      </c>
      <c r="M292" s="7" t="s">
        <v>5577</v>
      </c>
      <c r="N292" s="7"/>
    </row>
    <row r="293" customFormat="false" ht="39" hidden="false" customHeight="true" outlineLevel="0" collapsed="false">
      <c r="A293" s="7" t="s">
        <v>4894</v>
      </c>
      <c r="B293" s="7" t="s">
        <v>4895</v>
      </c>
      <c r="C293" s="7" t="s">
        <v>4774</v>
      </c>
      <c r="D293" s="7" t="s">
        <v>4896</v>
      </c>
      <c r="E293" s="7" t="s">
        <v>5573</v>
      </c>
      <c r="F293" s="7" t="s">
        <v>6486</v>
      </c>
      <c r="G293" s="7" t="s">
        <v>6487</v>
      </c>
      <c r="H293" s="7" t="s">
        <v>6488</v>
      </c>
      <c r="I293" s="12" t="s">
        <v>5562</v>
      </c>
      <c r="J293" s="7" t="s">
        <v>4487</v>
      </c>
      <c r="K293" s="7" t="s">
        <v>6429</v>
      </c>
      <c r="L293" s="7" t="s">
        <v>5548</v>
      </c>
      <c r="M293" s="7" t="s">
        <v>5549</v>
      </c>
      <c r="N293" s="7" t="s">
        <v>6489</v>
      </c>
    </row>
    <row r="294" customFormat="false" ht="39" hidden="false" customHeight="true" outlineLevel="0" collapsed="false">
      <c r="A294" s="7" t="s">
        <v>4909</v>
      </c>
      <c r="B294" s="7" t="s">
        <v>4910</v>
      </c>
      <c r="C294" s="7" t="s">
        <v>4774</v>
      </c>
      <c r="D294" s="7" t="s">
        <v>4911</v>
      </c>
      <c r="E294" s="7" t="s">
        <v>5542</v>
      </c>
      <c r="F294" s="7" t="s">
        <v>6490</v>
      </c>
      <c r="G294" s="7" t="s">
        <v>6491</v>
      </c>
      <c r="H294" s="7" t="s">
        <v>6492</v>
      </c>
      <c r="I294" s="12" t="s">
        <v>5562</v>
      </c>
      <c r="J294" s="7" t="s">
        <v>4487</v>
      </c>
      <c r="K294" s="7" t="s">
        <v>6429</v>
      </c>
      <c r="L294" s="7" t="s">
        <v>5548</v>
      </c>
      <c r="M294" s="7" t="s">
        <v>5549</v>
      </c>
      <c r="N294" s="7" t="s">
        <v>6493</v>
      </c>
    </row>
    <row r="295" customFormat="false" ht="39" hidden="false" customHeight="true" outlineLevel="0" collapsed="false">
      <c r="A295" s="7" t="s">
        <v>4914</v>
      </c>
      <c r="B295" s="7" t="s">
        <v>4915</v>
      </c>
      <c r="C295" s="7" t="s">
        <v>4774</v>
      </c>
      <c r="D295" s="7" t="s">
        <v>4916</v>
      </c>
      <c r="E295" s="7" t="s">
        <v>5573</v>
      </c>
      <c r="F295" s="7" t="s">
        <v>6494</v>
      </c>
      <c r="G295" s="7" t="s">
        <v>6495</v>
      </c>
      <c r="H295" s="7" t="s">
        <v>6496</v>
      </c>
      <c r="I295" s="12" t="s">
        <v>5562</v>
      </c>
      <c r="J295" s="7" t="s">
        <v>4487</v>
      </c>
      <c r="K295" s="7" t="s">
        <v>6429</v>
      </c>
      <c r="L295" s="7" t="s">
        <v>5556</v>
      </c>
      <c r="M295" s="7" t="s">
        <v>5577</v>
      </c>
      <c r="N295" s="7"/>
    </row>
    <row r="296" customFormat="false" ht="39" hidden="false" customHeight="true" outlineLevel="0" collapsed="false">
      <c r="A296" s="7" t="s">
        <v>4924</v>
      </c>
      <c r="B296" s="7" t="s">
        <v>4925</v>
      </c>
      <c r="C296" s="7" t="s">
        <v>4774</v>
      </c>
      <c r="D296" s="7" t="s">
        <v>4926</v>
      </c>
      <c r="E296" s="7" t="s">
        <v>5573</v>
      </c>
      <c r="F296" s="7" t="s">
        <v>6497</v>
      </c>
      <c r="G296" s="7" t="s">
        <v>6498</v>
      </c>
      <c r="H296" s="7" t="s">
        <v>6499</v>
      </c>
      <c r="I296" s="11" t="s">
        <v>5555</v>
      </c>
      <c r="J296" s="7" t="s">
        <v>4487</v>
      </c>
      <c r="K296" s="7" t="s">
        <v>6429</v>
      </c>
      <c r="L296" s="7" t="s">
        <v>5556</v>
      </c>
      <c r="M296" s="7" t="s">
        <v>5563</v>
      </c>
      <c r="N296" s="7" t="s">
        <v>6500</v>
      </c>
    </row>
    <row r="297" customFormat="false" ht="39" hidden="false" customHeight="true" outlineLevel="0" collapsed="false">
      <c r="A297" s="7" t="s">
        <v>4934</v>
      </c>
      <c r="B297" s="7" t="s">
        <v>4935</v>
      </c>
      <c r="C297" s="7" t="s">
        <v>4774</v>
      </c>
      <c r="D297" s="7" t="s">
        <v>4936</v>
      </c>
      <c r="E297" s="7" t="s">
        <v>5573</v>
      </c>
      <c r="F297" s="7" t="s">
        <v>6501</v>
      </c>
      <c r="G297" s="7" t="s">
        <v>6502</v>
      </c>
      <c r="H297" s="7" t="s">
        <v>6503</v>
      </c>
      <c r="I297" s="12" t="s">
        <v>5562</v>
      </c>
      <c r="J297" s="7" t="s">
        <v>4487</v>
      </c>
      <c r="K297" s="7" t="s">
        <v>6429</v>
      </c>
      <c r="L297" s="7" t="s">
        <v>5556</v>
      </c>
      <c r="M297" s="7" t="s">
        <v>5577</v>
      </c>
      <c r="N297" s="7"/>
    </row>
    <row r="298" customFormat="false" ht="39" hidden="false" customHeight="true" outlineLevel="0" collapsed="false">
      <c r="A298" s="7" t="s">
        <v>4949</v>
      </c>
      <c r="B298" s="7" t="s">
        <v>4950</v>
      </c>
      <c r="C298" s="7" t="s">
        <v>4774</v>
      </c>
      <c r="D298" s="7" t="s">
        <v>4951</v>
      </c>
      <c r="E298" s="7" t="s">
        <v>5551</v>
      </c>
      <c r="F298" s="7" t="s">
        <v>6504</v>
      </c>
      <c r="G298" s="7" t="s">
        <v>6505</v>
      </c>
      <c r="H298" s="7" t="s">
        <v>6506</v>
      </c>
      <c r="I298" s="12" t="s">
        <v>5562</v>
      </c>
      <c r="J298" s="7" t="s">
        <v>4487</v>
      </c>
      <c r="K298" s="7" t="s">
        <v>6429</v>
      </c>
      <c r="L298" s="7" t="s">
        <v>5556</v>
      </c>
      <c r="M298" s="7" t="s">
        <v>5577</v>
      </c>
      <c r="N298" s="7"/>
    </row>
    <row r="299" customFormat="false" ht="39" hidden="false" customHeight="true" outlineLevel="0" collapsed="false">
      <c r="A299" s="7" t="s">
        <v>4980</v>
      </c>
      <c r="B299" s="7" t="s">
        <v>4981</v>
      </c>
      <c r="C299" s="7" t="s">
        <v>4774</v>
      </c>
      <c r="D299" s="7" t="s">
        <v>4982</v>
      </c>
      <c r="E299" s="7" t="s">
        <v>5573</v>
      </c>
      <c r="F299" s="7" t="s">
        <v>6507</v>
      </c>
      <c r="G299" s="7" t="s">
        <v>6508</v>
      </c>
      <c r="H299" s="7" t="s">
        <v>6509</v>
      </c>
      <c r="I299" s="11" t="s">
        <v>5555</v>
      </c>
      <c r="J299" s="7" t="s">
        <v>629</v>
      </c>
      <c r="K299" s="7" t="s">
        <v>6429</v>
      </c>
      <c r="L299" s="7" t="s">
        <v>5548</v>
      </c>
      <c r="M299" s="7" t="s">
        <v>5557</v>
      </c>
      <c r="N299" s="7"/>
    </row>
    <row r="300" customFormat="false" ht="39" hidden="false" customHeight="true" outlineLevel="0" collapsed="false">
      <c r="A300" s="7" t="s">
        <v>4985</v>
      </c>
      <c r="B300" s="7" t="s">
        <v>4986</v>
      </c>
      <c r="C300" s="7" t="s">
        <v>4774</v>
      </c>
      <c r="D300" s="7" t="s">
        <v>4987</v>
      </c>
      <c r="E300" s="7" t="s">
        <v>5573</v>
      </c>
      <c r="F300" s="7" t="s">
        <v>6510</v>
      </c>
      <c r="G300" s="7" t="s">
        <v>6511</v>
      </c>
      <c r="H300" s="7" t="s">
        <v>6512</v>
      </c>
      <c r="I300" s="11" t="s">
        <v>5555</v>
      </c>
      <c r="J300" s="7" t="s">
        <v>629</v>
      </c>
      <c r="K300" s="7" t="s">
        <v>6429</v>
      </c>
      <c r="L300" s="7" t="s">
        <v>5556</v>
      </c>
      <c r="M300" s="7" t="s">
        <v>5577</v>
      </c>
      <c r="N300" s="7"/>
    </row>
    <row r="301" customFormat="false" ht="58.5" hidden="false" customHeight="true" outlineLevel="0" collapsed="false">
      <c r="A301" s="7" t="s">
        <v>5005</v>
      </c>
      <c r="B301" s="7" t="s">
        <v>5006</v>
      </c>
      <c r="C301" s="7" t="s">
        <v>4774</v>
      </c>
      <c r="D301" s="7" t="s">
        <v>5007</v>
      </c>
      <c r="E301" s="7" t="s">
        <v>5551</v>
      </c>
      <c r="F301" s="7" t="s">
        <v>6513</v>
      </c>
      <c r="G301" s="7" t="s">
        <v>6514</v>
      </c>
      <c r="H301" s="7" t="s">
        <v>6515</v>
      </c>
      <c r="I301" s="11" t="s">
        <v>5555</v>
      </c>
      <c r="J301" s="7" t="s">
        <v>629</v>
      </c>
      <c r="K301" s="7" t="s">
        <v>6429</v>
      </c>
      <c r="L301" s="7" t="s">
        <v>5556</v>
      </c>
      <c r="M301" s="7" t="s">
        <v>5563</v>
      </c>
      <c r="N301" s="7" t="s">
        <v>6516</v>
      </c>
    </row>
    <row r="302" customFormat="false" ht="58.5" hidden="false" customHeight="true" outlineLevel="0" collapsed="false">
      <c r="A302" s="7" t="s">
        <v>5010</v>
      </c>
      <c r="B302" s="7" t="s">
        <v>5011</v>
      </c>
      <c r="C302" s="7" t="s">
        <v>4774</v>
      </c>
      <c r="D302" s="7" t="s">
        <v>5012</v>
      </c>
      <c r="E302" s="7" t="s">
        <v>5542</v>
      </c>
      <c r="F302" s="7" t="s">
        <v>6517</v>
      </c>
      <c r="G302" s="7" t="s">
        <v>6518</v>
      </c>
      <c r="H302" s="7" t="s">
        <v>6519</v>
      </c>
      <c r="I302" s="12" t="s">
        <v>5562</v>
      </c>
      <c r="J302" s="7" t="s">
        <v>629</v>
      </c>
      <c r="K302" s="7" t="s">
        <v>6429</v>
      </c>
      <c r="L302" s="7" t="s">
        <v>5556</v>
      </c>
      <c r="M302" s="7" t="s">
        <v>5577</v>
      </c>
      <c r="N302" s="7"/>
    </row>
    <row r="303" customFormat="false" ht="58.5" hidden="false" customHeight="true" outlineLevel="0" collapsed="false">
      <c r="A303" s="7" t="s">
        <v>5015</v>
      </c>
      <c r="B303" s="7" t="s">
        <v>5016</v>
      </c>
      <c r="C303" s="7" t="s">
        <v>4774</v>
      </c>
      <c r="D303" s="7" t="s">
        <v>5017</v>
      </c>
      <c r="E303" s="7" t="s">
        <v>5573</v>
      </c>
      <c r="F303" s="7" t="s">
        <v>6520</v>
      </c>
      <c r="G303" s="7" t="s">
        <v>6521</v>
      </c>
      <c r="H303" s="7" t="s">
        <v>6522</v>
      </c>
      <c r="I303" s="11" t="s">
        <v>5555</v>
      </c>
      <c r="J303" s="7" t="s">
        <v>629</v>
      </c>
      <c r="K303" s="7" t="s">
        <v>6429</v>
      </c>
      <c r="L303" s="7" t="s">
        <v>5556</v>
      </c>
      <c r="M303" s="7" t="s">
        <v>5577</v>
      </c>
      <c r="N303" s="7"/>
    </row>
    <row r="304" customFormat="false" ht="39" hidden="false" customHeight="true" outlineLevel="0" collapsed="false">
      <c r="A304" s="7" t="s">
        <v>5020</v>
      </c>
      <c r="B304" s="7" t="s">
        <v>5021</v>
      </c>
      <c r="C304" s="7" t="s">
        <v>4774</v>
      </c>
      <c r="D304" s="7" t="s">
        <v>5022</v>
      </c>
      <c r="E304" s="7" t="s">
        <v>5551</v>
      </c>
      <c r="F304" s="7" t="s">
        <v>6523</v>
      </c>
      <c r="G304" s="7" t="s">
        <v>6524</v>
      </c>
      <c r="H304" s="7" t="s">
        <v>6525</v>
      </c>
      <c r="I304" s="11" t="s">
        <v>5555</v>
      </c>
      <c r="J304" s="7" t="s">
        <v>629</v>
      </c>
      <c r="K304" s="7" t="s">
        <v>6429</v>
      </c>
      <c r="L304" s="7" t="s">
        <v>5548</v>
      </c>
      <c r="M304" s="7" t="s">
        <v>5557</v>
      </c>
      <c r="N304" s="7"/>
    </row>
    <row r="305" customFormat="false" ht="58.5" hidden="false" customHeight="true" outlineLevel="0" collapsed="false">
      <c r="A305" s="7" t="s">
        <v>5065</v>
      </c>
      <c r="B305" s="7" t="s">
        <v>5066</v>
      </c>
      <c r="C305" s="7" t="s">
        <v>4774</v>
      </c>
      <c r="D305" s="7" t="s">
        <v>5067</v>
      </c>
      <c r="E305" s="7" t="s">
        <v>6150</v>
      </c>
      <c r="F305" s="7" t="s">
        <v>6526</v>
      </c>
      <c r="G305" s="7" t="s">
        <v>6527</v>
      </c>
      <c r="H305" s="7" t="s">
        <v>6528</v>
      </c>
      <c r="I305" s="12" t="s">
        <v>5562</v>
      </c>
      <c r="J305" s="7" t="s">
        <v>4487</v>
      </c>
      <c r="K305" s="7" t="s">
        <v>6429</v>
      </c>
      <c r="L305" s="7" t="s">
        <v>5548</v>
      </c>
      <c r="M305" s="7" t="s">
        <v>5549</v>
      </c>
      <c r="N305" s="7" t="s">
        <v>6529</v>
      </c>
    </row>
    <row r="306" customFormat="false" ht="39" hidden="false" customHeight="true" outlineLevel="0" collapsed="false">
      <c r="A306" s="7" t="s">
        <v>5075</v>
      </c>
      <c r="B306" s="7" t="s">
        <v>5076</v>
      </c>
      <c r="C306" s="7" t="s">
        <v>4774</v>
      </c>
      <c r="D306" s="7" t="s">
        <v>5077</v>
      </c>
      <c r="E306" s="7" t="s">
        <v>5573</v>
      </c>
      <c r="F306" s="7" t="s">
        <v>6530</v>
      </c>
      <c r="G306" s="7" t="s">
        <v>6531</v>
      </c>
      <c r="H306" s="7" t="s">
        <v>6532</v>
      </c>
      <c r="I306" s="10" t="s">
        <v>5546</v>
      </c>
      <c r="J306" s="7" t="s">
        <v>4487</v>
      </c>
      <c r="K306" s="7" t="s">
        <v>6429</v>
      </c>
      <c r="L306" s="7" t="s">
        <v>5548</v>
      </c>
      <c r="M306" s="7" t="s">
        <v>5549</v>
      </c>
      <c r="N306" s="7" t="s">
        <v>6533</v>
      </c>
    </row>
    <row r="307" customFormat="false" ht="39" hidden="false" customHeight="true" outlineLevel="0" collapsed="false">
      <c r="A307" s="7" t="s">
        <v>5085</v>
      </c>
      <c r="B307" s="7" t="s">
        <v>5086</v>
      </c>
      <c r="C307" s="7" t="s">
        <v>4774</v>
      </c>
      <c r="D307" s="7" t="s">
        <v>5087</v>
      </c>
      <c r="E307" s="7" t="s">
        <v>5551</v>
      </c>
      <c r="F307" s="7" t="s">
        <v>6534</v>
      </c>
      <c r="G307" s="7" t="s">
        <v>6535</v>
      </c>
      <c r="H307" s="7" t="s">
        <v>6536</v>
      </c>
      <c r="I307" s="11" t="s">
        <v>5555</v>
      </c>
      <c r="J307" s="7" t="s">
        <v>3542</v>
      </c>
      <c r="K307" s="7" t="s">
        <v>6429</v>
      </c>
      <c r="L307" s="7" t="s">
        <v>5548</v>
      </c>
      <c r="M307" s="7" t="s">
        <v>5557</v>
      </c>
      <c r="N307" s="7" t="s">
        <v>6537</v>
      </c>
    </row>
    <row r="308" customFormat="false" ht="39" hidden="false" customHeight="true" outlineLevel="0" collapsed="false">
      <c r="A308" s="7" t="s">
        <v>5125</v>
      </c>
      <c r="B308" s="7" t="s">
        <v>5126</v>
      </c>
      <c r="C308" s="7" t="s">
        <v>4774</v>
      </c>
      <c r="D308" s="7" t="s">
        <v>5127</v>
      </c>
      <c r="E308" s="7" t="s">
        <v>5551</v>
      </c>
      <c r="F308" s="7" t="s">
        <v>6538</v>
      </c>
      <c r="G308" s="7" t="s">
        <v>6539</v>
      </c>
      <c r="H308" s="7" t="s">
        <v>6540</v>
      </c>
      <c r="I308" s="12" t="s">
        <v>5562</v>
      </c>
      <c r="J308" s="7" t="s">
        <v>629</v>
      </c>
      <c r="K308" s="7" t="s">
        <v>6429</v>
      </c>
      <c r="L308" s="7" t="s">
        <v>5556</v>
      </c>
      <c r="M308" s="7" t="s">
        <v>5557</v>
      </c>
      <c r="N308" s="7"/>
    </row>
    <row r="309" customFormat="false" ht="78" hidden="false" customHeight="true" outlineLevel="0" collapsed="false">
      <c r="A309" s="7" t="s">
        <v>5135</v>
      </c>
      <c r="B309" s="7" t="s">
        <v>5136</v>
      </c>
      <c r="C309" s="7" t="s">
        <v>4774</v>
      </c>
      <c r="D309" s="7" t="s">
        <v>5137</v>
      </c>
      <c r="E309" s="7" t="s">
        <v>5551</v>
      </c>
      <c r="F309" s="7" t="s">
        <v>6541</v>
      </c>
      <c r="G309" s="7" t="s">
        <v>6542</v>
      </c>
      <c r="H309" s="7" t="s">
        <v>6252</v>
      </c>
      <c r="I309" s="10" t="s">
        <v>5546</v>
      </c>
      <c r="J309" s="7" t="s">
        <v>629</v>
      </c>
      <c r="K309" s="7" t="s">
        <v>6429</v>
      </c>
      <c r="L309" s="7" t="s">
        <v>5548</v>
      </c>
      <c r="M309" s="7" t="s">
        <v>5549</v>
      </c>
      <c r="N309" s="7" t="s">
        <v>6543</v>
      </c>
    </row>
    <row r="310" customFormat="false" ht="39" hidden="false" customHeight="true" outlineLevel="0" collapsed="false">
      <c r="A310" s="7" t="s">
        <v>5165</v>
      </c>
      <c r="B310" s="7" t="s">
        <v>5166</v>
      </c>
      <c r="C310" s="7" t="s">
        <v>4774</v>
      </c>
      <c r="D310" s="7" t="s">
        <v>5167</v>
      </c>
      <c r="E310" s="7" t="s">
        <v>5551</v>
      </c>
      <c r="F310" s="7" t="s">
        <v>6544</v>
      </c>
      <c r="G310" s="7" t="s">
        <v>6545</v>
      </c>
      <c r="H310" s="7" t="s">
        <v>6546</v>
      </c>
      <c r="I310" s="10" t="s">
        <v>5546</v>
      </c>
      <c r="J310" s="7" t="s">
        <v>1671</v>
      </c>
      <c r="K310" s="7" t="s">
        <v>6429</v>
      </c>
      <c r="L310" s="7" t="s">
        <v>5581</v>
      </c>
      <c r="M310" s="7" t="s">
        <v>5563</v>
      </c>
      <c r="N310" s="7" t="s">
        <v>6547</v>
      </c>
    </row>
    <row r="311" customFormat="false" ht="58.5" hidden="false" customHeight="true" outlineLevel="0" collapsed="false">
      <c r="A311" s="7" t="s">
        <v>5170</v>
      </c>
      <c r="B311" s="7" t="s">
        <v>5171</v>
      </c>
      <c r="C311" s="7" t="s">
        <v>4774</v>
      </c>
      <c r="D311" s="7" t="s">
        <v>5172</v>
      </c>
      <c r="E311" s="7" t="s">
        <v>5551</v>
      </c>
      <c r="F311" s="7" t="s">
        <v>6548</v>
      </c>
      <c r="G311" s="7" t="s">
        <v>6549</v>
      </c>
      <c r="H311" s="7" t="s">
        <v>6550</v>
      </c>
      <c r="I311" s="10" t="s">
        <v>5546</v>
      </c>
      <c r="J311" s="7" t="s">
        <v>749</v>
      </c>
      <c r="K311" s="7" t="s">
        <v>6429</v>
      </c>
      <c r="L311" s="7" t="s">
        <v>5548</v>
      </c>
      <c r="M311" s="7" t="s">
        <v>5549</v>
      </c>
      <c r="N311" s="7" t="s">
        <v>5171</v>
      </c>
    </row>
    <row r="312" customFormat="false" ht="39" hidden="false" customHeight="true" outlineLevel="0" collapsed="false">
      <c r="A312" s="7" t="s">
        <v>5205</v>
      </c>
      <c r="B312" s="7" t="s">
        <v>5206</v>
      </c>
      <c r="C312" s="7" t="s">
        <v>4774</v>
      </c>
      <c r="D312" s="7" t="s">
        <v>5207</v>
      </c>
      <c r="E312" s="7" t="s">
        <v>5542</v>
      </c>
      <c r="F312" s="7" t="s">
        <v>6551</v>
      </c>
      <c r="G312" s="7" t="s">
        <v>6552</v>
      </c>
      <c r="H312" s="7" t="s">
        <v>6553</v>
      </c>
      <c r="I312" s="10" t="s">
        <v>5546</v>
      </c>
      <c r="J312" s="7" t="s">
        <v>3153</v>
      </c>
      <c r="K312" s="7" t="s">
        <v>6429</v>
      </c>
      <c r="L312" s="7" t="s">
        <v>5548</v>
      </c>
      <c r="M312" s="7" t="s">
        <v>5549</v>
      </c>
      <c r="N312" s="7" t="s">
        <v>6554</v>
      </c>
    </row>
    <row r="313" customFormat="false" ht="39" hidden="false" customHeight="true" outlineLevel="0" collapsed="false">
      <c r="A313" s="7" t="s">
        <v>5280</v>
      </c>
      <c r="B313" s="7" t="s">
        <v>5281</v>
      </c>
      <c r="C313" s="7" t="s">
        <v>4774</v>
      </c>
      <c r="D313" s="7" t="s">
        <v>5282</v>
      </c>
      <c r="E313" s="7" t="s">
        <v>5573</v>
      </c>
      <c r="F313" s="7" t="s">
        <v>6555</v>
      </c>
      <c r="G313" s="7" t="s">
        <v>6556</v>
      </c>
      <c r="H313" s="7" t="s">
        <v>6557</v>
      </c>
      <c r="I313" s="10" t="s">
        <v>5546</v>
      </c>
      <c r="J313" s="7" t="s">
        <v>567</v>
      </c>
      <c r="K313" s="7" t="s">
        <v>6429</v>
      </c>
      <c r="L313" s="7" t="s">
        <v>5556</v>
      </c>
      <c r="M313" s="7" t="s">
        <v>5577</v>
      </c>
      <c r="N313" s="7"/>
    </row>
  </sheetData>
  <autoFilter ref="A29:N313"/>
  <mergeCells count="24">
    <mergeCell ref="A1:J1"/>
    <mergeCell ref="A2:J2"/>
    <mergeCell ref="A3:J3"/>
    <mergeCell ref="A4:J4"/>
    <mergeCell ref="A5:J5"/>
    <mergeCell ref="A6:J6"/>
    <mergeCell ref="A8:J8"/>
    <mergeCell ref="A9:J9"/>
    <mergeCell ref="A10:J10"/>
    <mergeCell ref="A11:J11"/>
    <mergeCell ref="A12:J12"/>
    <mergeCell ref="A14:J14"/>
    <mergeCell ref="F15:J15"/>
    <mergeCell ref="F16:J16"/>
    <mergeCell ref="F17:J17"/>
    <mergeCell ref="F18:J18"/>
    <mergeCell ref="F19:J19"/>
    <mergeCell ref="F20:J20"/>
    <mergeCell ref="F21:J21"/>
    <mergeCell ref="F22:J22"/>
    <mergeCell ref="F23:J23"/>
    <mergeCell ref="F24:J24"/>
    <mergeCell ref="F25:J25"/>
    <mergeCell ref="F26:J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44"/>
    <col collapsed="false" customWidth="true" hidden="false" outlineLevel="0" max="5" min="5" style="1" width="15"/>
    <col collapsed="false" customWidth="true" hidden="false" outlineLevel="0" max="6" min="6" style="1" width="62"/>
    <col collapsed="false" customWidth="true" hidden="false" outlineLevel="0" max="7" min="7" style="1" width="58"/>
    <col collapsed="false" customWidth="true" hidden="false" outlineLevel="0" max="8" min="8" style="1" width="36"/>
    <col collapsed="false" customWidth="true" hidden="false" outlineLevel="0" max="9" min="9" style="1" width="18"/>
    <col collapsed="false" customWidth="true" hidden="false" outlineLevel="0" max="10" min="10" style="1" width="16"/>
  </cols>
  <sheetData>
    <row r="1" customFormat="false" ht="31.5" hidden="false" customHeight="true" outlineLevel="0" collapsed="false">
      <c r="A1" s="2" t="s">
        <v>6558</v>
      </c>
      <c r="B1" s="2"/>
      <c r="C1" s="2"/>
      <c r="D1" s="2"/>
      <c r="E1" s="2"/>
      <c r="F1" s="2"/>
      <c r="G1" s="2"/>
      <c r="H1" s="2"/>
      <c r="I1" s="2"/>
      <c r="J1" s="2"/>
    </row>
    <row r="2" customFormat="false" ht="45.75" hidden="false" customHeight="true" outlineLevel="0" collapsed="false">
      <c r="A2" s="3" t="s">
        <v>6559</v>
      </c>
      <c r="B2" s="3"/>
      <c r="C2" s="3"/>
      <c r="D2" s="3"/>
      <c r="E2" s="3"/>
      <c r="F2" s="3"/>
      <c r="G2" s="3"/>
      <c r="H2" s="3"/>
      <c r="I2" s="3"/>
      <c r="J2" s="3"/>
    </row>
    <row r="3" customFormat="false" ht="45.75" hidden="false" customHeight="true" outlineLevel="0" collapsed="false">
      <c r="A3" s="3" t="s">
        <v>6560</v>
      </c>
      <c r="B3" s="3"/>
      <c r="C3" s="3"/>
      <c r="D3" s="3"/>
      <c r="E3" s="3"/>
      <c r="F3" s="3"/>
      <c r="G3" s="3"/>
      <c r="H3" s="3"/>
      <c r="I3" s="3"/>
      <c r="J3" s="3"/>
    </row>
    <row r="4" customFormat="false" ht="45.75" hidden="false" customHeight="true" outlineLevel="0" collapsed="false">
      <c r="A4" s="3" t="s">
        <v>6561</v>
      </c>
      <c r="B4" s="3"/>
      <c r="C4" s="3"/>
      <c r="D4" s="3"/>
      <c r="E4" s="3"/>
      <c r="F4" s="3"/>
      <c r="G4" s="3"/>
      <c r="H4" s="3"/>
      <c r="I4" s="3"/>
      <c r="J4" s="3"/>
    </row>
    <row r="5" customFormat="false" ht="45.75" hidden="false" customHeight="true" outlineLevel="0" collapsed="false">
      <c r="A5" s="3" t="s">
        <v>6562</v>
      </c>
      <c r="B5" s="3"/>
      <c r="C5" s="3"/>
      <c r="D5" s="3"/>
      <c r="E5" s="3"/>
      <c r="F5" s="3"/>
      <c r="G5" s="3"/>
      <c r="H5" s="3"/>
      <c r="I5" s="3"/>
      <c r="J5" s="3"/>
    </row>
    <row r="6" customFormat="false" ht="17.25" hidden="false" customHeight="true" outlineLevel="0" collapsed="false"/>
    <row r="7" customFormat="false" ht="18" hidden="false" customHeight="true" outlineLevel="0" collapsed="false">
      <c r="A7" s="26" t="s">
        <v>5514</v>
      </c>
      <c r="B7" s="26"/>
      <c r="C7" s="26"/>
      <c r="D7" s="26"/>
      <c r="E7" s="26"/>
      <c r="F7" s="26"/>
      <c r="G7" s="26"/>
      <c r="H7" s="26"/>
      <c r="I7" s="26"/>
      <c r="J7" s="26"/>
    </row>
    <row r="8" customFormat="false" ht="24" hidden="false" customHeight="true" outlineLevel="0" collapsed="false">
      <c r="A8" s="3" t="s">
        <v>5515</v>
      </c>
      <c r="B8" s="3"/>
      <c r="C8" s="3"/>
      <c r="D8" s="3"/>
      <c r="E8" s="3"/>
      <c r="F8" s="3"/>
      <c r="G8" s="3"/>
      <c r="H8" s="3"/>
      <c r="I8" s="3"/>
      <c r="J8" s="3"/>
    </row>
    <row r="9" customFormat="false" ht="24" hidden="false" customHeight="true" outlineLevel="0" collapsed="false">
      <c r="A9" s="3" t="s">
        <v>5516</v>
      </c>
      <c r="B9" s="3"/>
      <c r="C9" s="3"/>
      <c r="D9" s="3"/>
      <c r="E9" s="3"/>
      <c r="F9" s="3"/>
      <c r="G9" s="3"/>
      <c r="H9" s="3"/>
      <c r="I9" s="3"/>
      <c r="J9" s="3"/>
    </row>
    <row r="10" customFormat="false" ht="24" hidden="false" customHeight="true" outlineLevel="0" collapsed="false">
      <c r="A10" s="3" t="s">
        <v>5517</v>
      </c>
      <c r="B10" s="3"/>
      <c r="C10" s="3"/>
      <c r="D10" s="3"/>
      <c r="E10" s="3"/>
      <c r="F10" s="3"/>
      <c r="G10" s="3"/>
      <c r="H10" s="3"/>
      <c r="I10" s="3"/>
      <c r="J10" s="3"/>
    </row>
    <row r="11" customFormat="false" ht="24" hidden="false" customHeight="true" outlineLevel="0" collapsed="false">
      <c r="A11" s="3" t="s">
        <v>5518</v>
      </c>
      <c r="B11" s="3"/>
      <c r="C11" s="3"/>
      <c r="D11" s="3"/>
      <c r="E11" s="3"/>
      <c r="F11" s="3"/>
      <c r="G11" s="3"/>
      <c r="H11" s="3"/>
      <c r="I11" s="3"/>
      <c r="J11" s="3"/>
    </row>
    <row r="12" customFormat="false" ht="17.25" hidden="false" customHeight="true" outlineLevel="0" collapsed="false"/>
    <row r="13" customFormat="false" ht="27.75" hidden="false" customHeight="true" outlineLevel="0" collapsed="false">
      <c r="A13" s="5" t="s">
        <v>5519</v>
      </c>
      <c r="B13" s="5"/>
      <c r="C13" s="5"/>
      <c r="D13" s="5"/>
      <c r="E13" s="5"/>
      <c r="F13" s="5"/>
      <c r="G13" s="5"/>
      <c r="H13" s="5"/>
      <c r="I13" s="5"/>
      <c r="J13" s="5"/>
    </row>
    <row r="14" customFormat="false" ht="18" hidden="false" customHeight="true" outlineLevel="0" collapsed="false">
      <c r="A14" s="6" t="s">
        <v>5520</v>
      </c>
      <c r="B14" s="6" t="s">
        <v>5521</v>
      </c>
      <c r="C14" s="6" t="s">
        <v>132</v>
      </c>
      <c r="D14" s="6" t="s">
        <v>138</v>
      </c>
      <c r="E14" s="6" t="s">
        <v>144</v>
      </c>
      <c r="F14" s="6" t="s">
        <v>5522</v>
      </c>
      <c r="G14" s="6"/>
      <c r="H14" s="6"/>
      <c r="I14" s="6"/>
      <c r="J14" s="6"/>
    </row>
    <row r="15" customFormat="false" ht="45.75" hidden="false" customHeight="true" outlineLevel="0" collapsed="false">
      <c r="A15" s="7" t="s">
        <v>162</v>
      </c>
      <c r="B15" s="7" t="n">
        <f aca="false">COUNTIF($C$26:$C$95,$A15)</f>
        <v>13</v>
      </c>
      <c r="C15" s="7" t="n">
        <f aca="false">COUNTIFS($C$26:$C$95,$A15,$I$26:$I$95,"Level 1*")</f>
        <v>12</v>
      </c>
      <c r="D15" s="7" t="n">
        <f aca="false">COUNTIFS($C$26:$C$95,$A15,$I$26:$I$95,"Level 2*")</f>
        <v>1</v>
      </c>
      <c r="E15" s="7" t="n">
        <f aca="false">COUNTIFS($C$26:$C$95,$A15,$I$26:$I$95,"Level 3*")</f>
        <v>0</v>
      </c>
      <c r="F15" s="7" t="s">
        <v>6563</v>
      </c>
      <c r="G15" s="7"/>
      <c r="H15" s="7"/>
      <c r="I15" s="7"/>
      <c r="J15" s="7"/>
    </row>
    <row r="16" customFormat="false" ht="45.75" hidden="false" customHeight="true" outlineLevel="0" collapsed="false">
      <c r="A16" s="7" t="s">
        <v>923</v>
      </c>
      <c r="B16" s="7" t="n">
        <f aca="false">COUNTIF($C$26:$C$95,$A16)</f>
        <v>9</v>
      </c>
      <c r="C16" s="7" t="n">
        <f aca="false">COUNTIFS($C$26:$C$95,$A16,$I$26:$I$95,"Level 1*")</f>
        <v>6</v>
      </c>
      <c r="D16" s="7" t="n">
        <f aca="false">COUNTIFS($C$26:$C$95,$A16,$I$26:$I$95,"Level 2*")</f>
        <v>3</v>
      </c>
      <c r="E16" s="7" t="n">
        <f aca="false">COUNTIFS($C$26:$C$95,$A16,$I$26:$I$95,"Level 3*")</f>
        <v>0</v>
      </c>
      <c r="F16" s="7" t="s">
        <v>6564</v>
      </c>
      <c r="G16" s="7"/>
      <c r="H16" s="7"/>
      <c r="I16" s="7"/>
      <c r="J16" s="7"/>
    </row>
    <row r="17" customFormat="false" ht="45.75" hidden="false" customHeight="true" outlineLevel="0" collapsed="false">
      <c r="A17" s="7" t="s">
        <v>1229</v>
      </c>
      <c r="B17" s="7" t="n">
        <f aca="false">COUNTIF($C$26:$C$95,$A17)</f>
        <v>3</v>
      </c>
      <c r="C17" s="7" t="n">
        <f aca="false">COUNTIFS($C$26:$C$95,$A17,$I$26:$I$95,"Level 1*")</f>
        <v>0</v>
      </c>
      <c r="D17" s="7" t="n">
        <f aca="false">COUNTIFS($C$26:$C$95,$A17,$I$26:$I$95,"Level 2*")</f>
        <v>3</v>
      </c>
      <c r="E17" s="7" t="n">
        <f aca="false">COUNTIFS($C$26:$C$95,$A17,$I$26:$I$95,"Level 3*")</f>
        <v>0</v>
      </c>
      <c r="F17" s="7" t="s">
        <v>6565</v>
      </c>
      <c r="G17" s="7"/>
      <c r="H17" s="7"/>
      <c r="I17" s="7"/>
      <c r="J17" s="7"/>
    </row>
    <row r="18" customFormat="false" ht="45.75" hidden="false" customHeight="true" outlineLevel="0" collapsed="false">
      <c r="A18" s="7" t="s">
        <v>1367</v>
      </c>
      <c r="B18" s="7" t="n">
        <f aca="false">COUNTIF($C$26:$C$95,$A18)</f>
        <v>11</v>
      </c>
      <c r="C18" s="7" t="n">
        <f aca="false">COUNTIFS($C$26:$C$95,$A18,$I$26:$I$95,"Level 1*")</f>
        <v>6</v>
      </c>
      <c r="D18" s="7" t="n">
        <f aca="false">COUNTIFS($C$26:$C$95,$A18,$I$26:$I$95,"Level 2*")</f>
        <v>5</v>
      </c>
      <c r="E18" s="7" t="n">
        <f aca="false">COUNTIFS($C$26:$C$95,$A18,$I$26:$I$95,"Level 3*")</f>
        <v>0</v>
      </c>
      <c r="F18" s="7" t="s">
        <v>6566</v>
      </c>
      <c r="G18" s="7"/>
      <c r="H18" s="7"/>
      <c r="I18" s="7"/>
      <c r="J18" s="7"/>
    </row>
    <row r="19" customFormat="false" ht="45.75" hidden="false" customHeight="true" outlineLevel="0" collapsed="false">
      <c r="A19" s="7" t="s">
        <v>1920</v>
      </c>
      <c r="B19" s="7" t="n">
        <f aca="false">COUNTIF($C$26:$C$95,$A19)</f>
        <v>7</v>
      </c>
      <c r="C19" s="7" t="n">
        <f aca="false">COUNTIFS($C$26:$C$95,$A19,$I$26:$I$95,"Level 1*")</f>
        <v>5</v>
      </c>
      <c r="D19" s="7" t="n">
        <f aca="false">COUNTIFS($C$26:$C$95,$A19,$I$26:$I$95,"Level 2*")</f>
        <v>2</v>
      </c>
      <c r="E19" s="7" t="n">
        <f aca="false">COUNTIFS($C$26:$C$95,$A19,$I$26:$I$95,"Level 3*")</f>
        <v>0</v>
      </c>
      <c r="F19" s="7" t="s">
        <v>6567</v>
      </c>
      <c r="G19" s="7"/>
      <c r="H19" s="7"/>
      <c r="I19" s="7"/>
      <c r="J19" s="7"/>
    </row>
    <row r="20" customFormat="false" ht="45.75" hidden="false" customHeight="true" outlineLevel="0" collapsed="false">
      <c r="A20" s="7" t="s">
        <v>3415</v>
      </c>
      <c r="B20" s="7" t="n">
        <f aca="false">COUNTIF($C$26:$C$95,$A20)</f>
        <v>2</v>
      </c>
      <c r="C20" s="7" t="n">
        <f aca="false">COUNTIFS($C$26:$C$95,$A20,$I$26:$I$95,"Level 1*")</f>
        <v>2</v>
      </c>
      <c r="D20" s="7" t="n">
        <f aca="false">COUNTIFS($C$26:$C$95,$A20,$I$26:$I$95,"Level 2*")</f>
        <v>0</v>
      </c>
      <c r="E20" s="7" t="n">
        <f aca="false">COUNTIFS($C$26:$C$95,$A20,$I$26:$I$95,"Level 3*")</f>
        <v>0</v>
      </c>
      <c r="F20" s="7" t="s">
        <v>6568</v>
      </c>
      <c r="G20" s="7"/>
      <c r="H20" s="7"/>
      <c r="I20" s="7"/>
      <c r="J20" s="7"/>
    </row>
    <row r="21" customFormat="false" ht="45.75" hidden="false" customHeight="true" outlineLevel="0" collapsed="false">
      <c r="A21" s="7" t="s">
        <v>4081</v>
      </c>
      <c r="B21" s="7" t="n">
        <f aca="false">COUNTIF($C$26:$C$95,$A21)</f>
        <v>16</v>
      </c>
      <c r="C21" s="7" t="n">
        <f aca="false">COUNTIFS($C$26:$C$95,$A21,$I$26:$I$95,"Level 1*")</f>
        <v>7</v>
      </c>
      <c r="D21" s="7" t="n">
        <f aca="false">COUNTIFS($C$26:$C$95,$A21,$I$26:$I$95,"Level 2*")</f>
        <v>9</v>
      </c>
      <c r="E21" s="7" t="n">
        <f aca="false">COUNTIFS($C$26:$C$95,$A21,$I$26:$I$95,"Level 3*")</f>
        <v>0</v>
      </c>
      <c r="F21" s="7" t="s">
        <v>6569</v>
      </c>
      <c r="G21" s="7"/>
      <c r="H21" s="7"/>
      <c r="I21" s="7"/>
      <c r="J21" s="7"/>
    </row>
    <row r="22" customFormat="false" ht="45.75" hidden="false" customHeight="true" outlineLevel="0" collapsed="false">
      <c r="A22" s="7" t="s">
        <v>4774</v>
      </c>
      <c r="B22" s="7" t="n">
        <f aca="false">COUNTIF($C$26:$C$95,$A22)</f>
        <v>9</v>
      </c>
      <c r="C22" s="7" t="n">
        <f aca="false">COUNTIFS($C$26:$C$95,$A22,$I$26:$I$95,"Level 1*")</f>
        <v>5</v>
      </c>
      <c r="D22" s="7" t="n">
        <f aca="false">COUNTIFS($C$26:$C$95,$A22,$I$26:$I$95,"Level 2*")</f>
        <v>4</v>
      </c>
      <c r="E22" s="7" t="n">
        <f aca="false">COUNTIFS($C$26:$C$95,$A22,$I$26:$I$95,"Level 3*")</f>
        <v>0</v>
      </c>
      <c r="F22" s="7" t="s">
        <v>6570</v>
      </c>
      <c r="G22" s="7"/>
      <c r="H22" s="7"/>
      <c r="I22" s="7"/>
      <c r="J22" s="7"/>
    </row>
    <row r="23" customFormat="false" ht="18" hidden="false" customHeight="true" outlineLevel="0" collapsed="false">
      <c r="A23" s="22" t="s">
        <v>5446</v>
      </c>
      <c r="B23" s="22" t="n">
        <f aca="false">SUM(B15:B22)</f>
        <v>70</v>
      </c>
      <c r="C23" s="22" t="n">
        <f aca="false">SUM(C15:C22)</f>
        <v>43</v>
      </c>
      <c r="D23" s="22" t="n">
        <f aca="false">SUM(D15:D22)</f>
        <v>27</v>
      </c>
      <c r="E23" s="22" t="n">
        <f aca="false">SUM(E15:E22)</f>
        <v>0</v>
      </c>
    </row>
    <row r="24" customFormat="false" ht="17.25" hidden="false" customHeight="true" outlineLevel="0" collapsed="false"/>
    <row r="25" customFormat="false" ht="39.75" hidden="false" customHeight="true" outlineLevel="0" collapsed="false">
      <c r="A25" s="8" t="s">
        <v>150</v>
      </c>
      <c r="B25" s="8" t="s">
        <v>151</v>
      </c>
      <c r="C25" s="8" t="s">
        <v>10</v>
      </c>
      <c r="D25" s="8" t="s">
        <v>152</v>
      </c>
      <c r="E25" s="8" t="s">
        <v>5534</v>
      </c>
      <c r="F25" s="8" t="s">
        <v>5535</v>
      </c>
      <c r="G25" s="8" t="s">
        <v>5536</v>
      </c>
      <c r="H25" s="8" t="s">
        <v>5537</v>
      </c>
      <c r="I25" s="8" t="s">
        <v>126</v>
      </c>
      <c r="J25" s="8" t="s">
        <v>154</v>
      </c>
    </row>
    <row r="26" customFormat="false" ht="52.5" hidden="false" customHeight="true" outlineLevel="0" collapsed="false">
      <c r="A26" s="7" t="s">
        <v>171</v>
      </c>
      <c r="B26" s="7" t="s">
        <v>172</v>
      </c>
      <c r="C26" s="7" t="s">
        <v>162</v>
      </c>
      <c r="D26" s="7" t="s">
        <v>173</v>
      </c>
      <c r="E26" s="7" t="s">
        <v>5551</v>
      </c>
      <c r="F26" s="7" t="s">
        <v>6571</v>
      </c>
      <c r="G26" s="7" t="s">
        <v>6572</v>
      </c>
      <c r="H26" s="7" t="s">
        <v>6573</v>
      </c>
      <c r="I26" s="11" t="s">
        <v>5555</v>
      </c>
      <c r="J26" s="7" t="s">
        <v>175</v>
      </c>
    </row>
    <row r="27" customFormat="false" ht="35.25" hidden="false" customHeight="true" outlineLevel="0" collapsed="false">
      <c r="A27" s="7" t="s">
        <v>242</v>
      </c>
      <c r="B27" s="7" t="s">
        <v>243</v>
      </c>
      <c r="C27" s="7" t="s">
        <v>162</v>
      </c>
      <c r="D27" s="7" t="s">
        <v>244</v>
      </c>
      <c r="E27" s="7" t="s">
        <v>5551</v>
      </c>
      <c r="F27" s="7" t="s">
        <v>6574</v>
      </c>
      <c r="G27" s="7" t="s">
        <v>6575</v>
      </c>
      <c r="H27" s="7" t="s">
        <v>6576</v>
      </c>
      <c r="I27" s="11" t="s">
        <v>5555</v>
      </c>
      <c r="J27" s="7" t="s">
        <v>245</v>
      </c>
    </row>
    <row r="28" customFormat="false" ht="35.25" hidden="false" customHeight="true" outlineLevel="0" collapsed="false">
      <c r="A28" s="7" t="s">
        <v>315</v>
      </c>
      <c r="B28" s="7" t="s">
        <v>316</v>
      </c>
      <c r="C28" s="7" t="s">
        <v>162</v>
      </c>
      <c r="D28" s="7" t="s">
        <v>317</v>
      </c>
      <c r="E28" s="7" t="s">
        <v>5551</v>
      </c>
      <c r="F28" s="7" t="s">
        <v>6577</v>
      </c>
      <c r="G28" s="7" t="s">
        <v>6578</v>
      </c>
      <c r="H28" s="7" t="s">
        <v>6579</v>
      </c>
      <c r="I28" s="11" t="s">
        <v>5555</v>
      </c>
      <c r="J28" s="7" t="s">
        <v>319</v>
      </c>
    </row>
    <row r="29" customFormat="false" ht="35.25" hidden="false" customHeight="true" outlineLevel="0" collapsed="false">
      <c r="A29" s="7" t="s">
        <v>480</v>
      </c>
      <c r="B29" s="7" t="s">
        <v>481</v>
      </c>
      <c r="C29" s="7" t="s">
        <v>162</v>
      </c>
      <c r="D29" s="7" t="s">
        <v>482</v>
      </c>
      <c r="E29" s="7" t="s">
        <v>5551</v>
      </c>
      <c r="F29" s="7" t="s">
        <v>6580</v>
      </c>
      <c r="G29" s="7" t="s">
        <v>6581</v>
      </c>
      <c r="H29" s="7" t="s">
        <v>6582</v>
      </c>
      <c r="I29" s="11" t="s">
        <v>5555</v>
      </c>
      <c r="J29" s="7" t="s">
        <v>245</v>
      </c>
    </row>
    <row r="30" customFormat="false" ht="35.25" hidden="false" customHeight="true" outlineLevel="0" collapsed="false">
      <c r="A30" s="7" t="s">
        <v>495</v>
      </c>
      <c r="B30" s="7" t="s">
        <v>496</v>
      </c>
      <c r="C30" s="7" t="s">
        <v>162</v>
      </c>
      <c r="D30" s="7" t="s">
        <v>497</v>
      </c>
      <c r="E30" s="7" t="s">
        <v>5551</v>
      </c>
      <c r="F30" s="7" t="s">
        <v>6583</v>
      </c>
      <c r="G30" s="7" t="s">
        <v>6584</v>
      </c>
      <c r="H30" s="7" t="s">
        <v>6585</v>
      </c>
      <c r="I30" s="11" t="s">
        <v>5555</v>
      </c>
      <c r="J30" s="7" t="s">
        <v>245</v>
      </c>
    </row>
    <row r="31" customFormat="false" ht="18" hidden="false" customHeight="true" outlineLevel="0" collapsed="false">
      <c r="A31" s="7" t="s">
        <v>525</v>
      </c>
      <c r="B31" s="7" t="s">
        <v>526</v>
      </c>
      <c r="C31" s="7" t="s">
        <v>162</v>
      </c>
      <c r="D31" s="7" t="s">
        <v>527</v>
      </c>
      <c r="E31" s="7" t="s">
        <v>5573</v>
      </c>
      <c r="F31" s="7" t="s">
        <v>6586</v>
      </c>
      <c r="G31" s="7" t="s">
        <v>6587</v>
      </c>
      <c r="H31" s="7" t="s">
        <v>6588</v>
      </c>
      <c r="I31" s="11" t="s">
        <v>5555</v>
      </c>
      <c r="J31" s="7" t="s">
        <v>245</v>
      </c>
    </row>
    <row r="32" customFormat="false" ht="18" hidden="false" customHeight="true" outlineLevel="0" collapsed="false">
      <c r="A32" s="7" t="s">
        <v>535</v>
      </c>
      <c r="B32" s="7" t="s">
        <v>536</v>
      </c>
      <c r="C32" s="7" t="s">
        <v>162</v>
      </c>
      <c r="D32" s="7" t="s">
        <v>537</v>
      </c>
      <c r="E32" s="7" t="s">
        <v>5551</v>
      </c>
      <c r="F32" s="7" t="s">
        <v>6589</v>
      </c>
      <c r="G32" s="7" t="s">
        <v>6590</v>
      </c>
      <c r="H32" s="7" t="s">
        <v>6591</v>
      </c>
      <c r="I32" s="11" t="s">
        <v>5555</v>
      </c>
      <c r="J32" s="7" t="s">
        <v>538</v>
      </c>
    </row>
    <row r="33" customFormat="false" ht="18" hidden="false" customHeight="true" outlineLevel="0" collapsed="false">
      <c r="A33" s="7" t="s">
        <v>557</v>
      </c>
      <c r="B33" s="7" t="s">
        <v>558</v>
      </c>
      <c r="C33" s="7" t="s">
        <v>162</v>
      </c>
      <c r="D33" s="7" t="s">
        <v>559</v>
      </c>
      <c r="E33" s="7" t="s">
        <v>5551</v>
      </c>
      <c r="F33" s="7" t="s">
        <v>6592</v>
      </c>
      <c r="G33" s="7" t="s">
        <v>6593</v>
      </c>
      <c r="H33" s="7" t="s">
        <v>6594</v>
      </c>
      <c r="I33" s="12" t="s">
        <v>5562</v>
      </c>
      <c r="J33" s="7" t="s">
        <v>165</v>
      </c>
    </row>
    <row r="34" customFormat="false" ht="18" hidden="false" customHeight="true" outlineLevel="0" collapsed="false">
      <c r="A34" s="7" t="s">
        <v>609</v>
      </c>
      <c r="B34" s="7" t="s">
        <v>610</v>
      </c>
      <c r="C34" s="7" t="s">
        <v>162</v>
      </c>
      <c r="D34" s="7" t="s">
        <v>611</v>
      </c>
      <c r="E34" s="7" t="s">
        <v>5551</v>
      </c>
      <c r="F34" s="7" t="s">
        <v>6595</v>
      </c>
      <c r="G34" s="7" t="s">
        <v>6596</v>
      </c>
      <c r="H34" s="7" t="s">
        <v>6597</v>
      </c>
      <c r="I34" s="11" t="s">
        <v>5555</v>
      </c>
      <c r="J34" s="7" t="s">
        <v>538</v>
      </c>
    </row>
    <row r="35" customFormat="false" ht="35.25" hidden="false" customHeight="true" outlineLevel="0" collapsed="false">
      <c r="A35" s="7" t="s">
        <v>683</v>
      </c>
      <c r="B35" s="7" t="s">
        <v>684</v>
      </c>
      <c r="C35" s="7" t="s">
        <v>162</v>
      </c>
      <c r="D35" s="7" t="s">
        <v>685</v>
      </c>
      <c r="E35" s="7" t="s">
        <v>5551</v>
      </c>
      <c r="F35" s="7" t="s">
        <v>6598</v>
      </c>
      <c r="G35" s="7" t="s">
        <v>6599</v>
      </c>
      <c r="H35" s="7" t="s">
        <v>6600</v>
      </c>
      <c r="I35" s="11" t="s">
        <v>5555</v>
      </c>
      <c r="J35" s="7" t="s">
        <v>319</v>
      </c>
    </row>
    <row r="36" customFormat="false" ht="35.25" hidden="false" customHeight="true" outlineLevel="0" collapsed="false">
      <c r="A36" s="7" t="s">
        <v>694</v>
      </c>
      <c r="B36" s="7" t="s">
        <v>695</v>
      </c>
      <c r="C36" s="7" t="s">
        <v>162</v>
      </c>
      <c r="D36" s="7" t="s">
        <v>696</v>
      </c>
      <c r="E36" s="7" t="s">
        <v>5551</v>
      </c>
      <c r="F36" s="7" t="s">
        <v>6601</v>
      </c>
      <c r="G36" s="7" t="s">
        <v>6602</v>
      </c>
      <c r="H36" s="7" t="s">
        <v>6603</v>
      </c>
      <c r="I36" s="11" t="s">
        <v>5555</v>
      </c>
      <c r="J36" s="7" t="s">
        <v>319</v>
      </c>
    </row>
    <row r="37" customFormat="false" ht="35.25" hidden="false" customHeight="true" outlineLevel="0" collapsed="false">
      <c r="A37" s="7" t="s">
        <v>719</v>
      </c>
      <c r="B37" s="7" t="s">
        <v>720</v>
      </c>
      <c r="C37" s="7" t="s">
        <v>162</v>
      </c>
      <c r="D37" s="7" t="s">
        <v>721</v>
      </c>
      <c r="E37" s="7" t="s">
        <v>5551</v>
      </c>
      <c r="F37" s="7" t="s">
        <v>6604</v>
      </c>
      <c r="G37" s="7" t="s">
        <v>6605</v>
      </c>
      <c r="H37" s="7" t="s">
        <v>6606</v>
      </c>
      <c r="I37" s="11" t="s">
        <v>5555</v>
      </c>
      <c r="J37" s="7" t="s">
        <v>319</v>
      </c>
    </row>
    <row r="38" customFormat="false" ht="35.25" hidden="false" customHeight="true" outlineLevel="0" collapsed="false">
      <c r="A38" s="7" t="s">
        <v>725</v>
      </c>
      <c r="B38" s="7" t="s">
        <v>726</v>
      </c>
      <c r="C38" s="7" t="s">
        <v>162</v>
      </c>
      <c r="D38" s="7" t="s">
        <v>727</v>
      </c>
      <c r="E38" s="7" t="s">
        <v>5551</v>
      </c>
      <c r="F38" s="7" t="s">
        <v>6607</v>
      </c>
      <c r="G38" s="7" t="s">
        <v>6608</v>
      </c>
      <c r="H38" s="7" t="s">
        <v>6609</v>
      </c>
      <c r="I38" s="11" t="s">
        <v>5555</v>
      </c>
      <c r="J38" s="7" t="s">
        <v>319</v>
      </c>
    </row>
    <row r="39" customFormat="false" ht="35.25" hidden="false" customHeight="true" outlineLevel="0" collapsed="false">
      <c r="A39" s="7" t="s">
        <v>926</v>
      </c>
      <c r="B39" s="7" t="s">
        <v>927</v>
      </c>
      <c r="C39" s="7" t="s">
        <v>923</v>
      </c>
      <c r="D39" s="7" t="s">
        <v>928</v>
      </c>
      <c r="E39" s="7" t="s">
        <v>5573</v>
      </c>
      <c r="F39" s="7" t="s">
        <v>6610</v>
      </c>
      <c r="G39" s="7" t="s">
        <v>6611</v>
      </c>
      <c r="H39" s="7" t="s">
        <v>6612</v>
      </c>
      <c r="I39" s="11" t="s">
        <v>5555</v>
      </c>
      <c r="J39" s="7" t="s">
        <v>929</v>
      </c>
    </row>
    <row r="40" customFormat="false" ht="35.25" hidden="false" customHeight="true" outlineLevel="0" collapsed="false">
      <c r="A40" s="7" t="s">
        <v>939</v>
      </c>
      <c r="B40" s="7" t="s">
        <v>940</v>
      </c>
      <c r="C40" s="7" t="s">
        <v>923</v>
      </c>
      <c r="D40" s="7" t="s">
        <v>941</v>
      </c>
      <c r="E40" s="7" t="s">
        <v>5551</v>
      </c>
      <c r="F40" s="7" t="s">
        <v>6613</v>
      </c>
      <c r="G40" s="7" t="s">
        <v>6614</v>
      </c>
      <c r="H40" s="7" t="s">
        <v>6615</v>
      </c>
      <c r="I40" s="11" t="s">
        <v>5555</v>
      </c>
      <c r="J40" s="7" t="s">
        <v>929</v>
      </c>
    </row>
    <row r="41" customFormat="false" ht="18" hidden="false" customHeight="true" outlineLevel="0" collapsed="false">
      <c r="A41" s="7" t="s">
        <v>954</v>
      </c>
      <c r="B41" s="7" t="s">
        <v>955</v>
      </c>
      <c r="C41" s="7" t="s">
        <v>923</v>
      </c>
      <c r="D41" s="7" t="s">
        <v>956</v>
      </c>
      <c r="E41" s="7" t="s">
        <v>5551</v>
      </c>
      <c r="F41" s="7" t="s">
        <v>6616</v>
      </c>
      <c r="G41" s="7" t="s">
        <v>6617</v>
      </c>
      <c r="H41" s="7" t="s">
        <v>6618</v>
      </c>
      <c r="I41" s="12" t="s">
        <v>5562</v>
      </c>
      <c r="J41" s="7" t="s">
        <v>957</v>
      </c>
    </row>
    <row r="42" customFormat="false" ht="18" hidden="false" customHeight="true" outlineLevel="0" collapsed="false">
      <c r="A42" s="7" t="s">
        <v>966</v>
      </c>
      <c r="B42" s="7" t="s">
        <v>967</v>
      </c>
      <c r="C42" s="7" t="s">
        <v>923</v>
      </c>
      <c r="D42" s="7" t="s">
        <v>968</v>
      </c>
      <c r="E42" s="7" t="s">
        <v>5551</v>
      </c>
      <c r="F42" s="7" t="s">
        <v>6619</v>
      </c>
      <c r="G42" s="7" t="s">
        <v>6620</v>
      </c>
      <c r="H42" s="7" t="s">
        <v>5789</v>
      </c>
      <c r="I42" s="11" t="s">
        <v>5555</v>
      </c>
      <c r="J42" s="7" t="s">
        <v>969</v>
      </c>
    </row>
    <row r="43" customFormat="false" ht="35.25" hidden="false" customHeight="true" outlineLevel="0" collapsed="false">
      <c r="A43" s="7" t="s">
        <v>998</v>
      </c>
      <c r="B43" s="7" t="s">
        <v>999</v>
      </c>
      <c r="C43" s="7" t="s">
        <v>923</v>
      </c>
      <c r="D43" s="7" t="s">
        <v>1000</v>
      </c>
      <c r="E43" s="7" t="s">
        <v>5542</v>
      </c>
      <c r="F43" s="7" t="s">
        <v>6621</v>
      </c>
      <c r="G43" s="7" t="s">
        <v>6622</v>
      </c>
      <c r="H43" s="7" t="s">
        <v>6623</v>
      </c>
      <c r="I43" s="12" t="s">
        <v>5562</v>
      </c>
      <c r="J43" s="7" t="s">
        <v>1002</v>
      </c>
    </row>
    <row r="44" customFormat="false" ht="35.25" hidden="false" customHeight="true" outlineLevel="0" collapsed="false">
      <c r="A44" s="7" t="s">
        <v>1060</v>
      </c>
      <c r="B44" s="7" t="s">
        <v>1061</v>
      </c>
      <c r="C44" s="7" t="s">
        <v>923</v>
      </c>
      <c r="D44" s="7" t="s">
        <v>1062</v>
      </c>
      <c r="E44" s="7" t="s">
        <v>5551</v>
      </c>
      <c r="F44" s="7" t="s">
        <v>6624</v>
      </c>
      <c r="G44" s="7" t="s">
        <v>6625</v>
      </c>
      <c r="H44" s="7" t="s">
        <v>6626</v>
      </c>
      <c r="I44" s="11" t="s">
        <v>5555</v>
      </c>
      <c r="J44" s="7" t="s">
        <v>929</v>
      </c>
    </row>
    <row r="45" customFormat="false" ht="35.25" hidden="false" customHeight="true" outlineLevel="0" collapsed="false">
      <c r="A45" s="7" t="s">
        <v>1065</v>
      </c>
      <c r="B45" s="7" t="s">
        <v>1066</v>
      </c>
      <c r="C45" s="7" t="s">
        <v>923</v>
      </c>
      <c r="D45" s="7" t="s">
        <v>1067</v>
      </c>
      <c r="E45" s="7" t="s">
        <v>5551</v>
      </c>
      <c r="F45" s="7" t="s">
        <v>6627</v>
      </c>
      <c r="G45" s="7" t="s">
        <v>6628</v>
      </c>
      <c r="H45" s="7" t="s">
        <v>6629</v>
      </c>
      <c r="I45" s="11" t="s">
        <v>5555</v>
      </c>
      <c r="J45" s="7" t="s">
        <v>929</v>
      </c>
    </row>
    <row r="46" customFormat="false" ht="18" hidden="false" customHeight="true" outlineLevel="0" collapsed="false">
      <c r="A46" s="7" t="s">
        <v>1131</v>
      </c>
      <c r="B46" s="7" t="s">
        <v>1132</v>
      </c>
      <c r="C46" s="7" t="s">
        <v>923</v>
      </c>
      <c r="D46" s="7" t="s">
        <v>1133</v>
      </c>
      <c r="E46" s="7" t="s">
        <v>5551</v>
      </c>
      <c r="F46" s="7" t="s">
        <v>6630</v>
      </c>
      <c r="G46" s="7" t="s">
        <v>6631</v>
      </c>
      <c r="H46" s="7" t="s">
        <v>5842</v>
      </c>
      <c r="I46" s="12" t="s">
        <v>5562</v>
      </c>
      <c r="J46" s="7" t="s">
        <v>1134</v>
      </c>
    </row>
    <row r="47" customFormat="false" ht="35.25" hidden="false" customHeight="true" outlineLevel="0" collapsed="false">
      <c r="A47" s="7" t="s">
        <v>1143</v>
      </c>
      <c r="B47" s="7" t="s">
        <v>1144</v>
      </c>
      <c r="C47" s="7" t="s">
        <v>923</v>
      </c>
      <c r="D47" s="7" t="s">
        <v>1145</v>
      </c>
      <c r="E47" s="7" t="s">
        <v>5573</v>
      </c>
      <c r="F47" s="7" t="s">
        <v>6632</v>
      </c>
      <c r="G47" s="7" t="s">
        <v>6633</v>
      </c>
      <c r="H47" s="7" t="s">
        <v>6634</v>
      </c>
      <c r="I47" s="11" t="s">
        <v>5555</v>
      </c>
      <c r="J47" s="7" t="s">
        <v>929</v>
      </c>
    </row>
    <row r="48" customFormat="false" ht="35.25" hidden="false" customHeight="true" outlineLevel="0" collapsed="false">
      <c r="A48" s="7" t="s">
        <v>1256</v>
      </c>
      <c r="B48" s="7" t="s">
        <v>1257</v>
      </c>
      <c r="C48" s="7" t="s">
        <v>1229</v>
      </c>
      <c r="D48" s="7" t="s">
        <v>1258</v>
      </c>
      <c r="E48" s="7" t="s">
        <v>5551</v>
      </c>
      <c r="F48" s="7" t="s">
        <v>6635</v>
      </c>
      <c r="G48" s="7" t="s">
        <v>6636</v>
      </c>
      <c r="H48" s="7" t="s">
        <v>6637</v>
      </c>
      <c r="I48" s="12" t="s">
        <v>5562</v>
      </c>
      <c r="J48" s="7" t="s">
        <v>319</v>
      </c>
    </row>
    <row r="49" customFormat="false" ht="35.25" hidden="false" customHeight="true" outlineLevel="0" collapsed="false">
      <c r="A49" s="7" t="s">
        <v>1303</v>
      </c>
      <c r="B49" s="7" t="s">
        <v>1304</v>
      </c>
      <c r="C49" s="7" t="s">
        <v>1229</v>
      </c>
      <c r="D49" s="7" t="s">
        <v>1305</v>
      </c>
      <c r="E49" s="7" t="s">
        <v>5542</v>
      </c>
      <c r="F49" s="7" t="s">
        <v>6638</v>
      </c>
      <c r="G49" s="7" t="s">
        <v>6639</v>
      </c>
      <c r="H49" s="7" t="s">
        <v>6640</v>
      </c>
      <c r="I49" s="12" t="s">
        <v>5562</v>
      </c>
      <c r="J49" s="7" t="s">
        <v>969</v>
      </c>
    </row>
    <row r="50" customFormat="false" ht="35.25" hidden="false" customHeight="true" outlineLevel="0" collapsed="false">
      <c r="A50" s="7" t="s">
        <v>1355</v>
      </c>
      <c r="B50" s="7" t="s">
        <v>1356</v>
      </c>
      <c r="C50" s="7" t="s">
        <v>1229</v>
      </c>
      <c r="D50" s="7" t="s">
        <v>1357</v>
      </c>
      <c r="E50" s="7" t="s">
        <v>5551</v>
      </c>
      <c r="F50" s="7" t="s">
        <v>6641</v>
      </c>
      <c r="G50" s="7" t="s">
        <v>6642</v>
      </c>
      <c r="H50" s="7" t="s">
        <v>6643</v>
      </c>
      <c r="I50" s="12" t="s">
        <v>5562</v>
      </c>
      <c r="J50" s="7" t="s">
        <v>319</v>
      </c>
    </row>
    <row r="51" customFormat="false" ht="35.25" hidden="false" customHeight="true" outlineLevel="0" collapsed="false">
      <c r="A51" s="7" t="s">
        <v>1370</v>
      </c>
      <c r="B51" s="7" t="s">
        <v>1371</v>
      </c>
      <c r="C51" s="7" t="s">
        <v>1367</v>
      </c>
      <c r="D51" s="7" t="s">
        <v>1372</v>
      </c>
      <c r="E51" s="7" t="s">
        <v>5542</v>
      </c>
      <c r="F51" s="7" t="s">
        <v>6644</v>
      </c>
      <c r="G51" s="7" t="s">
        <v>6645</v>
      </c>
      <c r="H51" s="7" t="s">
        <v>6646</v>
      </c>
      <c r="I51" s="11" t="s">
        <v>5555</v>
      </c>
      <c r="J51" s="7" t="s">
        <v>749</v>
      </c>
    </row>
    <row r="52" customFormat="false" ht="35.25" hidden="false" customHeight="true" outlineLevel="0" collapsed="false">
      <c r="A52" s="7" t="s">
        <v>1381</v>
      </c>
      <c r="B52" s="7" t="s">
        <v>1382</v>
      </c>
      <c r="C52" s="7" t="s">
        <v>1367</v>
      </c>
      <c r="D52" s="7" t="s">
        <v>1383</v>
      </c>
      <c r="E52" s="7" t="s">
        <v>5551</v>
      </c>
      <c r="F52" s="7" t="s">
        <v>6647</v>
      </c>
      <c r="G52" s="7" t="s">
        <v>6648</v>
      </c>
      <c r="H52" s="7" t="s">
        <v>6649</v>
      </c>
      <c r="I52" s="12" t="s">
        <v>5562</v>
      </c>
      <c r="J52" s="7" t="s">
        <v>749</v>
      </c>
    </row>
    <row r="53" customFormat="false" ht="35.25" hidden="false" customHeight="true" outlineLevel="0" collapsed="false">
      <c r="A53" s="7" t="s">
        <v>1396</v>
      </c>
      <c r="B53" s="7" t="s">
        <v>1397</v>
      </c>
      <c r="C53" s="7" t="s">
        <v>1367</v>
      </c>
      <c r="D53" s="7" t="s">
        <v>1398</v>
      </c>
      <c r="E53" s="7" t="s">
        <v>5542</v>
      </c>
      <c r="F53" s="7" t="s">
        <v>6650</v>
      </c>
      <c r="G53" s="7" t="s">
        <v>6651</v>
      </c>
      <c r="H53" s="7" t="s">
        <v>6652</v>
      </c>
      <c r="I53" s="11" t="s">
        <v>5555</v>
      </c>
      <c r="J53" s="7" t="s">
        <v>1399</v>
      </c>
    </row>
    <row r="54" customFormat="false" ht="35.25" hidden="false" customHeight="true" outlineLevel="0" collapsed="false">
      <c r="A54" s="7" t="s">
        <v>1458</v>
      </c>
      <c r="B54" s="7" t="s">
        <v>1459</v>
      </c>
      <c r="C54" s="7" t="s">
        <v>1367</v>
      </c>
      <c r="D54" s="7" t="s">
        <v>1460</v>
      </c>
      <c r="E54" s="7" t="s">
        <v>5551</v>
      </c>
      <c r="F54" s="7" t="s">
        <v>6653</v>
      </c>
      <c r="G54" s="7" t="s">
        <v>6654</v>
      </c>
      <c r="H54" s="7" t="s">
        <v>6655</v>
      </c>
      <c r="I54" s="11" t="s">
        <v>5555</v>
      </c>
      <c r="J54" s="7" t="s">
        <v>245</v>
      </c>
    </row>
    <row r="55" customFormat="false" ht="18" hidden="false" customHeight="true" outlineLevel="0" collapsed="false">
      <c r="A55" s="7" t="s">
        <v>1488</v>
      </c>
      <c r="B55" s="7" t="s">
        <v>1489</v>
      </c>
      <c r="C55" s="7" t="s">
        <v>1367</v>
      </c>
      <c r="D55" s="7" t="s">
        <v>1490</v>
      </c>
      <c r="E55" s="7" t="s">
        <v>5551</v>
      </c>
      <c r="F55" s="7" t="s">
        <v>6656</v>
      </c>
      <c r="G55" s="7" t="s">
        <v>6657</v>
      </c>
      <c r="H55" s="7" t="s">
        <v>6658</v>
      </c>
      <c r="I55" s="11" t="s">
        <v>5555</v>
      </c>
      <c r="J55" s="7" t="s">
        <v>749</v>
      </c>
    </row>
    <row r="56" customFormat="false" ht="35.25" hidden="false" customHeight="true" outlineLevel="0" collapsed="false">
      <c r="A56" s="7" t="s">
        <v>1493</v>
      </c>
      <c r="B56" s="7" t="s">
        <v>1494</v>
      </c>
      <c r="C56" s="7" t="s">
        <v>1367</v>
      </c>
      <c r="D56" s="7" t="s">
        <v>1495</v>
      </c>
      <c r="E56" s="7" t="s">
        <v>5542</v>
      </c>
      <c r="F56" s="7" t="s">
        <v>6659</v>
      </c>
      <c r="G56" s="7" t="s">
        <v>6660</v>
      </c>
      <c r="H56" s="7" t="s">
        <v>6661</v>
      </c>
      <c r="I56" s="12" t="s">
        <v>5562</v>
      </c>
      <c r="J56" s="7" t="s">
        <v>749</v>
      </c>
    </row>
    <row r="57" customFormat="false" ht="35.25" hidden="false" customHeight="true" outlineLevel="0" collapsed="false">
      <c r="A57" s="7" t="s">
        <v>1498</v>
      </c>
      <c r="B57" s="7" t="s">
        <v>1499</v>
      </c>
      <c r="C57" s="7" t="s">
        <v>1367</v>
      </c>
      <c r="D57" s="7" t="s">
        <v>1500</v>
      </c>
      <c r="E57" s="7" t="s">
        <v>5542</v>
      </c>
      <c r="F57" s="7" t="s">
        <v>6662</v>
      </c>
      <c r="G57" s="7" t="s">
        <v>6663</v>
      </c>
      <c r="H57" s="7" t="s">
        <v>6664</v>
      </c>
      <c r="I57" s="12" t="s">
        <v>5562</v>
      </c>
      <c r="J57" s="7" t="s">
        <v>749</v>
      </c>
    </row>
    <row r="58" customFormat="false" ht="52.5" hidden="false" customHeight="true" outlineLevel="0" collapsed="false">
      <c r="A58" s="7" t="s">
        <v>1503</v>
      </c>
      <c r="B58" s="7" t="s">
        <v>1504</v>
      </c>
      <c r="C58" s="7" t="s">
        <v>1367</v>
      </c>
      <c r="D58" s="7" t="s">
        <v>1505</v>
      </c>
      <c r="E58" s="7" t="s">
        <v>5551</v>
      </c>
      <c r="F58" s="7" t="s">
        <v>6665</v>
      </c>
      <c r="G58" s="7" t="s">
        <v>6666</v>
      </c>
      <c r="H58" s="7" t="s">
        <v>6667</v>
      </c>
      <c r="I58" s="11" t="s">
        <v>5555</v>
      </c>
      <c r="J58" s="7" t="s">
        <v>749</v>
      </c>
    </row>
    <row r="59" customFormat="false" ht="35.25" hidden="false" customHeight="true" outlineLevel="0" collapsed="false">
      <c r="A59" s="7" t="s">
        <v>1553</v>
      </c>
      <c r="B59" s="7" t="s">
        <v>1554</v>
      </c>
      <c r="C59" s="7" t="s">
        <v>1367</v>
      </c>
      <c r="D59" s="7" t="s">
        <v>1555</v>
      </c>
      <c r="E59" s="7" t="s">
        <v>5542</v>
      </c>
      <c r="F59" s="7" t="s">
        <v>6668</v>
      </c>
      <c r="G59" s="7" t="s">
        <v>6669</v>
      </c>
      <c r="H59" s="7" t="s">
        <v>6670</v>
      </c>
      <c r="I59" s="11" t="s">
        <v>5555</v>
      </c>
      <c r="J59" s="7" t="s">
        <v>1557</v>
      </c>
    </row>
    <row r="60" customFormat="false" ht="35.25" hidden="false" customHeight="true" outlineLevel="0" collapsed="false">
      <c r="A60" s="7" t="s">
        <v>1571</v>
      </c>
      <c r="B60" s="7" t="s">
        <v>1572</v>
      </c>
      <c r="C60" s="7" t="s">
        <v>1367</v>
      </c>
      <c r="D60" s="7" t="s">
        <v>1573</v>
      </c>
      <c r="E60" s="7" t="s">
        <v>5573</v>
      </c>
      <c r="F60" s="7" t="s">
        <v>6671</v>
      </c>
      <c r="G60" s="7" t="s">
        <v>6672</v>
      </c>
      <c r="H60" s="7" t="s">
        <v>6673</v>
      </c>
      <c r="I60" s="12" t="s">
        <v>5562</v>
      </c>
      <c r="J60" s="7" t="s">
        <v>1557</v>
      </c>
    </row>
    <row r="61" customFormat="false" ht="35.25" hidden="false" customHeight="true" outlineLevel="0" collapsed="false">
      <c r="A61" s="7" t="s">
        <v>1658</v>
      </c>
      <c r="B61" s="7" t="s">
        <v>1659</v>
      </c>
      <c r="C61" s="7" t="s">
        <v>1367</v>
      </c>
      <c r="D61" s="7" t="s">
        <v>1660</v>
      </c>
      <c r="E61" s="7" t="s">
        <v>5551</v>
      </c>
      <c r="F61" s="7" t="s">
        <v>6674</v>
      </c>
      <c r="G61" s="7" t="s">
        <v>6675</v>
      </c>
      <c r="H61" s="7" t="s">
        <v>6676</v>
      </c>
      <c r="I61" s="12" t="s">
        <v>5562</v>
      </c>
      <c r="J61" s="7" t="s">
        <v>1621</v>
      </c>
    </row>
    <row r="62" customFormat="false" ht="35.25" hidden="false" customHeight="true" outlineLevel="0" collapsed="false">
      <c r="A62" s="7" t="s">
        <v>1923</v>
      </c>
      <c r="B62" s="7" t="s">
        <v>1924</v>
      </c>
      <c r="C62" s="7" t="s">
        <v>1920</v>
      </c>
      <c r="D62" s="7" t="s">
        <v>1925</v>
      </c>
      <c r="E62" s="7" t="s">
        <v>5551</v>
      </c>
      <c r="F62" s="7" t="s">
        <v>6677</v>
      </c>
      <c r="G62" s="7" t="s">
        <v>6678</v>
      </c>
      <c r="H62" s="7" t="s">
        <v>6679</v>
      </c>
      <c r="I62" s="11" t="s">
        <v>5555</v>
      </c>
      <c r="J62" s="7" t="s">
        <v>538</v>
      </c>
    </row>
    <row r="63" customFormat="false" ht="52.5" hidden="false" customHeight="true" outlineLevel="0" collapsed="false">
      <c r="A63" s="7" t="s">
        <v>1928</v>
      </c>
      <c r="B63" s="7" t="s">
        <v>1929</v>
      </c>
      <c r="C63" s="7" t="s">
        <v>1920</v>
      </c>
      <c r="D63" s="7" t="s">
        <v>1930</v>
      </c>
      <c r="E63" s="7" t="s">
        <v>5551</v>
      </c>
      <c r="F63" s="7" t="s">
        <v>6680</v>
      </c>
      <c r="G63" s="7" t="s">
        <v>6681</v>
      </c>
      <c r="H63" s="7" t="s">
        <v>6682</v>
      </c>
      <c r="I63" s="11" t="s">
        <v>5555</v>
      </c>
      <c r="J63" s="7" t="s">
        <v>538</v>
      </c>
    </row>
    <row r="64" customFormat="false" ht="35.25" hidden="false" customHeight="true" outlineLevel="0" collapsed="false">
      <c r="A64" s="7" t="s">
        <v>1968</v>
      </c>
      <c r="B64" s="7" t="s">
        <v>1969</v>
      </c>
      <c r="C64" s="7" t="s">
        <v>1920</v>
      </c>
      <c r="D64" s="7" t="s">
        <v>1970</v>
      </c>
      <c r="E64" s="7" t="s">
        <v>5551</v>
      </c>
      <c r="F64" s="7" t="s">
        <v>6683</v>
      </c>
      <c r="G64" s="7" t="s">
        <v>6684</v>
      </c>
      <c r="H64" s="7" t="s">
        <v>6685</v>
      </c>
      <c r="I64" s="11" t="s">
        <v>5555</v>
      </c>
      <c r="J64" s="7" t="s">
        <v>538</v>
      </c>
    </row>
    <row r="65" customFormat="false" ht="35.25" hidden="false" customHeight="true" outlineLevel="0" collapsed="false">
      <c r="A65" s="7" t="s">
        <v>2029</v>
      </c>
      <c r="B65" s="7" t="s">
        <v>2030</v>
      </c>
      <c r="C65" s="7" t="s">
        <v>1920</v>
      </c>
      <c r="D65" s="7" t="s">
        <v>2031</v>
      </c>
      <c r="E65" s="7" t="s">
        <v>5551</v>
      </c>
      <c r="F65" s="7" t="s">
        <v>6686</v>
      </c>
      <c r="G65" s="7" t="s">
        <v>6687</v>
      </c>
      <c r="H65" s="7" t="s">
        <v>6688</v>
      </c>
      <c r="I65" s="11" t="s">
        <v>5555</v>
      </c>
      <c r="J65" s="7" t="s">
        <v>175</v>
      </c>
    </row>
    <row r="66" customFormat="false" ht="35.25" hidden="false" customHeight="true" outlineLevel="0" collapsed="false">
      <c r="A66" s="7" t="s">
        <v>2039</v>
      </c>
      <c r="B66" s="7" t="s">
        <v>2040</v>
      </c>
      <c r="C66" s="7" t="s">
        <v>1920</v>
      </c>
      <c r="D66" s="7" t="s">
        <v>2041</v>
      </c>
      <c r="E66" s="7" t="s">
        <v>5551</v>
      </c>
      <c r="F66" s="7" t="s">
        <v>6689</v>
      </c>
      <c r="G66" s="7" t="s">
        <v>6690</v>
      </c>
      <c r="H66" s="7" t="s">
        <v>6691</v>
      </c>
      <c r="I66" s="12" t="s">
        <v>5562</v>
      </c>
      <c r="J66" s="7" t="s">
        <v>175</v>
      </c>
    </row>
    <row r="67" customFormat="false" ht="35.25" hidden="false" customHeight="true" outlineLevel="0" collapsed="false">
      <c r="A67" s="7" t="s">
        <v>2054</v>
      </c>
      <c r="B67" s="7" t="s">
        <v>2055</v>
      </c>
      <c r="C67" s="7" t="s">
        <v>1920</v>
      </c>
      <c r="D67" s="7" t="s">
        <v>2056</v>
      </c>
      <c r="E67" s="7" t="s">
        <v>5551</v>
      </c>
      <c r="F67" s="7" t="s">
        <v>6692</v>
      </c>
      <c r="G67" s="7" t="s">
        <v>6693</v>
      </c>
      <c r="H67" s="7" t="s">
        <v>6694</v>
      </c>
      <c r="I67" s="12" t="s">
        <v>5562</v>
      </c>
      <c r="J67" s="7" t="s">
        <v>175</v>
      </c>
    </row>
    <row r="68" customFormat="false" ht="35.25" hidden="false" customHeight="true" outlineLevel="0" collapsed="false">
      <c r="A68" s="7" t="s">
        <v>2119</v>
      </c>
      <c r="B68" s="7" t="s">
        <v>2120</v>
      </c>
      <c r="C68" s="7" t="s">
        <v>1920</v>
      </c>
      <c r="D68" s="7" t="s">
        <v>2121</v>
      </c>
      <c r="E68" s="7" t="s">
        <v>5551</v>
      </c>
      <c r="F68" s="7" t="s">
        <v>6695</v>
      </c>
      <c r="G68" s="7" t="s">
        <v>6696</v>
      </c>
      <c r="H68" s="7" t="s">
        <v>6697</v>
      </c>
      <c r="I68" s="11" t="s">
        <v>5555</v>
      </c>
      <c r="J68" s="7" t="s">
        <v>538</v>
      </c>
    </row>
    <row r="69" customFormat="false" ht="18" hidden="false" customHeight="true" outlineLevel="0" collapsed="false">
      <c r="A69" s="7" t="s">
        <v>3457</v>
      </c>
      <c r="B69" s="7" t="s">
        <v>3458</v>
      </c>
      <c r="C69" s="7" t="s">
        <v>3415</v>
      </c>
      <c r="D69" s="7" t="s">
        <v>3459</v>
      </c>
      <c r="E69" s="7" t="s">
        <v>6150</v>
      </c>
      <c r="F69" s="7" t="s">
        <v>6698</v>
      </c>
      <c r="G69" s="7" t="s">
        <v>6699</v>
      </c>
      <c r="H69" s="7" t="s">
        <v>6700</v>
      </c>
      <c r="I69" s="11" t="s">
        <v>5555</v>
      </c>
      <c r="J69" s="7" t="s">
        <v>1336</v>
      </c>
    </row>
    <row r="70" customFormat="false" ht="35.25" hidden="false" customHeight="true" outlineLevel="0" collapsed="false">
      <c r="A70" s="7" t="s">
        <v>3477</v>
      </c>
      <c r="B70" s="7" t="s">
        <v>3478</v>
      </c>
      <c r="C70" s="7" t="s">
        <v>3415</v>
      </c>
      <c r="D70" s="7" t="s">
        <v>3479</v>
      </c>
      <c r="E70" s="7" t="s">
        <v>5551</v>
      </c>
      <c r="F70" s="7" t="s">
        <v>6701</v>
      </c>
      <c r="G70" s="7" t="s">
        <v>6702</v>
      </c>
      <c r="H70" s="7" t="s">
        <v>6703</v>
      </c>
      <c r="I70" s="11" t="s">
        <v>5555</v>
      </c>
      <c r="J70" s="7" t="s">
        <v>1336</v>
      </c>
    </row>
    <row r="71" customFormat="false" ht="35.25" hidden="false" customHeight="true" outlineLevel="0" collapsed="false">
      <c r="A71" s="7" t="s">
        <v>4084</v>
      </c>
      <c r="B71" s="7" t="s">
        <v>4085</v>
      </c>
      <c r="C71" s="7" t="s">
        <v>4081</v>
      </c>
      <c r="D71" s="7" t="s">
        <v>4086</v>
      </c>
      <c r="E71" s="7" t="s">
        <v>5551</v>
      </c>
      <c r="F71" s="7" t="s">
        <v>6704</v>
      </c>
      <c r="G71" s="7" t="s">
        <v>6705</v>
      </c>
      <c r="H71" s="7" t="s">
        <v>6706</v>
      </c>
      <c r="I71" s="12" t="s">
        <v>5562</v>
      </c>
      <c r="J71" s="7" t="s">
        <v>319</v>
      </c>
    </row>
    <row r="72" customFormat="false" ht="35.25" hidden="false" customHeight="true" outlineLevel="0" collapsed="false">
      <c r="A72" s="7" t="s">
        <v>4134</v>
      </c>
      <c r="B72" s="7" t="s">
        <v>4135</v>
      </c>
      <c r="C72" s="7" t="s">
        <v>4081</v>
      </c>
      <c r="D72" s="7" t="s">
        <v>4136</v>
      </c>
      <c r="E72" s="7" t="s">
        <v>5551</v>
      </c>
      <c r="F72" s="7" t="s">
        <v>6707</v>
      </c>
      <c r="G72" s="7" t="s">
        <v>6708</v>
      </c>
      <c r="H72" s="7" t="s">
        <v>6709</v>
      </c>
      <c r="I72" s="11" t="s">
        <v>5555</v>
      </c>
      <c r="J72" s="7" t="s">
        <v>957</v>
      </c>
    </row>
    <row r="73" customFormat="false" ht="35.25" hidden="false" customHeight="true" outlineLevel="0" collapsed="false">
      <c r="A73" s="7" t="s">
        <v>4159</v>
      </c>
      <c r="B73" s="7" t="s">
        <v>4160</v>
      </c>
      <c r="C73" s="7" t="s">
        <v>4081</v>
      </c>
      <c r="D73" s="7" t="s">
        <v>4161</v>
      </c>
      <c r="E73" s="7" t="s">
        <v>5551</v>
      </c>
      <c r="F73" s="7" t="s">
        <v>6710</v>
      </c>
      <c r="G73" s="7" t="s">
        <v>6711</v>
      </c>
      <c r="H73" s="7" t="s">
        <v>6712</v>
      </c>
      <c r="I73" s="11" t="s">
        <v>5555</v>
      </c>
      <c r="J73" s="7" t="s">
        <v>319</v>
      </c>
    </row>
    <row r="74" customFormat="false" ht="35.25" hidden="false" customHeight="true" outlineLevel="0" collapsed="false">
      <c r="A74" s="7" t="s">
        <v>4174</v>
      </c>
      <c r="B74" s="7" t="s">
        <v>4175</v>
      </c>
      <c r="C74" s="7" t="s">
        <v>4081</v>
      </c>
      <c r="D74" s="7" t="s">
        <v>4176</v>
      </c>
      <c r="E74" s="7" t="s">
        <v>5551</v>
      </c>
      <c r="F74" s="7" t="s">
        <v>6713</v>
      </c>
      <c r="G74" s="7" t="s">
        <v>6714</v>
      </c>
      <c r="H74" s="7" t="s">
        <v>6715</v>
      </c>
      <c r="I74" s="11" t="s">
        <v>5555</v>
      </c>
      <c r="J74" s="7" t="s">
        <v>319</v>
      </c>
    </row>
    <row r="75" customFormat="false" ht="35.25" hidden="false" customHeight="true" outlineLevel="0" collapsed="false">
      <c r="A75" s="7" t="s">
        <v>4179</v>
      </c>
      <c r="B75" s="7" t="s">
        <v>4180</v>
      </c>
      <c r="C75" s="7" t="s">
        <v>4081</v>
      </c>
      <c r="D75" s="7" t="s">
        <v>4181</v>
      </c>
      <c r="E75" s="7" t="s">
        <v>5551</v>
      </c>
      <c r="F75" s="7" t="s">
        <v>6716</v>
      </c>
      <c r="G75" s="7" t="s">
        <v>6717</v>
      </c>
      <c r="H75" s="7" t="s">
        <v>6718</v>
      </c>
      <c r="I75" s="12" t="s">
        <v>5562</v>
      </c>
      <c r="J75" s="7" t="s">
        <v>319</v>
      </c>
    </row>
    <row r="76" customFormat="false" ht="35.25" hidden="false" customHeight="true" outlineLevel="0" collapsed="false">
      <c r="A76" s="7" t="s">
        <v>4189</v>
      </c>
      <c r="B76" s="7" t="s">
        <v>4190</v>
      </c>
      <c r="C76" s="7" t="s">
        <v>4081</v>
      </c>
      <c r="D76" s="7" t="s">
        <v>4191</v>
      </c>
      <c r="E76" s="7" t="s">
        <v>5551</v>
      </c>
      <c r="F76" s="7" t="s">
        <v>6719</v>
      </c>
      <c r="G76" s="7" t="s">
        <v>6720</v>
      </c>
      <c r="H76" s="7" t="s">
        <v>6721</v>
      </c>
      <c r="I76" s="12" t="s">
        <v>5562</v>
      </c>
      <c r="J76" s="7" t="s">
        <v>319</v>
      </c>
    </row>
    <row r="77" customFormat="false" ht="35.25" hidden="false" customHeight="true" outlineLevel="0" collapsed="false">
      <c r="A77" s="7" t="s">
        <v>4194</v>
      </c>
      <c r="B77" s="7" t="s">
        <v>4195</v>
      </c>
      <c r="C77" s="7" t="s">
        <v>4081</v>
      </c>
      <c r="D77" s="7" t="s">
        <v>4196</v>
      </c>
      <c r="E77" s="7" t="s">
        <v>5551</v>
      </c>
      <c r="F77" s="7" t="s">
        <v>6722</v>
      </c>
      <c r="G77" s="7" t="s">
        <v>6723</v>
      </c>
      <c r="H77" s="7" t="s">
        <v>6724</v>
      </c>
      <c r="I77" s="12" t="s">
        <v>5562</v>
      </c>
      <c r="J77" s="7" t="s">
        <v>319</v>
      </c>
    </row>
    <row r="78" customFormat="false" ht="35.25" hidden="false" customHeight="true" outlineLevel="0" collapsed="false">
      <c r="A78" s="7" t="s">
        <v>4209</v>
      </c>
      <c r="B78" s="7" t="s">
        <v>4210</v>
      </c>
      <c r="C78" s="7" t="s">
        <v>4081</v>
      </c>
      <c r="D78" s="7" t="s">
        <v>4211</v>
      </c>
      <c r="E78" s="7" t="s">
        <v>5551</v>
      </c>
      <c r="F78" s="7" t="s">
        <v>6725</v>
      </c>
      <c r="G78" s="7" t="s">
        <v>6726</v>
      </c>
      <c r="H78" s="7" t="s">
        <v>6727</v>
      </c>
      <c r="I78" s="12" t="s">
        <v>5562</v>
      </c>
      <c r="J78" s="7" t="s">
        <v>319</v>
      </c>
    </row>
    <row r="79" customFormat="false" ht="35.25" hidden="false" customHeight="true" outlineLevel="0" collapsed="false">
      <c r="A79" s="7" t="s">
        <v>4229</v>
      </c>
      <c r="B79" s="7" t="s">
        <v>4230</v>
      </c>
      <c r="C79" s="7" t="s">
        <v>4081</v>
      </c>
      <c r="D79" s="7" t="s">
        <v>4231</v>
      </c>
      <c r="E79" s="7" t="s">
        <v>5551</v>
      </c>
      <c r="F79" s="7" t="s">
        <v>6728</v>
      </c>
      <c r="G79" s="7" t="s">
        <v>6729</v>
      </c>
      <c r="H79" s="7" t="s">
        <v>6546</v>
      </c>
      <c r="I79" s="12" t="s">
        <v>5562</v>
      </c>
      <c r="J79" s="7" t="s">
        <v>319</v>
      </c>
    </row>
    <row r="80" customFormat="false" ht="35.25" hidden="false" customHeight="true" outlineLevel="0" collapsed="false">
      <c r="A80" s="7" t="s">
        <v>4244</v>
      </c>
      <c r="B80" s="7" t="s">
        <v>4245</v>
      </c>
      <c r="C80" s="7" t="s">
        <v>4081</v>
      </c>
      <c r="D80" s="7" t="s">
        <v>4246</v>
      </c>
      <c r="E80" s="7" t="s">
        <v>5551</v>
      </c>
      <c r="F80" s="7" t="s">
        <v>6730</v>
      </c>
      <c r="G80" s="7" t="s">
        <v>6731</v>
      </c>
      <c r="H80" s="7" t="s">
        <v>6732</v>
      </c>
      <c r="I80" s="12" t="s">
        <v>5562</v>
      </c>
      <c r="J80" s="7" t="s">
        <v>319</v>
      </c>
    </row>
    <row r="81" customFormat="false" ht="35.25" hidden="false" customHeight="true" outlineLevel="0" collapsed="false">
      <c r="A81" s="7" t="s">
        <v>4289</v>
      </c>
      <c r="B81" s="7" t="s">
        <v>4290</v>
      </c>
      <c r="C81" s="7" t="s">
        <v>4081</v>
      </c>
      <c r="D81" s="7" t="s">
        <v>4291</v>
      </c>
      <c r="E81" s="7" t="s">
        <v>5551</v>
      </c>
      <c r="F81" s="7" t="s">
        <v>6733</v>
      </c>
      <c r="G81" s="7" t="s">
        <v>6734</v>
      </c>
      <c r="H81" s="7" t="s">
        <v>6735</v>
      </c>
      <c r="I81" s="11" t="s">
        <v>5555</v>
      </c>
      <c r="J81" s="7" t="s">
        <v>2611</v>
      </c>
    </row>
    <row r="82" customFormat="false" ht="35.25" hidden="false" customHeight="true" outlineLevel="0" collapsed="false">
      <c r="A82" s="7" t="s">
        <v>4334</v>
      </c>
      <c r="B82" s="7" t="s">
        <v>4335</v>
      </c>
      <c r="C82" s="7" t="s">
        <v>4081</v>
      </c>
      <c r="D82" s="7" t="s">
        <v>4336</v>
      </c>
      <c r="E82" s="7" t="s">
        <v>5551</v>
      </c>
      <c r="F82" s="7" t="s">
        <v>6736</v>
      </c>
      <c r="G82" s="7" t="s">
        <v>6737</v>
      </c>
      <c r="H82" s="7" t="s">
        <v>6738</v>
      </c>
      <c r="I82" s="11" t="s">
        <v>5555</v>
      </c>
      <c r="J82" s="7" t="s">
        <v>629</v>
      </c>
    </row>
    <row r="83" customFormat="false" ht="35.25" hidden="false" customHeight="true" outlineLevel="0" collapsed="false">
      <c r="A83" s="7" t="s">
        <v>4359</v>
      </c>
      <c r="B83" s="7" t="s">
        <v>4360</v>
      </c>
      <c r="C83" s="7" t="s">
        <v>4081</v>
      </c>
      <c r="D83" s="7" t="s">
        <v>4361</v>
      </c>
      <c r="E83" s="7" t="s">
        <v>5551</v>
      </c>
      <c r="F83" s="7" t="s">
        <v>6739</v>
      </c>
      <c r="G83" s="7" t="s">
        <v>6740</v>
      </c>
      <c r="H83" s="7" t="s">
        <v>6741</v>
      </c>
      <c r="I83" s="11" t="s">
        <v>5555</v>
      </c>
      <c r="J83" s="7" t="s">
        <v>629</v>
      </c>
    </row>
    <row r="84" customFormat="false" ht="35.25" hidden="false" customHeight="true" outlineLevel="0" collapsed="false">
      <c r="A84" s="7" t="s">
        <v>4399</v>
      </c>
      <c r="B84" s="7" t="s">
        <v>4400</v>
      </c>
      <c r="C84" s="7" t="s">
        <v>4081</v>
      </c>
      <c r="D84" s="7" t="s">
        <v>4401</v>
      </c>
      <c r="E84" s="7" t="s">
        <v>5542</v>
      </c>
      <c r="F84" s="7" t="s">
        <v>6742</v>
      </c>
      <c r="G84" s="7" t="s">
        <v>6743</v>
      </c>
      <c r="H84" s="7" t="s">
        <v>6744</v>
      </c>
      <c r="I84" s="11" t="s">
        <v>5555</v>
      </c>
      <c r="J84" s="7" t="s">
        <v>2210</v>
      </c>
    </row>
    <row r="85" customFormat="false" ht="35.25" hidden="false" customHeight="true" outlineLevel="0" collapsed="false">
      <c r="A85" s="7" t="s">
        <v>4434</v>
      </c>
      <c r="B85" s="7" t="s">
        <v>4435</v>
      </c>
      <c r="C85" s="7" t="s">
        <v>4081</v>
      </c>
      <c r="D85" s="7" t="s">
        <v>4436</v>
      </c>
      <c r="E85" s="7" t="s">
        <v>5551</v>
      </c>
      <c r="F85" s="7" t="s">
        <v>6745</v>
      </c>
      <c r="G85" s="7" t="s">
        <v>6746</v>
      </c>
      <c r="H85" s="7" t="s">
        <v>6747</v>
      </c>
      <c r="I85" s="12" t="s">
        <v>5562</v>
      </c>
      <c r="J85" s="7" t="s">
        <v>319</v>
      </c>
    </row>
    <row r="86" customFormat="false" ht="35.25" hidden="false" customHeight="true" outlineLevel="0" collapsed="false">
      <c r="A86" s="7" t="s">
        <v>4657</v>
      </c>
      <c r="B86" s="7" t="s">
        <v>4658</v>
      </c>
      <c r="C86" s="7" t="s">
        <v>4081</v>
      </c>
      <c r="D86" s="7" t="s">
        <v>4659</v>
      </c>
      <c r="E86" s="7" t="s">
        <v>5551</v>
      </c>
      <c r="F86" s="7" t="s">
        <v>6748</v>
      </c>
      <c r="G86" s="7" t="s">
        <v>6749</v>
      </c>
      <c r="H86" s="7" t="s">
        <v>6750</v>
      </c>
      <c r="I86" s="12" t="s">
        <v>5562</v>
      </c>
      <c r="J86" s="7" t="s">
        <v>319</v>
      </c>
    </row>
    <row r="87" customFormat="false" ht="35.25" hidden="false" customHeight="true" outlineLevel="0" collapsed="false">
      <c r="A87" s="7" t="s">
        <v>4777</v>
      </c>
      <c r="B87" s="7" t="s">
        <v>4778</v>
      </c>
      <c r="C87" s="7" t="s">
        <v>4774</v>
      </c>
      <c r="D87" s="7" t="s">
        <v>4779</v>
      </c>
      <c r="E87" s="7" t="s">
        <v>5542</v>
      </c>
      <c r="F87" s="7" t="s">
        <v>6751</v>
      </c>
      <c r="G87" s="7" t="s">
        <v>6752</v>
      </c>
      <c r="H87" s="7" t="s">
        <v>6753</v>
      </c>
      <c r="I87" s="11" t="s">
        <v>5555</v>
      </c>
      <c r="J87" s="7" t="s">
        <v>4780</v>
      </c>
    </row>
    <row r="88" customFormat="false" ht="35.25" hidden="false" customHeight="true" outlineLevel="0" collapsed="false">
      <c r="A88" s="7" t="s">
        <v>4809</v>
      </c>
      <c r="B88" s="7" t="s">
        <v>4810</v>
      </c>
      <c r="C88" s="7" t="s">
        <v>4774</v>
      </c>
      <c r="D88" s="7" t="s">
        <v>4811</v>
      </c>
      <c r="E88" s="7" t="s">
        <v>6150</v>
      </c>
      <c r="F88" s="7" t="s">
        <v>6754</v>
      </c>
      <c r="G88" s="7" t="s">
        <v>6755</v>
      </c>
      <c r="H88" s="7" t="s">
        <v>6756</v>
      </c>
      <c r="I88" s="11" t="s">
        <v>5555</v>
      </c>
      <c r="J88" s="7" t="s">
        <v>4487</v>
      </c>
    </row>
    <row r="89" customFormat="false" ht="35.25" hidden="false" customHeight="true" outlineLevel="0" collapsed="false">
      <c r="A89" s="7" t="s">
        <v>4834</v>
      </c>
      <c r="B89" s="7" t="s">
        <v>4835</v>
      </c>
      <c r="C89" s="7" t="s">
        <v>4774</v>
      </c>
      <c r="D89" s="7" t="s">
        <v>4836</v>
      </c>
      <c r="E89" s="7" t="s">
        <v>5573</v>
      </c>
      <c r="F89" s="7" t="s">
        <v>6757</v>
      </c>
      <c r="G89" s="7" t="s">
        <v>6758</v>
      </c>
      <c r="H89" s="7" t="s">
        <v>6759</v>
      </c>
      <c r="I89" s="11" t="s">
        <v>5555</v>
      </c>
      <c r="J89" s="7" t="s">
        <v>4487</v>
      </c>
    </row>
    <row r="90" customFormat="false" ht="35.25" hidden="false" customHeight="true" outlineLevel="0" collapsed="false">
      <c r="A90" s="7" t="s">
        <v>4854</v>
      </c>
      <c r="B90" s="7" t="s">
        <v>4855</v>
      </c>
      <c r="C90" s="7" t="s">
        <v>4774</v>
      </c>
      <c r="D90" s="7" t="s">
        <v>4856</v>
      </c>
      <c r="E90" s="7" t="s">
        <v>5573</v>
      </c>
      <c r="F90" s="7" t="s">
        <v>6760</v>
      </c>
      <c r="G90" s="7" t="s">
        <v>6761</v>
      </c>
      <c r="H90" s="7" t="s">
        <v>6762</v>
      </c>
      <c r="I90" s="12" t="s">
        <v>5562</v>
      </c>
      <c r="J90" s="7" t="s">
        <v>4487</v>
      </c>
    </row>
    <row r="91" customFormat="false" ht="35.25" hidden="false" customHeight="true" outlineLevel="0" collapsed="false">
      <c r="A91" s="7" t="s">
        <v>4894</v>
      </c>
      <c r="B91" s="7" t="s">
        <v>4895</v>
      </c>
      <c r="C91" s="7" t="s">
        <v>4774</v>
      </c>
      <c r="D91" s="7" t="s">
        <v>4896</v>
      </c>
      <c r="E91" s="7" t="s">
        <v>6150</v>
      </c>
      <c r="F91" s="7" t="s">
        <v>6763</v>
      </c>
      <c r="G91" s="7" t="s">
        <v>6764</v>
      </c>
      <c r="H91" s="7" t="s">
        <v>6765</v>
      </c>
      <c r="I91" s="12" t="s">
        <v>5562</v>
      </c>
      <c r="J91" s="7" t="s">
        <v>4487</v>
      </c>
    </row>
    <row r="92" customFormat="false" ht="35.25" hidden="false" customHeight="true" outlineLevel="0" collapsed="false">
      <c r="A92" s="7" t="s">
        <v>4934</v>
      </c>
      <c r="B92" s="7" t="s">
        <v>4935</v>
      </c>
      <c r="C92" s="7" t="s">
        <v>4774</v>
      </c>
      <c r="D92" s="7" t="s">
        <v>4936</v>
      </c>
      <c r="E92" s="7" t="s">
        <v>5573</v>
      </c>
      <c r="F92" s="7" t="s">
        <v>6766</v>
      </c>
      <c r="G92" s="7" t="s">
        <v>6767</v>
      </c>
      <c r="H92" s="7" t="s">
        <v>6768</v>
      </c>
      <c r="I92" s="12" t="s">
        <v>5562</v>
      </c>
      <c r="J92" s="7" t="s">
        <v>4487</v>
      </c>
    </row>
    <row r="93" customFormat="false" ht="35.25" hidden="false" customHeight="true" outlineLevel="0" collapsed="false">
      <c r="A93" s="7" t="s">
        <v>4980</v>
      </c>
      <c r="B93" s="7" t="s">
        <v>4981</v>
      </c>
      <c r="C93" s="7" t="s">
        <v>4774</v>
      </c>
      <c r="D93" s="7" t="s">
        <v>4982</v>
      </c>
      <c r="E93" s="7" t="s">
        <v>5551</v>
      </c>
      <c r="F93" s="7" t="s">
        <v>6769</v>
      </c>
      <c r="G93" s="7" t="s">
        <v>6770</v>
      </c>
      <c r="H93" s="7" t="s">
        <v>6771</v>
      </c>
      <c r="I93" s="11" t="s">
        <v>5555</v>
      </c>
      <c r="J93" s="7" t="s">
        <v>629</v>
      </c>
    </row>
    <row r="94" customFormat="false" ht="35.25" hidden="false" customHeight="true" outlineLevel="0" collapsed="false">
      <c r="A94" s="7" t="s">
        <v>5020</v>
      </c>
      <c r="B94" s="7" t="s">
        <v>5021</v>
      </c>
      <c r="C94" s="7" t="s">
        <v>4774</v>
      </c>
      <c r="D94" s="7" t="s">
        <v>5022</v>
      </c>
      <c r="E94" s="7" t="s">
        <v>5551</v>
      </c>
      <c r="F94" s="7" t="s">
        <v>6772</v>
      </c>
      <c r="G94" s="7" t="s">
        <v>6773</v>
      </c>
      <c r="H94" s="7" t="s">
        <v>6774</v>
      </c>
      <c r="I94" s="11" t="s">
        <v>5555</v>
      </c>
      <c r="J94" s="7" t="s">
        <v>629</v>
      </c>
    </row>
    <row r="95" customFormat="false" ht="35.25" hidden="false" customHeight="true" outlineLevel="0" collapsed="false">
      <c r="A95" s="7" t="s">
        <v>5065</v>
      </c>
      <c r="B95" s="7" t="s">
        <v>5066</v>
      </c>
      <c r="C95" s="7" t="s">
        <v>4774</v>
      </c>
      <c r="D95" s="7" t="s">
        <v>5067</v>
      </c>
      <c r="E95" s="7" t="s">
        <v>6150</v>
      </c>
      <c r="F95" s="7" t="s">
        <v>6775</v>
      </c>
      <c r="G95" s="7" t="s">
        <v>6776</v>
      </c>
      <c r="H95" s="7" t="s">
        <v>6777</v>
      </c>
      <c r="I95" s="12" t="s">
        <v>5562</v>
      </c>
      <c r="J95" s="7" t="s">
        <v>4487</v>
      </c>
    </row>
  </sheetData>
  <autoFilter ref="A25:J95"/>
  <mergeCells count="20">
    <mergeCell ref="A1:J1"/>
    <mergeCell ref="A2:J2"/>
    <mergeCell ref="A3:J3"/>
    <mergeCell ref="A4:J4"/>
    <mergeCell ref="A5:J5"/>
    <mergeCell ref="A7:J7"/>
    <mergeCell ref="A8:J8"/>
    <mergeCell ref="A9:J9"/>
    <mergeCell ref="A10:J10"/>
    <mergeCell ref="A11:J11"/>
    <mergeCell ref="A13:J13"/>
    <mergeCell ref="F14:J14"/>
    <mergeCell ref="F15:J15"/>
    <mergeCell ref="F16:J16"/>
    <mergeCell ref="F17:J17"/>
    <mergeCell ref="F18:J18"/>
    <mergeCell ref="F19:J19"/>
    <mergeCell ref="F20:J20"/>
    <mergeCell ref="F21:J21"/>
    <mergeCell ref="F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44"/>
    <col collapsed="false" customWidth="true" hidden="false" outlineLevel="0" max="5" min="5" style="1" width="15"/>
    <col collapsed="false" customWidth="true" hidden="false" outlineLevel="0" max="6" min="6" style="1" width="62"/>
    <col collapsed="false" customWidth="true" hidden="false" outlineLevel="0" max="7" min="7" style="1" width="58"/>
    <col collapsed="false" customWidth="true" hidden="false" outlineLevel="0" max="8" min="8" style="1" width="36"/>
    <col collapsed="false" customWidth="true" hidden="false" outlineLevel="0" max="9" min="9" style="1" width="18"/>
    <col collapsed="false" customWidth="true" hidden="false" outlineLevel="0" max="10" min="10" style="1" width="16"/>
  </cols>
  <sheetData>
    <row r="1" customFormat="false" ht="31.5" hidden="false" customHeight="true" outlineLevel="0" collapsed="false">
      <c r="A1" s="2" t="s">
        <v>6778</v>
      </c>
      <c r="B1" s="2"/>
      <c r="C1" s="2"/>
      <c r="D1" s="2"/>
      <c r="E1" s="2"/>
      <c r="F1" s="2"/>
      <c r="G1" s="2"/>
      <c r="H1" s="2"/>
      <c r="I1" s="2"/>
      <c r="J1" s="2"/>
    </row>
    <row r="2" customFormat="false" ht="45.75" hidden="false" customHeight="true" outlineLevel="0" collapsed="false">
      <c r="A2" s="3" t="s">
        <v>6779</v>
      </c>
      <c r="B2" s="3"/>
      <c r="C2" s="3"/>
      <c r="D2" s="3"/>
      <c r="E2" s="3"/>
      <c r="F2" s="3"/>
      <c r="G2" s="3"/>
      <c r="H2" s="3"/>
      <c r="I2" s="3"/>
      <c r="J2" s="3"/>
    </row>
    <row r="3" customFormat="false" ht="45.75" hidden="false" customHeight="true" outlineLevel="0" collapsed="false">
      <c r="A3" s="3" t="s">
        <v>6780</v>
      </c>
      <c r="B3" s="3"/>
      <c r="C3" s="3"/>
      <c r="D3" s="3"/>
      <c r="E3" s="3"/>
      <c r="F3" s="3"/>
      <c r="G3" s="3"/>
      <c r="H3" s="3"/>
      <c r="I3" s="3"/>
      <c r="J3" s="3"/>
    </row>
    <row r="4" customFormat="false" ht="45.75" hidden="false" customHeight="true" outlineLevel="0" collapsed="false">
      <c r="A4" s="3" t="s">
        <v>6781</v>
      </c>
      <c r="B4" s="3"/>
      <c r="C4" s="3"/>
      <c r="D4" s="3"/>
      <c r="E4" s="3"/>
      <c r="F4" s="3"/>
      <c r="G4" s="3"/>
      <c r="H4" s="3"/>
      <c r="I4" s="3"/>
      <c r="J4" s="3"/>
    </row>
    <row r="5" customFormat="false" ht="45.75" hidden="false" customHeight="true" outlineLevel="0" collapsed="false">
      <c r="A5" s="3" t="s">
        <v>6782</v>
      </c>
      <c r="B5" s="3"/>
      <c r="C5" s="3"/>
      <c r="D5" s="3"/>
      <c r="E5" s="3"/>
      <c r="F5" s="3"/>
      <c r="G5" s="3"/>
      <c r="H5" s="3"/>
      <c r="I5" s="3"/>
      <c r="J5" s="3"/>
    </row>
    <row r="6" customFormat="false" ht="17.25" hidden="false" customHeight="true" outlineLevel="0" collapsed="false"/>
    <row r="7" customFormat="false" ht="18" hidden="false" customHeight="true" outlineLevel="0" collapsed="false">
      <c r="A7" s="26" t="s">
        <v>5514</v>
      </c>
      <c r="B7" s="26"/>
      <c r="C7" s="26"/>
      <c r="D7" s="26"/>
      <c r="E7" s="26"/>
      <c r="F7" s="26"/>
      <c r="G7" s="26"/>
      <c r="H7" s="26"/>
      <c r="I7" s="26"/>
      <c r="J7" s="26"/>
    </row>
    <row r="8" customFormat="false" ht="24" hidden="false" customHeight="true" outlineLevel="0" collapsed="false">
      <c r="A8" s="3" t="s">
        <v>5515</v>
      </c>
      <c r="B8" s="3"/>
      <c r="C8" s="3"/>
      <c r="D8" s="3"/>
      <c r="E8" s="3"/>
      <c r="F8" s="3"/>
      <c r="G8" s="3"/>
      <c r="H8" s="3"/>
      <c r="I8" s="3"/>
      <c r="J8" s="3"/>
    </row>
    <row r="9" customFormat="false" ht="24" hidden="false" customHeight="true" outlineLevel="0" collapsed="false">
      <c r="A9" s="3" t="s">
        <v>5516</v>
      </c>
      <c r="B9" s="3"/>
      <c r="C9" s="3"/>
      <c r="D9" s="3"/>
      <c r="E9" s="3"/>
      <c r="F9" s="3"/>
      <c r="G9" s="3"/>
      <c r="H9" s="3"/>
      <c r="I9" s="3"/>
      <c r="J9" s="3"/>
    </row>
    <row r="10" customFormat="false" ht="24" hidden="false" customHeight="true" outlineLevel="0" collapsed="false">
      <c r="A10" s="3" t="s">
        <v>5517</v>
      </c>
      <c r="B10" s="3"/>
      <c r="C10" s="3"/>
      <c r="D10" s="3"/>
      <c r="E10" s="3"/>
      <c r="F10" s="3"/>
      <c r="G10" s="3"/>
      <c r="H10" s="3"/>
      <c r="I10" s="3"/>
      <c r="J10" s="3"/>
    </row>
    <row r="11" customFormat="false" ht="24" hidden="false" customHeight="true" outlineLevel="0" collapsed="false">
      <c r="A11" s="3" t="s">
        <v>5518</v>
      </c>
      <c r="B11" s="3"/>
      <c r="C11" s="3"/>
      <c r="D11" s="3"/>
      <c r="E11" s="3"/>
      <c r="F11" s="3"/>
      <c r="G11" s="3"/>
      <c r="H11" s="3"/>
      <c r="I11" s="3"/>
      <c r="J11" s="3"/>
    </row>
    <row r="12" customFormat="false" ht="17.25" hidden="false" customHeight="true" outlineLevel="0" collapsed="false"/>
    <row r="13" customFormat="false" ht="27.75" hidden="false" customHeight="true" outlineLevel="0" collapsed="false">
      <c r="A13" s="5" t="s">
        <v>5519</v>
      </c>
      <c r="B13" s="5"/>
      <c r="C13" s="5"/>
      <c r="D13" s="5"/>
      <c r="E13" s="5"/>
      <c r="F13" s="5"/>
      <c r="G13" s="5"/>
      <c r="H13" s="5"/>
      <c r="I13" s="5"/>
      <c r="J13" s="5"/>
    </row>
    <row r="14" customFormat="false" ht="18" hidden="false" customHeight="true" outlineLevel="0" collapsed="false">
      <c r="A14" s="6" t="s">
        <v>5520</v>
      </c>
      <c r="B14" s="6" t="s">
        <v>5521</v>
      </c>
      <c r="C14" s="6" t="s">
        <v>132</v>
      </c>
      <c r="D14" s="6" t="s">
        <v>138</v>
      </c>
      <c r="E14" s="6" t="s">
        <v>144</v>
      </c>
      <c r="F14" s="6" t="s">
        <v>5522</v>
      </c>
      <c r="G14" s="6"/>
      <c r="H14" s="6"/>
      <c r="I14" s="6"/>
      <c r="J14" s="6"/>
    </row>
    <row r="15" customFormat="false" ht="45.75" hidden="false" customHeight="true" outlineLevel="0" collapsed="false">
      <c r="A15" s="7" t="s">
        <v>162</v>
      </c>
      <c r="B15" s="7" t="n">
        <f aca="false">COUNTIF($C$21:$C$68,$A15)</f>
        <v>22</v>
      </c>
      <c r="C15" s="7" t="n">
        <f aca="false">COUNTIFS($C$21:$C$68,$A15,$I$21:$I$68,"Level 1*")</f>
        <v>9</v>
      </c>
      <c r="D15" s="7" t="n">
        <f aca="false">COUNTIFS($C$21:$C$68,$A15,$I$21:$I$68,"Level 2*")</f>
        <v>13</v>
      </c>
      <c r="E15" s="7" t="n">
        <f aca="false">COUNTIFS($C$21:$C$68,$A15,$I$21:$I$68,"Level 3*")</f>
        <v>0</v>
      </c>
      <c r="F15" s="7" t="s">
        <v>6783</v>
      </c>
      <c r="G15" s="7"/>
      <c r="H15" s="7"/>
      <c r="I15" s="7"/>
      <c r="J15" s="7"/>
    </row>
    <row r="16" customFormat="false" ht="45.75" hidden="false" customHeight="true" outlineLevel="0" collapsed="false">
      <c r="A16" s="7" t="s">
        <v>1920</v>
      </c>
      <c r="B16" s="7" t="n">
        <f aca="false">COUNTIF($C$21:$C$68,$A16)</f>
        <v>24</v>
      </c>
      <c r="C16" s="7" t="n">
        <f aca="false">COUNTIFS($C$21:$C$68,$A16,$I$21:$I$68,"Level 1*")</f>
        <v>5</v>
      </c>
      <c r="D16" s="7" t="n">
        <f aca="false">COUNTIFS($C$21:$C$68,$A16,$I$21:$I$68,"Level 2*")</f>
        <v>19</v>
      </c>
      <c r="E16" s="7" t="n">
        <f aca="false">COUNTIFS($C$21:$C$68,$A16,$I$21:$I$68,"Level 3*")</f>
        <v>0</v>
      </c>
      <c r="F16" s="7" t="s">
        <v>6784</v>
      </c>
      <c r="G16" s="7"/>
      <c r="H16" s="7"/>
      <c r="I16" s="7"/>
      <c r="J16" s="7"/>
    </row>
    <row r="17" customFormat="false" ht="31.5" hidden="false" customHeight="true" outlineLevel="0" collapsed="false">
      <c r="A17" s="7" t="s">
        <v>3225</v>
      </c>
      <c r="B17" s="7" t="n">
        <f aca="false">COUNTIF($C$21:$C$68,$A17)</f>
        <v>2</v>
      </c>
      <c r="C17" s="7" t="n">
        <f aca="false">COUNTIFS($C$21:$C$68,$A17,$I$21:$I$68,"Level 1*")</f>
        <v>0</v>
      </c>
      <c r="D17" s="7" t="n">
        <f aca="false">COUNTIFS($C$21:$C$68,$A17,$I$21:$I$68,"Level 2*")</f>
        <v>2</v>
      </c>
      <c r="E17" s="7" t="n">
        <f aca="false">COUNTIFS($C$21:$C$68,$A17,$I$21:$I$68,"Level 3*")</f>
        <v>0</v>
      </c>
      <c r="F17" s="7" t="s">
        <v>6785</v>
      </c>
      <c r="G17" s="7"/>
      <c r="H17" s="7"/>
      <c r="I17" s="7"/>
      <c r="J17" s="7"/>
    </row>
    <row r="18" customFormat="false" ht="18" hidden="false" customHeight="true" outlineLevel="0" collapsed="false">
      <c r="A18" s="22" t="s">
        <v>5446</v>
      </c>
      <c r="B18" s="22" t="n">
        <f aca="false">SUM(B15:B17)</f>
        <v>48</v>
      </c>
      <c r="C18" s="22" t="n">
        <f aca="false">SUM(C15:C17)</f>
        <v>14</v>
      </c>
      <c r="D18" s="22" t="n">
        <f aca="false">SUM(D15:D17)</f>
        <v>34</v>
      </c>
      <c r="E18" s="22" t="n">
        <f aca="false">SUM(E15:E17)</f>
        <v>0</v>
      </c>
    </row>
    <row r="19" customFormat="false" ht="17.25" hidden="false" customHeight="true" outlineLevel="0" collapsed="false"/>
    <row r="20" customFormat="false" ht="39.75" hidden="false" customHeight="true" outlineLevel="0" collapsed="false">
      <c r="A20" s="8" t="s">
        <v>150</v>
      </c>
      <c r="B20" s="8" t="s">
        <v>151</v>
      </c>
      <c r="C20" s="8" t="s">
        <v>10</v>
      </c>
      <c r="D20" s="8" t="s">
        <v>152</v>
      </c>
      <c r="E20" s="8" t="s">
        <v>5534</v>
      </c>
      <c r="F20" s="8" t="s">
        <v>5535</v>
      </c>
      <c r="G20" s="8" t="s">
        <v>5536</v>
      </c>
      <c r="H20" s="8" t="s">
        <v>5537</v>
      </c>
      <c r="I20" s="8" t="s">
        <v>126</v>
      </c>
      <c r="J20" s="8" t="s">
        <v>154</v>
      </c>
    </row>
    <row r="21" customFormat="false" ht="78" hidden="false" customHeight="true" outlineLevel="0" collapsed="false">
      <c r="A21" s="7" t="s">
        <v>171</v>
      </c>
      <c r="B21" s="7" t="s">
        <v>172</v>
      </c>
      <c r="C21" s="7" t="s">
        <v>162</v>
      </c>
      <c r="D21" s="7" t="s">
        <v>173</v>
      </c>
      <c r="E21" s="7" t="s">
        <v>5551</v>
      </c>
      <c r="F21" s="7" t="s">
        <v>6786</v>
      </c>
      <c r="G21" s="7" t="s">
        <v>6787</v>
      </c>
      <c r="H21" s="7" t="s">
        <v>6788</v>
      </c>
      <c r="I21" s="11" t="s">
        <v>5555</v>
      </c>
      <c r="J21" s="7" t="s">
        <v>175</v>
      </c>
    </row>
    <row r="22" customFormat="false" ht="39" hidden="false" customHeight="true" outlineLevel="0" collapsed="false">
      <c r="A22" s="7" t="s">
        <v>181</v>
      </c>
      <c r="B22" s="7" t="s">
        <v>182</v>
      </c>
      <c r="C22" s="7" t="s">
        <v>162</v>
      </c>
      <c r="D22" s="7" t="s">
        <v>183</v>
      </c>
      <c r="E22" s="7" t="s">
        <v>5542</v>
      </c>
      <c r="F22" s="7" t="s">
        <v>6789</v>
      </c>
      <c r="G22" s="7" t="s">
        <v>6790</v>
      </c>
      <c r="H22" s="7" t="s">
        <v>6791</v>
      </c>
      <c r="I22" s="12" t="s">
        <v>5562</v>
      </c>
      <c r="J22" s="7" t="s">
        <v>175</v>
      </c>
    </row>
    <row r="23" customFormat="false" ht="58.5" hidden="false" customHeight="true" outlineLevel="0" collapsed="false">
      <c r="A23" s="7" t="s">
        <v>187</v>
      </c>
      <c r="B23" s="7" t="s">
        <v>188</v>
      </c>
      <c r="C23" s="7" t="s">
        <v>162</v>
      </c>
      <c r="D23" s="7" t="s">
        <v>189</v>
      </c>
      <c r="E23" s="7" t="s">
        <v>5551</v>
      </c>
      <c r="F23" s="7" t="s">
        <v>6792</v>
      </c>
      <c r="G23" s="7" t="s">
        <v>6793</v>
      </c>
      <c r="H23" s="7" t="s">
        <v>6794</v>
      </c>
      <c r="I23" s="12" t="s">
        <v>5562</v>
      </c>
      <c r="J23" s="7" t="s">
        <v>175</v>
      </c>
    </row>
    <row r="24" customFormat="false" ht="58.5" hidden="false" customHeight="true" outlineLevel="0" collapsed="false">
      <c r="A24" s="7" t="s">
        <v>192</v>
      </c>
      <c r="B24" s="7" t="s">
        <v>193</v>
      </c>
      <c r="C24" s="7" t="s">
        <v>162</v>
      </c>
      <c r="D24" s="7" t="s">
        <v>194</v>
      </c>
      <c r="E24" s="7" t="s">
        <v>5551</v>
      </c>
      <c r="F24" s="7" t="s">
        <v>6795</v>
      </c>
      <c r="G24" s="7" t="s">
        <v>6796</v>
      </c>
      <c r="H24" s="7" t="s">
        <v>6797</v>
      </c>
      <c r="I24" s="12" t="s">
        <v>5562</v>
      </c>
      <c r="J24" s="7" t="s">
        <v>175</v>
      </c>
    </row>
    <row r="25" customFormat="false" ht="39" hidden="false" customHeight="true" outlineLevel="0" collapsed="false">
      <c r="A25" s="7" t="s">
        <v>197</v>
      </c>
      <c r="B25" s="7" t="s">
        <v>198</v>
      </c>
      <c r="C25" s="7" t="s">
        <v>162</v>
      </c>
      <c r="D25" s="7" t="s">
        <v>199</v>
      </c>
      <c r="E25" s="7" t="s">
        <v>5573</v>
      </c>
      <c r="F25" s="7" t="s">
        <v>6798</v>
      </c>
      <c r="G25" s="7" t="s">
        <v>6799</v>
      </c>
      <c r="H25" s="7" t="s">
        <v>6800</v>
      </c>
      <c r="I25" s="11" t="s">
        <v>5555</v>
      </c>
      <c r="J25" s="7" t="s">
        <v>175</v>
      </c>
    </row>
    <row r="26" customFormat="false" ht="58.5" hidden="false" customHeight="true" outlineLevel="0" collapsed="false">
      <c r="A26" s="7" t="s">
        <v>207</v>
      </c>
      <c r="B26" s="7" t="s">
        <v>208</v>
      </c>
      <c r="C26" s="7" t="s">
        <v>162</v>
      </c>
      <c r="D26" s="7" t="s">
        <v>209</v>
      </c>
      <c r="E26" s="7" t="s">
        <v>5542</v>
      </c>
      <c r="F26" s="7" t="s">
        <v>6801</v>
      </c>
      <c r="G26" s="7" t="s">
        <v>6802</v>
      </c>
      <c r="H26" s="7" t="s">
        <v>6803</v>
      </c>
      <c r="I26" s="12" t="s">
        <v>5562</v>
      </c>
      <c r="J26" s="7" t="s">
        <v>175</v>
      </c>
    </row>
    <row r="27" customFormat="false" ht="58.5" hidden="false" customHeight="true" outlineLevel="0" collapsed="false">
      <c r="A27" s="7" t="s">
        <v>212</v>
      </c>
      <c r="B27" s="7" t="s">
        <v>213</v>
      </c>
      <c r="C27" s="7" t="s">
        <v>162</v>
      </c>
      <c r="D27" s="7" t="s">
        <v>214</v>
      </c>
      <c r="E27" s="7" t="s">
        <v>5551</v>
      </c>
      <c r="F27" s="7" t="s">
        <v>6804</v>
      </c>
      <c r="G27" s="7" t="s">
        <v>6805</v>
      </c>
      <c r="H27" s="7" t="s">
        <v>6806</v>
      </c>
      <c r="I27" s="11" t="s">
        <v>5555</v>
      </c>
      <c r="J27" s="7" t="s">
        <v>175</v>
      </c>
    </row>
    <row r="28" customFormat="false" ht="58.5" hidden="false" customHeight="true" outlineLevel="0" collapsed="false">
      <c r="A28" s="7" t="s">
        <v>222</v>
      </c>
      <c r="B28" s="7" t="s">
        <v>223</v>
      </c>
      <c r="C28" s="7" t="s">
        <v>162</v>
      </c>
      <c r="D28" s="7" t="s">
        <v>224</v>
      </c>
      <c r="E28" s="7" t="s">
        <v>5551</v>
      </c>
      <c r="F28" s="7" t="s">
        <v>6807</v>
      </c>
      <c r="G28" s="7" t="s">
        <v>6808</v>
      </c>
      <c r="H28" s="7" t="s">
        <v>6809</v>
      </c>
      <c r="I28" s="12" t="s">
        <v>5562</v>
      </c>
      <c r="J28" s="7" t="s">
        <v>175</v>
      </c>
    </row>
    <row r="29" customFormat="false" ht="39" hidden="false" customHeight="true" outlineLevel="0" collapsed="false">
      <c r="A29" s="7" t="s">
        <v>227</v>
      </c>
      <c r="B29" s="7" t="s">
        <v>228</v>
      </c>
      <c r="C29" s="7" t="s">
        <v>162</v>
      </c>
      <c r="D29" s="7" t="s">
        <v>229</v>
      </c>
      <c r="E29" s="7" t="s">
        <v>5551</v>
      </c>
      <c r="F29" s="7" t="s">
        <v>6810</v>
      </c>
      <c r="G29" s="7" t="s">
        <v>6811</v>
      </c>
      <c r="H29" s="7" t="s">
        <v>5592</v>
      </c>
      <c r="I29" s="12" t="s">
        <v>5562</v>
      </c>
      <c r="J29" s="7" t="s">
        <v>175</v>
      </c>
    </row>
    <row r="30" customFormat="false" ht="58.5" hidden="false" customHeight="true" outlineLevel="0" collapsed="false">
      <c r="A30" s="7" t="s">
        <v>232</v>
      </c>
      <c r="B30" s="7" t="s">
        <v>233</v>
      </c>
      <c r="C30" s="7" t="s">
        <v>162</v>
      </c>
      <c r="D30" s="7" t="s">
        <v>234</v>
      </c>
      <c r="E30" s="7" t="s">
        <v>5573</v>
      </c>
      <c r="F30" s="7" t="s">
        <v>6812</v>
      </c>
      <c r="G30" s="7" t="s">
        <v>6813</v>
      </c>
      <c r="H30" s="7" t="s">
        <v>6814</v>
      </c>
      <c r="I30" s="12" t="s">
        <v>5562</v>
      </c>
      <c r="J30" s="7" t="s">
        <v>175</v>
      </c>
    </row>
    <row r="31" customFormat="false" ht="58.5" hidden="false" customHeight="true" outlineLevel="0" collapsed="false">
      <c r="A31" s="7" t="s">
        <v>237</v>
      </c>
      <c r="B31" s="7" t="s">
        <v>238</v>
      </c>
      <c r="C31" s="7" t="s">
        <v>162</v>
      </c>
      <c r="D31" s="7" t="s">
        <v>239</v>
      </c>
      <c r="E31" s="7" t="s">
        <v>5551</v>
      </c>
      <c r="F31" s="7" t="s">
        <v>6815</v>
      </c>
      <c r="G31" s="7" t="s">
        <v>6816</v>
      </c>
      <c r="H31" s="7" t="s">
        <v>6817</v>
      </c>
      <c r="I31" s="12" t="s">
        <v>5562</v>
      </c>
      <c r="J31" s="7" t="s">
        <v>175</v>
      </c>
    </row>
    <row r="32" customFormat="false" ht="58.5" hidden="false" customHeight="true" outlineLevel="0" collapsed="false">
      <c r="A32" s="7" t="s">
        <v>242</v>
      </c>
      <c r="B32" s="7" t="s">
        <v>243</v>
      </c>
      <c r="C32" s="7" t="s">
        <v>162</v>
      </c>
      <c r="D32" s="7" t="s">
        <v>244</v>
      </c>
      <c r="E32" s="7" t="s">
        <v>5551</v>
      </c>
      <c r="F32" s="7" t="s">
        <v>6818</v>
      </c>
      <c r="G32" s="7" t="s">
        <v>6819</v>
      </c>
      <c r="H32" s="7" t="s">
        <v>6820</v>
      </c>
      <c r="I32" s="11" t="s">
        <v>5555</v>
      </c>
      <c r="J32" s="7" t="s">
        <v>245</v>
      </c>
    </row>
    <row r="33" customFormat="false" ht="58.5" hidden="false" customHeight="true" outlineLevel="0" collapsed="false">
      <c r="A33" s="7" t="s">
        <v>270</v>
      </c>
      <c r="B33" s="7" t="s">
        <v>271</v>
      </c>
      <c r="C33" s="7" t="s">
        <v>162</v>
      </c>
      <c r="D33" s="7" t="s">
        <v>272</v>
      </c>
      <c r="E33" s="7" t="s">
        <v>5551</v>
      </c>
      <c r="F33" s="7" t="s">
        <v>6821</v>
      </c>
      <c r="G33" s="7" t="s">
        <v>6822</v>
      </c>
      <c r="H33" s="7" t="s">
        <v>6823</v>
      </c>
      <c r="I33" s="12" t="s">
        <v>5562</v>
      </c>
      <c r="J33" s="7" t="s">
        <v>245</v>
      </c>
    </row>
    <row r="34" customFormat="false" ht="58.5" hidden="false" customHeight="true" outlineLevel="0" collapsed="false">
      <c r="A34" s="7" t="s">
        <v>300</v>
      </c>
      <c r="B34" s="7" t="s">
        <v>301</v>
      </c>
      <c r="C34" s="7" t="s">
        <v>162</v>
      </c>
      <c r="D34" s="7" t="s">
        <v>302</v>
      </c>
      <c r="E34" s="7" t="s">
        <v>5551</v>
      </c>
      <c r="F34" s="7" t="s">
        <v>6824</v>
      </c>
      <c r="G34" s="7" t="s">
        <v>6825</v>
      </c>
      <c r="H34" s="7" t="s">
        <v>6826</v>
      </c>
      <c r="I34" s="12" t="s">
        <v>5562</v>
      </c>
      <c r="J34" s="7" t="s">
        <v>245</v>
      </c>
    </row>
    <row r="35" customFormat="false" ht="58.5" hidden="false" customHeight="true" outlineLevel="0" collapsed="false">
      <c r="A35" s="7" t="s">
        <v>474</v>
      </c>
      <c r="B35" s="7" t="s">
        <v>475</v>
      </c>
      <c r="C35" s="7" t="s">
        <v>162</v>
      </c>
      <c r="D35" s="7" t="s">
        <v>476</v>
      </c>
      <c r="E35" s="7" t="s">
        <v>5542</v>
      </c>
      <c r="F35" s="7" t="s">
        <v>6827</v>
      </c>
      <c r="G35" s="7" t="s">
        <v>6828</v>
      </c>
      <c r="H35" s="7" t="s">
        <v>6829</v>
      </c>
      <c r="I35" s="12" t="s">
        <v>5562</v>
      </c>
      <c r="J35" s="7" t="s">
        <v>245</v>
      </c>
    </row>
    <row r="36" customFormat="false" ht="58.5" hidden="false" customHeight="true" outlineLevel="0" collapsed="false">
      <c r="A36" s="7" t="s">
        <v>480</v>
      </c>
      <c r="B36" s="7" t="s">
        <v>481</v>
      </c>
      <c r="C36" s="7" t="s">
        <v>162</v>
      </c>
      <c r="D36" s="7" t="s">
        <v>482</v>
      </c>
      <c r="E36" s="7" t="s">
        <v>5551</v>
      </c>
      <c r="F36" s="7" t="s">
        <v>6830</v>
      </c>
      <c r="G36" s="7" t="s">
        <v>6831</v>
      </c>
      <c r="H36" s="7" t="s">
        <v>6832</v>
      </c>
      <c r="I36" s="11" t="s">
        <v>5555</v>
      </c>
      <c r="J36" s="7" t="s">
        <v>245</v>
      </c>
    </row>
    <row r="37" customFormat="false" ht="39" hidden="false" customHeight="true" outlineLevel="0" collapsed="false">
      <c r="A37" s="7" t="s">
        <v>505</v>
      </c>
      <c r="B37" s="7" t="s">
        <v>506</v>
      </c>
      <c r="C37" s="7" t="s">
        <v>162</v>
      </c>
      <c r="D37" s="7" t="s">
        <v>507</v>
      </c>
      <c r="E37" s="7" t="s">
        <v>5551</v>
      </c>
      <c r="F37" s="7" t="s">
        <v>6833</v>
      </c>
      <c r="G37" s="7" t="s">
        <v>6834</v>
      </c>
      <c r="H37" s="7" t="s">
        <v>6835</v>
      </c>
      <c r="I37" s="11" t="s">
        <v>5555</v>
      </c>
      <c r="J37" s="7" t="s">
        <v>245</v>
      </c>
    </row>
    <row r="38" customFormat="false" ht="58.5" hidden="false" customHeight="true" outlineLevel="0" collapsed="false">
      <c r="A38" s="7" t="s">
        <v>515</v>
      </c>
      <c r="B38" s="7" t="s">
        <v>516</v>
      </c>
      <c r="C38" s="7" t="s">
        <v>162</v>
      </c>
      <c r="D38" s="7" t="s">
        <v>517</v>
      </c>
      <c r="E38" s="7" t="s">
        <v>5542</v>
      </c>
      <c r="F38" s="7" t="s">
        <v>6836</v>
      </c>
      <c r="G38" s="7" t="s">
        <v>6837</v>
      </c>
      <c r="H38" s="7" t="s">
        <v>6838</v>
      </c>
      <c r="I38" s="12" t="s">
        <v>5562</v>
      </c>
      <c r="J38" s="7" t="s">
        <v>245</v>
      </c>
    </row>
    <row r="39" customFormat="false" ht="39" hidden="false" customHeight="true" outlineLevel="0" collapsed="false">
      <c r="A39" s="7" t="s">
        <v>525</v>
      </c>
      <c r="B39" s="7" t="s">
        <v>526</v>
      </c>
      <c r="C39" s="7" t="s">
        <v>162</v>
      </c>
      <c r="D39" s="7" t="s">
        <v>527</v>
      </c>
      <c r="E39" s="7" t="s">
        <v>5573</v>
      </c>
      <c r="F39" s="7" t="s">
        <v>6839</v>
      </c>
      <c r="G39" s="7" t="s">
        <v>6840</v>
      </c>
      <c r="H39" s="7" t="s">
        <v>6841</v>
      </c>
      <c r="I39" s="11" t="s">
        <v>5555</v>
      </c>
      <c r="J39" s="7" t="s">
        <v>245</v>
      </c>
    </row>
    <row r="40" customFormat="false" ht="58.5" hidden="false" customHeight="true" outlineLevel="0" collapsed="false">
      <c r="A40" s="7" t="s">
        <v>535</v>
      </c>
      <c r="B40" s="7" t="s">
        <v>536</v>
      </c>
      <c r="C40" s="7" t="s">
        <v>162</v>
      </c>
      <c r="D40" s="7" t="s">
        <v>537</v>
      </c>
      <c r="E40" s="7" t="s">
        <v>5551</v>
      </c>
      <c r="F40" s="7" t="s">
        <v>6842</v>
      </c>
      <c r="G40" s="7" t="s">
        <v>6843</v>
      </c>
      <c r="H40" s="7" t="s">
        <v>6844</v>
      </c>
      <c r="I40" s="11" t="s">
        <v>5555</v>
      </c>
      <c r="J40" s="7" t="s">
        <v>538</v>
      </c>
    </row>
    <row r="41" customFormat="false" ht="39" hidden="false" customHeight="true" outlineLevel="0" collapsed="false">
      <c r="A41" s="7" t="s">
        <v>593</v>
      </c>
      <c r="B41" s="7" t="s">
        <v>594</v>
      </c>
      <c r="C41" s="7" t="s">
        <v>162</v>
      </c>
      <c r="D41" s="7" t="s">
        <v>595</v>
      </c>
      <c r="E41" s="7" t="s">
        <v>5551</v>
      </c>
      <c r="F41" s="7" t="s">
        <v>6845</v>
      </c>
      <c r="G41" s="7" t="s">
        <v>6846</v>
      </c>
      <c r="H41" s="7" t="s">
        <v>5580</v>
      </c>
      <c r="I41" s="12" t="s">
        <v>5562</v>
      </c>
      <c r="J41" s="7" t="s">
        <v>245</v>
      </c>
    </row>
    <row r="42" customFormat="false" ht="58.5" hidden="false" customHeight="true" outlineLevel="0" collapsed="false">
      <c r="A42" s="7" t="s">
        <v>609</v>
      </c>
      <c r="B42" s="7" t="s">
        <v>610</v>
      </c>
      <c r="C42" s="7" t="s">
        <v>162</v>
      </c>
      <c r="D42" s="7" t="s">
        <v>611</v>
      </c>
      <c r="E42" s="7" t="s">
        <v>5551</v>
      </c>
      <c r="F42" s="7" t="s">
        <v>6847</v>
      </c>
      <c r="G42" s="7" t="s">
        <v>6848</v>
      </c>
      <c r="H42" s="7" t="s">
        <v>5580</v>
      </c>
      <c r="I42" s="11" t="s">
        <v>5555</v>
      </c>
      <c r="J42" s="7" t="s">
        <v>538</v>
      </c>
    </row>
    <row r="43" customFormat="false" ht="58.5" hidden="false" customHeight="true" outlineLevel="0" collapsed="false">
      <c r="A43" s="7" t="s">
        <v>1923</v>
      </c>
      <c r="B43" s="7" t="s">
        <v>1924</v>
      </c>
      <c r="C43" s="7" t="s">
        <v>1920</v>
      </c>
      <c r="D43" s="7" t="s">
        <v>1925</v>
      </c>
      <c r="E43" s="7" t="s">
        <v>5551</v>
      </c>
      <c r="F43" s="7" t="s">
        <v>6849</v>
      </c>
      <c r="G43" s="7" t="s">
        <v>6850</v>
      </c>
      <c r="H43" s="7" t="s">
        <v>6851</v>
      </c>
      <c r="I43" s="11" t="s">
        <v>5555</v>
      </c>
      <c r="J43" s="7" t="s">
        <v>538</v>
      </c>
    </row>
    <row r="44" customFormat="false" ht="78" hidden="false" customHeight="true" outlineLevel="0" collapsed="false">
      <c r="A44" s="7" t="s">
        <v>1928</v>
      </c>
      <c r="B44" s="7" t="s">
        <v>1929</v>
      </c>
      <c r="C44" s="7" t="s">
        <v>1920</v>
      </c>
      <c r="D44" s="7" t="s">
        <v>1930</v>
      </c>
      <c r="E44" s="7" t="s">
        <v>5551</v>
      </c>
      <c r="F44" s="7" t="s">
        <v>6852</v>
      </c>
      <c r="G44" s="7" t="s">
        <v>6853</v>
      </c>
      <c r="H44" s="7" t="s">
        <v>6854</v>
      </c>
      <c r="I44" s="11" t="s">
        <v>5555</v>
      </c>
      <c r="J44" s="7" t="s">
        <v>538</v>
      </c>
    </row>
    <row r="45" customFormat="false" ht="78" hidden="false" customHeight="true" outlineLevel="0" collapsed="false">
      <c r="A45" s="7" t="s">
        <v>1933</v>
      </c>
      <c r="B45" s="7" t="s">
        <v>1934</v>
      </c>
      <c r="C45" s="7" t="s">
        <v>1920</v>
      </c>
      <c r="D45" s="7" t="s">
        <v>1935</v>
      </c>
      <c r="E45" s="7" t="s">
        <v>5551</v>
      </c>
      <c r="F45" s="7" t="s">
        <v>6855</v>
      </c>
      <c r="G45" s="7" t="s">
        <v>6856</v>
      </c>
      <c r="H45" s="7" t="s">
        <v>6857</v>
      </c>
      <c r="I45" s="11" t="s">
        <v>5555</v>
      </c>
      <c r="J45" s="7" t="s">
        <v>538</v>
      </c>
    </row>
    <row r="46" customFormat="false" ht="78" hidden="false" customHeight="true" outlineLevel="0" collapsed="false">
      <c r="A46" s="7" t="s">
        <v>1938</v>
      </c>
      <c r="B46" s="7" t="s">
        <v>1939</v>
      </c>
      <c r="C46" s="7" t="s">
        <v>1920</v>
      </c>
      <c r="D46" s="7" t="s">
        <v>1940</v>
      </c>
      <c r="E46" s="7" t="s">
        <v>5551</v>
      </c>
      <c r="F46" s="7" t="s">
        <v>6858</v>
      </c>
      <c r="G46" s="7" t="s">
        <v>6859</v>
      </c>
      <c r="H46" s="7" t="s">
        <v>6860</v>
      </c>
      <c r="I46" s="12" t="s">
        <v>5562</v>
      </c>
      <c r="J46" s="7" t="s">
        <v>538</v>
      </c>
    </row>
    <row r="47" customFormat="false" ht="58.5" hidden="false" customHeight="true" outlineLevel="0" collapsed="false">
      <c r="A47" s="7" t="s">
        <v>1943</v>
      </c>
      <c r="B47" s="7" t="s">
        <v>1944</v>
      </c>
      <c r="C47" s="7" t="s">
        <v>1920</v>
      </c>
      <c r="D47" s="7" t="s">
        <v>1945</v>
      </c>
      <c r="E47" s="7" t="s">
        <v>5551</v>
      </c>
      <c r="F47" s="7" t="s">
        <v>6861</v>
      </c>
      <c r="G47" s="7" t="s">
        <v>6862</v>
      </c>
      <c r="H47" s="7" t="s">
        <v>6863</v>
      </c>
      <c r="I47" s="12" t="s">
        <v>5562</v>
      </c>
      <c r="J47" s="7" t="s">
        <v>538</v>
      </c>
    </row>
    <row r="48" customFormat="false" ht="58.5" hidden="false" customHeight="true" outlineLevel="0" collapsed="false">
      <c r="A48" s="7" t="s">
        <v>1948</v>
      </c>
      <c r="B48" s="7" t="s">
        <v>1949</v>
      </c>
      <c r="C48" s="7" t="s">
        <v>1920</v>
      </c>
      <c r="D48" s="7" t="s">
        <v>1950</v>
      </c>
      <c r="E48" s="7" t="s">
        <v>5551</v>
      </c>
      <c r="F48" s="7" t="s">
        <v>6864</v>
      </c>
      <c r="G48" s="7" t="s">
        <v>6865</v>
      </c>
      <c r="H48" s="7" t="s">
        <v>6866</v>
      </c>
      <c r="I48" s="12" t="s">
        <v>5562</v>
      </c>
      <c r="J48" s="7" t="s">
        <v>538</v>
      </c>
    </row>
    <row r="49" customFormat="false" ht="58.5" hidden="false" customHeight="true" outlineLevel="0" collapsed="false">
      <c r="A49" s="7" t="s">
        <v>1953</v>
      </c>
      <c r="B49" s="7" t="s">
        <v>1954</v>
      </c>
      <c r="C49" s="7" t="s">
        <v>1920</v>
      </c>
      <c r="D49" s="7" t="s">
        <v>1955</v>
      </c>
      <c r="E49" s="7" t="s">
        <v>5542</v>
      </c>
      <c r="F49" s="7" t="s">
        <v>6867</v>
      </c>
      <c r="G49" s="7" t="s">
        <v>6868</v>
      </c>
      <c r="H49" s="7" t="s">
        <v>6869</v>
      </c>
      <c r="I49" s="12" t="s">
        <v>5562</v>
      </c>
      <c r="J49" s="7" t="s">
        <v>538</v>
      </c>
    </row>
    <row r="50" customFormat="false" ht="58.5" hidden="false" customHeight="true" outlineLevel="0" collapsed="false">
      <c r="A50" s="7" t="s">
        <v>1963</v>
      </c>
      <c r="B50" s="7" t="s">
        <v>1964</v>
      </c>
      <c r="C50" s="7" t="s">
        <v>1920</v>
      </c>
      <c r="D50" s="7" t="s">
        <v>1965</v>
      </c>
      <c r="E50" s="7" t="s">
        <v>5551</v>
      </c>
      <c r="F50" s="7" t="s">
        <v>6870</v>
      </c>
      <c r="G50" s="7" t="s">
        <v>6871</v>
      </c>
      <c r="H50" s="7" t="s">
        <v>6872</v>
      </c>
      <c r="I50" s="12" t="s">
        <v>5562</v>
      </c>
      <c r="J50" s="7" t="s">
        <v>538</v>
      </c>
    </row>
    <row r="51" customFormat="false" ht="58.5" hidden="false" customHeight="true" outlineLevel="0" collapsed="false">
      <c r="A51" s="7" t="s">
        <v>1988</v>
      </c>
      <c r="B51" s="7" t="s">
        <v>1989</v>
      </c>
      <c r="C51" s="7" t="s">
        <v>1920</v>
      </c>
      <c r="D51" s="7" t="s">
        <v>1990</v>
      </c>
      <c r="E51" s="7" t="s">
        <v>5551</v>
      </c>
      <c r="F51" s="7" t="s">
        <v>6873</v>
      </c>
      <c r="G51" s="7" t="s">
        <v>6874</v>
      </c>
      <c r="H51" s="7" t="s">
        <v>6875</v>
      </c>
      <c r="I51" s="12" t="s">
        <v>5562</v>
      </c>
      <c r="J51" s="7" t="s">
        <v>175</v>
      </c>
    </row>
    <row r="52" customFormat="false" ht="58.5" hidden="false" customHeight="true" outlineLevel="0" collapsed="false">
      <c r="A52" s="7" t="s">
        <v>2029</v>
      </c>
      <c r="B52" s="7" t="s">
        <v>2030</v>
      </c>
      <c r="C52" s="7" t="s">
        <v>1920</v>
      </c>
      <c r="D52" s="7" t="s">
        <v>2031</v>
      </c>
      <c r="E52" s="7" t="s">
        <v>5551</v>
      </c>
      <c r="F52" s="7" t="s">
        <v>6876</v>
      </c>
      <c r="G52" s="7" t="s">
        <v>6877</v>
      </c>
      <c r="H52" s="7" t="s">
        <v>6878</v>
      </c>
      <c r="I52" s="11" t="s">
        <v>5555</v>
      </c>
      <c r="J52" s="7" t="s">
        <v>175</v>
      </c>
    </row>
    <row r="53" customFormat="false" ht="58.5" hidden="false" customHeight="true" outlineLevel="0" collapsed="false">
      <c r="A53" s="7" t="s">
        <v>2034</v>
      </c>
      <c r="B53" s="7" t="s">
        <v>2035</v>
      </c>
      <c r="C53" s="7" t="s">
        <v>1920</v>
      </c>
      <c r="D53" s="7" t="s">
        <v>2036</v>
      </c>
      <c r="E53" s="7" t="s">
        <v>5551</v>
      </c>
      <c r="F53" s="7" t="s">
        <v>6879</v>
      </c>
      <c r="G53" s="7" t="s">
        <v>6880</v>
      </c>
      <c r="H53" s="7" t="s">
        <v>6041</v>
      </c>
      <c r="I53" s="12" t="s">
        <v>5562</v>
      </c>
      <c r="J53" s="7" t="s">
        <v>175</v>
      </c>
    </row>
    <row r="54" customFormat="false" ht="58.5" hidden="false" customHeight="true" outlineLevel="0" collapsed="false">
      <c r="A54" s="7" t="s">
        <v>2039</v>
      </c>
      <c r="B54" s="7" t="s">
        <v>2040</v>
      </c>
      <c r="C54" s="7" t="s">
        <v>1920</v>
      </c>
      <c r="D54" s="7" t="s">
        <v>2041</v>
      </c>
      <c r="E54" s="7" t="s">
        <v>5551</v>
      </c>
      <c r="F54" s="7" t="s">
        <v>6881</v>
      </c>
      <c r="G54" s="7" t="s">
        <v>6882</v>
      </c>
      <c r="H54" s="7" t="s">
        <v>6883</v>
      </c>
      <c r="I54" s="12" t="s">
        <v>5562</v>
      </c>
      <c r="J54" s="7" t="s">
        <v>175</v>
      </c>
    </row>
    <row r="55" customFormat="false" ht="39" hidden="false" customHeight="true" outlineLevel="0" collapsed="false">
      <c r="A55" s="7" t="s">
        <v>2044</v>
      </c>
      <c r="B55" s="7" t="s">
        <v>2045</v>
      </c>
      <c r="C55" s="7" t="s">
        <v>1920</v>
      </c>
      <c r="D55" s="7" t="s">
        <v>2046</v>
      </c>
      <c r="E55" s="7" t="s">
        <v>5551</v>
      </c>
      <c r="F55" s="7" t="s">
        <v>6884</v>
      </c>
      <c r="G55" s="7" t="s">
        <v>6885</v>
      </c>
      <c r="H55" s="7" t="s">
        <v>6886</v>
      </c>
      <c r="I55" s="12" t="s">
        <v>5562</v>
      </c>
      <c r="J55" s="7" t="s">
        <v>175</v>
      </c>
    </row>
    <row r="56" customFormat="false" ht="58.5" hidden="false" customHeight="true" outlineLevel="0" collapsed="false">
      <c r="A56" s="7" t="s">
        <v>2049</v>
      </c>
      <c r="B56" s="7" t="s">
        <v>2050</v>
      </c>
      <c r="C56" s="7" t="s">
        <v>1920</v>
      </c>
      <c r="D56" s="7" t="s">
        <v>2051</v>
      </c>
      <c r="E56" s="7" t="s">
        <v>5551</v>
      </c>
      <c r="F56" s="7" t="s">
        <v>6887</v>
      </c>
      <c r="G56" s="7" t="s">
        <v>6888</v>
      </c>
      <c r="H56" s="7" t="s">
        <v>6889</v>
      </c>
      <c r="I56" s="12" t="s">
        <v>5562</v>
      </c>
      <c r="J56" s="7" t="s">
        <v>175</v>
      </c>
    </row>
    <row r="57" customFormat="false" ht="58.5" hidden="false" customHeight="true" outlineLevel="0" collapsed="false">
      <c r="A57" s="7" t="s">
        <v>2054</v>
      </c>
      <c r="B57" s="7" t="s">
        <v>2055</v>
      </c>
      <c r="C57" s="7" t="s">
        <v>1920</v>
      </c>
      <c r="D57" s="7" t="s">
        <v>2056</v>
      </c>
      <c r="E57" s="7" t="s">
        <v>5551</v>
      </c>
      <c r="F57" s="7" t="s">
        <v>6890</v>
      </c>
      <c r="G57" s="7" t="s">
        <v>6891</v>
      </c>
      <c r="H57" s="7" t="s">
        <v>6892</v>
      </c>
      <c r="I57" s="12" t="s">
        <v>5562</v>
      </c>
      <c r="J57" s="7" t="s">
        <v>175</v>
      </c>
    </row>
    <row r="58" customFormat="false" ht="58.5" hidden="false" customHeight="true" outlineLevel="0" collapsed="false">
      <c r="A58" s="7" t="s">
        <v>2064</v>
      </c>
      <c r="B58" s="7" t="s">
        <v>2065</v>
      </c>
      <c r="C58" s="7" t="s">
        <v>1920</v>
      </c>
      <c r="D58" s="7" t="s">
        <v>2066</v>
      </c>
      <c r="E58" s="7" t="s">
        <v>5551</v>
      </c>
      <c r="F58" s="7" t="s">
        <v>6893</v>
      </c>
      <c r="G58" s="7" t="s">
        <v>6894</v>
      </c>
      <c r="H58" s="7" t="s">
        <v>6895</v>
      </c>
      <c r="I58" s="12" t="s">
        <v>5562</v>
      </c>
      <c r="J58" s="7" t="s">
        <v>175</v>
      </c>
    </row>
    <row r="59" customFormat="false" ht="39" hidden="false" customHeight="true" outlineLevel="0" collapsed="false">
      <c r="A59" s="7" t="s">
        <v>2079</v>
      </c>
      <c r="B59" s="7" t="s">
        <v>2080</v>
      </c>
      <c r="C59" s="7" t="s">
        <v>1920</v>
      </c>
      <c r="D59" s="7" t="s">
        <v>2081</v>
      </c>
      <c r="E59" s="7" t="s">
        <v>5551</v>
      </c>
      <c r="F59" s="7" t="s">
        <v>6896</v>
      </c>
      <c r="G59" s="7" t="s">
        <v>6897</v>
      </c>
      <c r="H59" s="7" t="s">
        <v>6898</v>
      </c>
      <c r="I59" s="12" t="s">
        <v>5562</v>
      </c>
      <c r="J59" s="7" t="s">
        <v>175</v>
      </c>
    </row>
    <row r="60" customFormat="false" ht="39" hidden="false" customHeight="true" outlineLevel="0" collapsed="false">
      <c r="A60" s="7" t="s">
        <v>2104</v>
      </c>
      <c r="B60" s="7" t="s">
        <v>2105</v>
      </c>
      <c r="C60" s="7" t="s">
        <v>1920</v>
      </c>
      <c r="D60" s="7" t="s">
        <v>2106</v>
      </c>
      <c r="E60" s="7" t="s">
        <v>5542</v>
      </c>
      <c r="F60" s="7" t="s">
        <v>6899</v>
      </c>
      <c r="G60" s="7" t="s">
        <v>6900</v>
      </c>
      <c r="H60" s="7" t="s">
        <v>6901</v>
      </c>
      <c r="I60" s="12" t="s">
        <v>5562</v>
      </c>
      <c r="J60" s="7" t="s">
        <v>175</v>
      </c>
    </row>
    <row r="61" customFormat="false" ht="39" hidden="false" customHeight="true" outlineLevel="0" collapsed="false">
      <c r="A61" s="7" t="s">
        <v>2119</v>
      </c>
      <c r="B61" s="7" t="s">
        <v>2120</v>
      </c>
      <c r="C61" s="7" t="s">
        <v>1920</v>
      </c>
      <c r="D61" s="7" t="s">
        <v>2121</v>
      </c>
      <c r="E61" s="7" t="s">
        <v>5551</v>
      </c>
      <c r="F61" s="7" t="s">
        <v>6902</v>
      </c>
      <c r="G61" s="7" t="s">
        <v>6903</v>
      </c>
      <c r="H61" s="7" t="s">
        <v>6904</v>
      </c>
      <c r="I61" s="11" t="s">
        <v>5555</v>
      </c>
      <c r="J61" s="7" t="s">
        <v>538</v>
      </c>
    </row>
    <row r="62" customFormat="false" ht="58.5" hidden="false" customHeight="true" outlineLevel="0" collapsed="false">
      <c r="A62" s="7" t="s">
        <v>2129</v>
      </c>
      <c r="B62" s="7" t="s">
        <v>2130</v>
      </c>
      <c r="C62" s="7" t="s">
        <v>1920</v>
      </c>
      <c r="D62" s="7" t="s">
        <v>2131</v>
      </c>
      <c r="E62" s="7" t="s">
        <v>5551</v>
      </c>
      <c r="F62" s="7" t="s">
        <v>6905</v>
      </c>
      <c r="G62" s="7" t="s">
        <v>6906</v>
      </c>
      <c r="H62" s="7" t="s">
        <v>6907</v>
      </c>
      <c r="I62" s="12" t="s">
        <v>5562</v>
      </c>
      <c r="J62" s="7" t="s">
        <v>538</v>
      </c>
    </row>
    <row r="63" customFormat="false" ht="58.5" hidden="false" customHeight="true" outlineLevel="0" collapsed="false">
      <c r="A63" s="7" t="s">
        <v>2154</v>
      </c>
      <c r="B63" s="7" t="s">
        <v>2155</v>
      </c>
      <c r="C63" s="7" t="s">
        <v>1920</v>
      </c>
      <c r="D63" s="7" t="s">
        <v>2156</v>
      </c>
      <c r="E63" s="7" t="s">
        <v>5551</v>
      </c>
      <c r="F63" s="7" t="s">
        <v>6908</v>
      </c>
      <c r="G63" s="7" t="s">
        <v>6909</v>
      </c>
      <c r="H63" s="7" t="s">
        <v>6910</v>
      </c>
      <c r="I63" s="12" t="s">
        <v>5562</v>
      </c>
      <c r="J63" s="7" t="s">
        <v>538</v>
      </c>
    </row>
    <row r="64" customFormat="false" ht="39" hidden="false" customHeight="true" outlineLevel="0" collapsed="false">
      <c r="A64" s="7" t="s">
        <v>2164</v>
      </c>
      <c r="B64" s="7" t="s">
        <v>2165</v>
      </c>
      <c r="C64" s="7" t="s">
        <v>1920</v>
      </c>
      <c r="D64" s="7" t="s">
        <v>2166</v>
      </c>
      <c r="E64" s="7" t="s">
        <v>5551</v>
      </c>
      <c r="F64" s="7" t="s">
        <v>6911</v>
      </c>
      <c r="G64" s="7" t="s">
        <v>6912</v>
      </c>
      <c r="H64" s="7" t="s">
        <v>6913</v>
      </c>
      <c r="I64" s="12" t="s">
        <v>5562</v>
      </c>
      <c r="J64" s="7" t="s">
        <v>538</v>
      </c>
    </row>
    <row r="65" customFormat="false" ht="39" hidden="false" customHeight="true" outlineLevel="0" collapsed="false">
      <c r="A65" s="7" t="s">
        <v>2207</v>
      </c>
      <c r="B65" s="7" t="s">
        <v>2208</v>
      </c>
      <c r="C65" s="7" t="s">
        <v>1920</v>
      </c>
      <c r="D65" s="7" t="s">
        <v>2209</v>
      </c>
      <c r="E65" s="7" t="s">
        <v>5551</v>
      </c>
      <c r="F65" s="7" t="s">
        <v>6914</v>
      </c>
      <c r="G65" s="7" t="s">
        <v>6915</v>
      </c>
      <c r="H65" s="7" t="s">
        <v>6916</v>
      </c>
      <c r="I65" s="12" t="s">
        <v>5562</v>
      </c>
      <c r="J65" s="7" t="s">
        <v>2210</v>
      </c>
    </row>
    <row r="66" customFormat="false" ht="58.5" hidden="false" customHeight="true" outlineLevel="0" collapsed="false">
      <c r="A66" s="7" t="s">
        <v>2214</v>
      </c>
      <c r="B66" s="7" t="s">
        <v>2215</v>
      </c>
      <c r="C66" s="7" t="s">
        <v>1920</v>
      </c>
      <c r="D66" s="7" t="s">
        <v>2216</v>
      </c>
      <c r="E66" s="7" t="s">
        <v>5551</v>
      </c>
      <c r="F66" s="7" t="s">
        <v>6917</v>
      </c>
      <c r="G66" s="7" t="s">
        <v>6918</v>
      </c>
      <c r="H66" s="7" t="s">
        <v>6919</v>
      </c>
      <c r="I66" s="12" t="s">
        <v>5562</v>
      </c>
      <c r="J66" s="7" t="s">
        <v>2210</v>
      </c>
    </row>
    <row r="67" customFormat="false" ht="58.5" hidden="false" customHeight="true" outlineLevel="0" collapsed="false">
      <c r="A67" s="7" t="s">
        <v>3258</v>
      </c>
      <c r="B67" s="7" t="s">
        <v>3259</v>
      </c>
      <c r="C67" s="7" t="s">
        <v>3225</v>
      </c>
      <c r="D67" s="7" t="s">
        <v>3260</v>
      </c>
      <c r="E67" s="7" t="s">
        <v>5542</v>
      </c>
      <c r="F67" s="7" t="s">
        <v>6920</v>
      </c>
      <c r="G67" s="7" t="s">
        <v>6921</v>
      </c>
      <c r="H67" s="7" t="s">
        <v>6922</v>
      </c>
      <c r="I67" s="12" t="s">
        <v>5562</v>
      </c>
      <c r="J67" s="7" t="s">
        <v>3091</v>
      </c>
    </row>
    <row r="68" customFormat="false" ht="39" hidden="false" customHeight="true" outlineLevel="0" collapsed="false">
      <c r="A68" s="7" t="s">
        <v>3273</v>
      </c>
      <c r="B68" s="7" t="s">
        <v>3274</v>
      </c>
      <c r="C68" s="7" t="s">
        <v>3225</v>
      </c>
      <c r="D68" s="7" t="s">
        <v>3275</v>
      </c>
      <c r="E68" s="7" t="s">
        <v>5542</v>
      </c>
      <c r="F68" s="7" t="s">
        <v>6923</v>
      </c>
      <c r="G68" s="7" t="s">
        <v>6924</v>
      </c>
      <c r="H68" s="7" t="s">
        <v>6925</v>
      </c>
      <c r="I68" s="12" t="s">
        <v>5562</v>
      </c>
      <c r="J68" s="7" t="s">
        <v>3091</v>
      </c>
    </row>
  </sheetData>
  <autoFilter ref="A20:J68"/>
  <mergeCells count="15">
    <mergeCell ref="A1:J1"/>
    <mergeCell ref="A2:J2"/>
    <mergeCell ref="A3:J3"/>
    <mergeCell ref="A4:J4"/>
    <mergeCell ref="A5:J5"/>
    <mergeCell ref="A7:J7"/>
    <mergeCell ref="A8:J8"/>
    <mergeCell ref="A9:J9"/>
    <mergeCell ref="A10:J10"/>
    <mergeCell ref="A11:J11"/>
    <mergeCell ref="A13:J13"/>
    <mergeCell ref="F14:J14"/>
    <mergeCell ref="F15:J15"/>
    <mergeCell ref="F16:J16"/>
    <mergeCell ref="F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44"/>
    <col collapsed="false" customWidth="true" hidden="false" outlineLevel="0" max="5" min="5" style="1" width="15"/>
    <col collapsed="false" customWidth="true" hidden="false" outlineLevel="0" max="6" min="6" style="1" width="62"/>
    <col collapsed="false" customWidth="true" hidden="false" outlineLevel="0" max="7" min="7" style="1" width="58"/>
    <col collapsed="false" customWidth="true" hidden="false" outlineLevel="0" max="8" min="8" style="1" width="36"/>
    <col collapsed="false" customWidth="true" hidden="false" outlineLevel="0" max="9" min="9" style="1" width="18"/>
    <col collapsed="false" customWidth="true" hidden="false" outlineLevel="0" max="10" min="10" style="1" width="16"/>
  </cols>
  <sheetData>
    <row r="1" customFormat="false" ht="31.5" hidden="false" customHeight="true" outlineLevel="0" collapsed="false">
      <c r="A1" s="2" t="s">
        <v>6926</v>
      </c>
      <c r="B1" s="2"/>
      <c r="C1" s="2"/>
      <c r="D1" s="2"/>
      <c r="E1" s="2"/>
      <c r="F1" s="2"/>
      <c r="G1" s="2"/>
      <c r="H1" s="2"/>
      <c r="I1" s="2"/>
      <c r="J1" s="2"/>
    </row>
    <row r="2" customFormat="false" ht="45.75" hidden="false" customHeight="true" outlineLevel="0" collapsed="false">
      <c r="A2" s="3" t="s">
        <v>6927</v>
      </c>
      <c r="B2" s="3"/>
      <c r="C2" s="3"/>
      <c r="D2" s="3"/>
      <c r="E2" s="3"/>
      <c r="F2" s="3"/>
      <c r="G2" s="3"/>
      <c r="H2" s="3"/>
      <c r="I2" s="3"/>
      <c r="J2" s="3"/>
    </row>
    <row r="3" customFormat="false" ht="45.75" hidden="false" customHeight="true" outlineLevel="0" collapsed="false">
      <c r="A3" s="3" t="s">
        <v>6928</v>
      </c>
      <c r="B3" s="3"/>
      <c r="C3" s="3"/>
      <c r="D3" s="3"/>
      <c r="E3" s="3"/>
      <c r="F3" s="3"/>
      <c r="G3" s="3"/>
      <c r="H3" s="3"/>
      <c r="I3" s="3"/>
      <c r="J3" s="3"/>
    </row>
    <row r="4" customFormat="false" ht="45.75" hidden="false" customHeight="true" outlineLevel="0" collapsed="false">
      <c r="A4" s="3" t="s">
        <v>6781</v>
      </c>
      <c r="B4" s="3"/>
      <c r="C4" s="3"/>
      <c r="D4" s="3"/>
      <c r="E4" s="3"/>
      <c r="F4" s="3"/>
      <c r="G4" s="3"/>
      <c r="H4" s="3"/>
      <c r="I4" s="3"/>
      <c r="J4" s="3"/>
    </row>
    <row r="5" customFormat="false" ht="45.75" hidden="false" customHeight="true" outlineLevel="0" collapsed="false">
      <c r="A5" s="3" t="s">
        <v>6929</v>
      </c>
      <c r="B5" s="3"/>
      <c r="C5" s="3"/>
      <c r="D5" s="3"/>
      <c r="E5" s="3"/>
      <c r="F5" s="3"/>
      <c r="G5" s="3"/>
      <c r="H5" s="3"/>
      <c r="I5" s="3"/>
      <c r="J5" s="3"/>
    </row>
    <row r="6" customFormat="false" ht="17.25" hidden="false" customHeight="true" outlineLevel="0" collapsed="false"/>
    <row r="7" customFormat="false" ht="18" hidden="false" customHeight="true" outlineLevel="0" collapsed="false">
      <c r="A7" s="26" t="s">
        <v>5514</v>
      </c>
      <c r="B7" s="26"/>
      <c r="C7" s="26"/>
      <c r="D7" s="26"/>
      <c r="E7" s="26"/>
      <c r="F7" s="26"/>
      <c r="G7" s="26"/>
      <c r="H7" s="26"/>
      <c r="I7" s="26"/>
      <c r="J7" s="26"/>
    </row>
    <row r="8" customFormat="false" ht="24" hidden="false" customHeight="true" outlineLevel="0" collapsed="false">
      <c r="A8" s="3" t="s">
        <v>5515</v>
      </c>
      <c r="B8" s="3"/>
      <c r="C8" s="3"/>
      <c r="D8" s="3"/>
      <c r="E8" s="3"/>
      <c r="F8" s="3"/>
      <c r="G8" s="3"/>
      <c r="H8" s="3"/>
      <c r="I8" s="3"/>
      <c r="J8" s="3"/>
    </row>
    <row r="9" customFormat="false" ht="24" hidden="false" customHeight="true" outlineLevel="0" collapsed="false">
      <c r="A9" s="3" t="s">
        <v>5516</v>
      </c>
      <c r="B9" s="3"/>
      <c r="C9" s="3"/>
      <c r="D9" s="3"/>
      <c r="E9" s="3"/>
      <c r="F9" s="3"/>
      <c r="G9" s="3"/>
      <c r="H9" s="3"/>
      <c r="I9" s="3"/>
      <c r="J9" s="3"/>
    </row>
    <row r="10" customFormat="false" ht="24" hidden="false" customHeight="true" outlineLevel="0" collapsed="false">
      <c r="A10" s="3" t="s">
        <v>5517</v>
      </c>
      <c r="B10" s="3"/>
      <c r="C10" s="3"/>
      <c r="D10" s="3"/>
      <c r="E10" s="3"/>
      <c r="F10" s="3"/>
      <c r="G10" s="3"/>
      <c r="H10" s="3"/>
      <c r="I10" s="3"/>
      <c r="J10" s="3"/>
    </row>
    <row r="11" customFormat="false" ht="24" hidden="false" customHeight="true" outlineLevel="0" collapsed="false">
      <c r="A11" s="3" t="s">
        <v>5518</v>
      </c>
      <c r="B11" s="3"/>
      <c r="C11" s="3"/>
      <c r="D11" s="3"/>
      <c r="E11" s="3"/>
      <c r="F11" s="3"/>
      <c r="G11" s="3"/>
      <c r="H11" s="3"/>
      <c r="I11" s="3"/>
      <c r="J11" s="3"/>
    </row>
    <row r="12" customFormat="false" ht="17.25" hidden="false" customHeight="true" outlineLevel="0" collapsed="false"/>
    <row r="13" customFormat="false" ht="27.75" hidden="false" customHeight="true" outlineLevel="0" collapsed="false">
      <c r="A13" s="5" t="s">
        <v>5519</v>
      </c>
      <c r="B13" s="5"/>
      <c r="C13" s="5"/>
      <c r="D13" s="5"/>
      <c r="E13" s="5"/>
      <c r="F13" s="5"/>
      <c r="G13" s="5"/>
      <c r="H13" s="5"/>
      <c r="I13" s="5"/>
      <c r="J13" s="5"/>
    </row>
    <row r="14" customFormat="false" ht="18" hidden="false" customHeight="true" outlineLevel="0" collapsed="false">
      <c r="A14" s="6" t="s">
        <v>5520</v>
      </c>
      <c r="B14" s="6" t="s">
        <v>5521</v>
      </c>
      <c r="C14" s="6" t="s">
        <v>132</v>
      </c>
      <c r="D14" s="6" t="s">
        <v>138</v>
      </c>
      <c r="E14" s="6" t="s">
        <v>144</v>
      </c>
      <c r="F14" s="6" t="s">
        <v>5522</v>
      </c>
      <c r="G14" s="6"/>
      <c r="H14" s="6"/>
      <c r="I14" s="6"/>
      <c r="J14" s="6"/>
    </row>
    <row r="15" customFormat="false" ht="45.75" hidden="false" customHeight="true" outlineLevel="0" collapsed="false">
      <c r="A15" s="7" t="s">
        <v>923</v>
      </c>
      <c r="B15" s="7" t="n">
        <f aca="false">COUNTIF($C$23:$C$58,$A15)</f>
        <v>21</v>
      </c>
      <c r="C15" s="7" t="n">
        <f aca="false">COUNTIFS($C$23:$C$58,$A15,$I$23:$I$58,"Level 1*")</f>
        <v>11</v>
      </c>
      <c r="D15" s="7" t="n">
        <f aca="false">COUNTIFS($C$23:$C$58,$A15,$I$23:$I$58,"Level 2*")</f>
        <v>10</v>
      </c>
      <c r="E15" s="7" t="n">
        <f aca="false">COUNTIFS($C$23:$C$58,$A15,$I$23:$I$58,"Level 3*")</f>
        <v>0</v>
      </c>
      <c r="F15" s="7" t="s">
        <v>6930</v>
      </c>
      <c r="G15" s="7"/>
      <c r="H15" s="7"/>
      <c r="I15" s="7"/>
      <c r="J15" s="7"/>
    </row>
    <row r="16" customFormat="false" ht="31.5" hidden="false" customHeight="true" outlineLevel="0" collapsed="false">
      <c r="A16" s="7" t="s">
        <v>1229</v>
      </c>
      <c r="B16" s="7" t="n">
        <f aca="false">COUNTIF($C$23:$C$58,$A16)</f>
        <v>1</v>
      </c>
      <c r="C16" s="7" t="n">
        <f aca="false">COUNTIFS($C$23:$C$58,$A16,$I$23:$I$58,"Level 1*")</f>
        <v>0</v>
      </c>
      <c r="D16" s="7" t="n">
        <f aca="false">COUNTIFS($C$23:$C$58,$A16,$I$23:$I$58,"Level 2*")</f>
        <v>1</v>
      </c>
      <c r="E16" s="7" t="n">
        <f aca="false">COUNTIFS($C$23:$C$58,$A16,$I$23:$I$58,"Level 3*")</f>
        <v>0</v>
      </c>
      <c r="F16" s="7" t="s">
        <v>6931</v>
      </c>
      <c r="G16" s="7"/>
      <c r="H16" s="7"/>
      <c r="I16" s="7"/>
      <c r="J16" s="7"/>
    </row>
    <row r="17" customFormat="false" ht="31.5" hidden="false" customHeight="true" outlineLevel="0" collapsed="false">
      <c r="A17" s="7" t="s">
        <v>2231</v>
      </c>
      <c r="B17" s="7" t="n">
        <f aca="false">COUNTIF($C$23:$C$58,$A17)</f>
        <v>1</v>
      </c>
      <c r="C17" s="7" t="n">
        <f aca="false">COUNTIFS($C$23:$C$58,$A17,$I$23:$I$58,"Level 1*")</f>
        <v>0</v>
      </c>
      <c r="D17" s="7" t="n">
        <f aca="false">COUNTIFS($C$23:$C$58,$A17,$I$23:$I$58,"Level 2*")</f>
        <v>1</v>
      </c>
      <c r="E17" s="7" t="n">
        <f aca="false">COUNTIFS($C$23:$C$58,$A17,$I$23:$I$58,"Level 3*")</f>
        <v>0</v>
      </c>
      <c r="F17" s="7" t="s">
        <v>6932</v>
      </c>
      <c r="G17" s="7"/>
      <c r="H17" s="7"/>
      <c r="I17" s="7"/>
      <c r="J17" s="7"/>
    </row>
    <row r="18" customFormat="false" ht="31.5" hidden="false" customHeight="true" outlineLevel="0" collapsed="false">
      <c r="A18" s="7" t="s">
        <v>3415</v>
      </c>
      <c r="B18" s="7" t="n">
        <f aca="false">COUNTIF($C$23:$C$58,$A18)</f>
        <v>1</v>
      </c>
      <c r="C18" s="7" t="n">
        <f aca="false">COUNTIFS($C$23:$C$58,$A18,$I$23:$I$58,"Level 1*")</f>
        <v>0</v>
      </c>
      <c r="D18" s="7" t="n">
        <f aca="false">COUNTIFS($C$23:$C$58,$A18,$I$23:$I$58,"Level 2*")</f>
        <v>1</v>
      </c>
      <c r="E18" s="7" t="n">
        <f aca="false">COUNTIFS($C$23:$C$58,$A18,$I$23:$I$58,"Level 3*")</f>
        <v>0</v>
      </c>
      <c r="F18" s="7" t="s">
        <v>6933</v>
      </c>
      <c r="G18" s="7"/>
      <c r="H18" s="7"/>
      <c r="I18" s="7"/>
      <c r="J18" s="7"/>
    </row>
    <row r="19" customFormat="false" ht="31.5" hidden="false" customHeight="true" outlineLevel="0" collapsed="false">
      <c r="A19" s="7" t="s">
        <v>4774</v>
      </c>
      <c r="B19" s="7" t="n">
        <f aca="false">COUNTIF($C$23:$C$58,$A19)</f>
        <v>12</v>
      </c>
      <c r="C19" s="7" t="n">
        <f aca="false">COUNTIFS($C$23:$C$58,$A19,$I$23:$I$58,"Level 1*")</f>
        <v>3</v>
      </c>
      <c r="D19" s="7" t="n">
        <f aca="false">COUNTIFS($C$23:$C$58,$A19,$I$23:$I$58,"Level 2*")</f>
        <v>9</v>
      </c>
      <c r="E19" s="7" t="n">
        <f aca="false">COUNTIFS($C$23:$C$58,$A19,$I$23:$I$58,"Level 3*")</f>
        <v>0</v>
      </c>
      <c r="F19" s="7" t="s">
        <v>6934</v>
      </c>
      <c r="G19" s="7"/>
      <c r="H19" s="7"/>
      <c r="I19" s="7"/>
      <c r="J19" s="7"/>
    </row>
    <row r="20" customFormat="false" ht="18" hidden="false" customHeight="true" outlineLevel="0" collapsed="false">
      <c r="A20" s="22" t="s">
        <v>5446</v>
      </c>
      <c r="B20" s="22" t="n">
        <f aca="false">SUM(B15:B19)</f>
        <v>36</v>
      </c>
      <c r="C20" s="22" t="n">
        <f aca="false">SUM(C15:C19)</f>
        <v>14</v>
      </c>
      <c r="D20" s="22" t="n">
        <f aca="false">SUM(D15:D19)</f>
        <v>22</v>
      </c>
      <c r="E20" s="22" t="n">
        <f aca="false">SUM(E15:E19)</f>
        <v>0</v>
      </c>
    </row>
    <row r="21" customFormat="false" ht="17.25" hidden="false" customHeight="true" outlineLevel="0" collapsed="false"/>
    <row r="22" customFormat="false" ht="39.75" hidden="false" customHeight="true" outlineLevel="0" collapsed="false">
      <c r="A22" s="8" t="s">
        <v>150</v>
      </c>
      <c r="B22" s="8" t="s">
        <v>151</v>
      </c>
      <c r="C22" s="8" t="s">
        <v>10</v>
      </c>
      <c r="D22" s="8" t="s">
        <v>152</v>
      </c>
      <c r="E22" s="8" t="s">
        <v>5534</v>
      </c>
      <c r="F22" s="8" t="s">
        <v>5535</v>
      </c>
      <c r="G22" s="8" t="s">
        <v>5536</v>
      </c>
      <c r="H22" s="8" t="s">
        <v>5537</v>
      </c>
      <c r="I22" s="8" t="s">
        <v>126</v>
      </c>
      <c r="J22" s="8" t="s">
        <v>154</v>
      </c>
    </row>
    <row r="23" customFormat="false" ht="58.5" hidden="false" customHeight="true" outlineLevel="0" collapsed="false">
      <c r="A23" s="7" t="s">
        <v>926</v>
      </c>
      <c r="B23" s="7" t="s">
        <v>927</v>
      </c>
      <c r="C23" s="7" t="s">
        <v>923</v>
      </c>
      <c r="D23" s="7" t="s">
        <v>928</v>
      </c>
      <c r="E23" s="7" t="s">
        <v>5573</v>
      </c>
      <c r="F23" s="7" t="s">
        <v>6935</v>
      </c>
      <c r="G23" s="7" t="s">
        <v>6936</v>
      </c>
      <c r="H23" s="7" t="s">
        <v>6937</v>
      </c>
      <c r="I23" s="11" t="s">
        <v>5555</v>
      </c>
      <c r="J23" s="7" t="s">
        <v>929</v>
      </c>
    </row>
    <row r="24" customFormat="false" ht="39" hidden="false" customHeight="true" outlineLevel="0" collapsed="false">
      <c r="A24" s="7" t="s">
        <v>934</v>
      </c>
      <c r="B24" s="7" t="s">
        <v>935</v>
      </c>
      <c r="C24" s="7" t="s">
        <v>923</v>
      </c>
      <c r="D24" s="7" t="s">
        <v>936</v>
      </c>
      <c r="E24" s="7" t="s">
        <v>5542</v>
      </c>
      <c r="F24" s="7" t="s">
        <v>6938</v>
      </c>
      <c r="G24" s="7" t="s">
        <v>6939</v>
      </c>
      <c r="H24" s="7" t="s">
        <v>6940</v>
      </c>
      <c r="I24" s="12" t="s">
        <v>5562</v>
      </c>
      <c r="J24" s="7" t="s">
        <v>929</v>
      </c>
    </row>
    <row r="25" customFormat="false" ht="58.5" hidden="false" customHeight="true" outlineLevel="0" collapsed="false">
      <c r="A25" s="7" t="s">
        <v>939</v>
      </c>
      <c r="B25" s="7" t="s">
        <v>940</v>
      </c>
      <c r="C25" s="7" t="s">
        <v>923</v>
      </c>
      <c r="D25" s="7" t="s">
        <v>941</v>
      </c>
      <c r="E25" s="7" t="s">
        <v>5551</v>
      </c>
      <c r="F25" s="7" t="s">
        <v>6941</v>
      </c>
      <c r="G25" s="7" t="s">
        <v>6942</v>
      </c>
      <c r="H25" s="7" t="s">
        <v>5775</v>
      </c>
      <c r="I25" s="11" t="s">
        <v>5555</v>
      </c>
      <c r="J25" s="7" t="s">
        <v>929</v>
      </c>
    </row>
    <row r="26" customFormat="false" ht="39" hidden="false" customHeight="true" outlineLevel="0" collapsed="false">
      <c r="A26" s="7" t="s">
        <v>944</v>
      </c>
      <c r="B26" s="7" t="s">
        <v>945</v>
      </c>
      <c r="C26" s="7" t="s">
        <v>923</v>
      </c>
      <c r="D26" s="7" t="s">
        <v>946</v>
      </c>
      <c r="E26" s="7" t="s">
        <v>5551</v>
      </c>
      <c r="F26" s="7" t="s">
        <v>6943</v>
      </c>
      <c r="G26" s="7" t="s">
        <v>6944</v>
      </c>
      <c r="H26" s="7" t="s">
        <v>6945</v>
      </c>
      <c r="I26" s="11" t="s">
        <v>5555</v>
      </c>
      <c r="J26" s="7" t="s">
        <v>929</v>
      </c>
    </row>
    <row r="27" customFormat="false" ht="39" hidden="false" customHeight="true" outlineLevel="0" collapsed="false">
      <c r="A27" s="7" t="s">
        <v>954</v>
      </c>
      <c r="B27" s="7" t="s">
        <v>955</v>
      </c>
      <c r="C27" s="7" t="s">
        <v>923</v>
      </c>
      <c r="D27" s="7" t="s">
        <v>956</v>
      </c>
      <c r="E27" s="7" t="s">
        <v>5551</v>
      </c>
      <c r="F27" s="7" t="s">
        <v>6946</v>
      </c>
      <c r="G27" s="7" t="s">
        <v>6947</v>
      </c>
      <c r="H27" s="7" t="s">
        <v>6948</v>
      </c>
      <c r="I27" s="12" t="s">
        <v>5562</v>
      </c>
      <c r="J27" s="7" t="s">
        <v>957</v>
      </c>
    </row>
    <row r="28" customFormat="false" ht="39" hidden="false" customHeight="true" outlineLevel="0" collapsed="false">
      <c r="A28" s="7" t="s">
        <v>966</v>
      </c>
      <c r="B28" s="7" t="s">
        <v>967</v>
      </c>
      <c r="C28" s="7" t="s">
        <v>923</v>
      </c>
      <c r="D28" s="7" t="s">
        <v>968</v>
      </c>
      <c r="E28" s="7" t="s">
        <v>5551</v>
      </c>
      <c r="F28" s="7" t="s">
        <v>6949</v>
      </c>
      <c r="G28" s="7" t="s">
        <v>6950</v>
      </c>
      <c r="H28" s="7" t="s">
        <v>6951</v>
      </c>
      <c r="I28" s="11" t="s">
        <v>5555</v>
      </c>
      <c r="J28" s="7" t="s">
        <v>969</v>
      </c>
    </row>
    <row r="29" customFormat="false" ht="39" hidden="false" customHeight="true" outlineLevel="0" collapsed="false">
      <c r="A29" s="7" t="s">
        <v>978</v>
      </c>
      <c r="B29" s="7" t="s">
        <v>979</v>
      </c>
      <c r="C29" s="7" t="s">
        <v>923</v>
      </c>
      <c r="D29" s="7" t="s">
        <v>980</v>
      </c>
      <c r="E29" s="7" t="s">
        <v>5573</v>
      </c>
      <c r="F29" s="7" t="s">
        <v>6952</v>
      </c>
      <c r="G29" s="7" t="s">
        <v>6953</v>
      </c>
      <c r="H29" s="7" t="s">
        <v>6476</v>
      </c>
      <c r="I29" s="12" t="s">
        <v>5562</v>
      </c>
      <c r="J29" s="7" t="s">
        <v>969</v>
      </c>
    </row>
    <row r="30" customFormat="false" ht="58.5" hidden="false" customHeight="true" outlineLevel="0" collapsed="false">
      <c r="A30" s="7" t="s">
        <v>993</v>
      </c>
      <c r="B30" s="7" t="s">
        <v>994</v>
      </c>
      <c r="C30" s="7" t="s">
        <v>923</v>
      </c>
      <c r="D30" s="7" t="s">
        <v>995</v>
      </c>
      <c r="E30" s="7" t="s">
        <v>5542</v>
      </c>
      <c r="F30" s="7" t="s">
        <v>6954</v>
      </c>
      <c r="G30" s="7" t="s">
        <v>6955</v>
      </c>
      <c r="H30" s="7" t="s">
        <v>6956</v>
      </c>
      <c r="I30" s="11" t="s">
        <v>5555</v>
      </c>
      <c r="J30" s="7" t="s">
        <v>969</v>
      </c>
    </row>
    <row r="31" customFormat="false" ht="58.5" hidden="false" customHeight="true" outlineLevel="0" collapsed="false">
      <c r="A31" s="7" t="s">
        <v>998</v>
      </c>
      <c r="B31" s="7" t="s">
        <v>999</v>
      </c>
      <c r="C31" s="7" t="s">
        <v>923</v>
      </c>
      <c r="D31" s="7" t="s">
        <v>1000</v>
      </c>
      <c r="E31" s="7" t="s">
        <v>5542</v>
      </c>
      <c r="F31" s="7" t="s">
        <v>6957</v>
      </c>
      <c r="G31" s="7" t="s">
        <v>6958</v>
      </c>
      <c r="H31" s="7" t="s">
        <v>6959</v>
      </c>
      <c r="I31" s="12" t="s">
        <v>5562</v>
      </c>
      <c r="J31" s="7" t="s">
        <v>1002</v>
      </c>
    </row>
    <row r="32" customFormat="false" ht="58.5" hidden="false" customHeight="true" outlineLevel="0" collapsed="false">
      <c r="A32" s="7" t="s">
        <v>1012</v>
      </c>
      <c r="B32" s="7" t="s">
        <v>1013</v>
      </c>
      <c r="C32" s="7" t="s">
        <v>923</v>
      </c>
      <c r="D32" s="7" t="s">
        <v>1014</v>
      </c>
      <c r="E32" s="7" t="s">
        <v>5542</v>
      </c>
      <c r="F32" s="7" t="s">
        <v>6960</v>
      </c>
      <c r="G32" s="7" t="s">
        <v>6961</v>
      </c>
      <c r="H32" s="7" t="s">
        <v>6962</v>
      </c>
      <c r="I32" s="12" t="s">
        <v>5562</v>
      </c>
      <c r="J32" s="7" t="s">
        <v>1002</v>
      </c>
    </row>
    <row r="33" customFormat="false" ht="58.5" hidden="false" customHeight="true" outlineLevel="0" collapsed="false">
      <c r="A33" s="7" t="s">
        <v>1022</v>
      </c>
      <c r="B33" s="7" t="s">
        <v>1023</v>
      </c>
      <c r="C33" s="7" t="s">
        <v>923</v>
      </c>
      <c r="D33" s="7" t="s">
        <v>1024</v>
      </c>
      <c r="E33" s="7" t="s">
        <v>5542</v>
      </c>
      <c r="F33" s="7" t="s">
        <v>6963</v>
      </c>
      <c r="G33" s="7" t="s">
        <v>6964</v>
      </c>
      <c r="H33" s="7" t="s">
        <v>6965</v>
      </c>
      <c r="I33" s="12" t="s">
        <v>5562</v>
      </c>
      <c r="J33" s="7" t="s">
        <v>1002</v>
      </c>
    </row>
    <row r="34" customFormat="false" ht="58.5" hidden="false" customHeight="true" outlineLevel="0" collapsed="false">
      <c r="A34" s="7" t="s">
        <v>1037</v>
      </c>
      <c r="B34" s="7" t="s">
        <v>1038</v>
      </c>
      <c r="C34" s="7" t="s">
        <v>923</v>
      </c>
      <c r="D34" s="7" t="s">
        <v>1039</v>
      </c>
      <c r="E34" s="7" t="s">
        <v>5573</v>
      </c>
      <c r="F34" s="7" t="s">
        <v>6966</v>
      </c>
      <c r="G34" s="7" t="s">
        <v>6967</v>
      </c>
      <c r="H34" s="7" t="s">
        <v>6968</v>
      </c>
      <c r="I34" s="12" t="s">
        <v>5562</v>
      </c>
      <c r="J34" s="7" t="s">
        <v>1002</v>
      </c>
    </row>
    <row r="35" customFormat="false" ht="39" hidden="false" customHeight="true" outlineLevel="0" collapsed="false">
      <c r="A35" s="7" t="s">
        <v>1065</v>
      </c>
      <c r="B35" s="7" t="s">
        <v>1066</v>
      </c>
      <c r="C35" s="7" t="s">
        <v>923</v>
      </c>
      <c r="D35" s="7" t="s">
        <v>1067</v>
      </c>
      <c r="E35" s="7" t="s">
        <v>5551</v>
      </c>
      <c r="F35" s="7" t="s">
        <v>6969</v>
      </c>
      <c r="G35" s="7" t="s">
        <v>6970</v>
      </c>
      <c r="H35" s="7" t="s">
        <v>6971</v>
      </c>
      <c r="I35" s="11" t="s">
        <v>5555</v>
      </c>
      <c r="J35" s="7" t="s">
        <v>929</v>
      </c>
    </row>
    <row r="36" customFormat="false" ht="58.5" hidden="false" customHeight="true" outlineLevel="0" collapsed="false">
      <c r="A36" s="7" t="s">
        <v>1076</v>
      </c>
      <c r="B36" s="7" t="s">
        <v>1077</v>
      </c>
      <c r="C36" s="7" t="s">
        <v>923</v>
      </c>
      <c r="D36" s="7" t="s">
        <v>1078</v>
      </c>
      <c r="E36" s="7" t="s">
        <v>5551</v>
      </c>
      <c r="F36" s="7" t="s">
        <v>6972</v>
      </c>
      <c r="G36" s="7" t="s">
        <v>6973</v>
      </c>
      <c r="H36" s="7" t="s">
        <v>6974</v>
      </c>
      <c r="I36" s="12" t="s">
        <v>5562</v>
      </c>
      <c r="J36" s="7" t="s">
        <v>929</v>
      </c>
    </row>
    <row r="37" customFormat="false" ht="39" hidden="false" customHeight="true" outlineLevel="0" collapsed="false">
      <c r="A37" s="7" t="s">
        <v>1081</v>
      </c>
      <c r="B37" s="7" t="s">
        <v>1082</v>
      </c>
      <c r="C37" s="7" t="s">
        <v>923</v>
      </c>
      <c r="D37" s="7" t="s">
        <v>1083</v>
      </c>
      <c r="E37" s="7" t="s">
        <v>5551</v>
      </c>
      <c r="F37" s="7" t="s">
        <v>6975</v>
      </c>
      <c r="G37" s="7" t="s">
        <v>6976</v>
      </c>
      <c r="H37" s="7" t="s">
        <v>6977</v>
      </c>
      <c r="I37" s="11" t="s">
        <v>5555</v>
      </c>
      <c r="J37" s="7" t="s">
        <v>929</v>
      </c>
    </row>
    <row r="38" customFormat="false" ht="58.5" hidden="false" customHeight="true" outlineLevel="0" collapsed="false">
      <c r="A38" s="7" t="s">
        <v>1086</v>
      </c>
      <c r="B38" s="7" t="s">
        <v>1087</v>
      </c>
      <c r="C38" s="7" t="s">
        <v>923</v>
      </c>
      <c r="D38" s="7" t="s">
        <v>1088</v>
      </c>
      <c r="E38" s="7" t="s">
        <v>5551</v>
      </c>
      <c r="F38" s="7" t="s">
        <v>6978</v>
      </c>
      <c r="G38" s="7" t="s">
        <v>6979</v>
      </c>
      <c r="H38" s="7" t="s">
        <v>6980</v>
      </c>
      <c r="I38" s="11" t="s">
        <v>5555</v>
      </c>
      <c r="J38" s="7" t="s">
        <v>929</v>
      </c>
    </row>
    <row r="39" customFormat="false" ht="58.5" hidden="false" customHeight="true" outlineLevel="0" collapsed="false">
      <c r="A39" s="7" t="s">
        <v>1131</v>
      </c>
      <c r="B39" s="7" t="s">
        <v>1132</v>
      </c>
      <c r="C39" s="7" t="s">
        <v>923</v>
      </c>
      <c r="D39" s="7" t="s">
        <v>1133</v>
      </c>
      <c r="E39" s="7" t="s">
        <v>5551</v>
      </c>
      <c r="F39" s="7" t="s">
        <v>6981</v>
      </c>
      <c r="G39" s="7" t="s">
        <v>6982</v>
      </c>
      <c r="H39" s="7" t="s">
        <v>5842</v>
      </c>
      <c r="I39" s="12" t="s">
        <v>5562</v>
      </c>
      <c r="J39" s="7" t="s">
        <v>1134</v>
      </c>
    </row>
    <row r="40" customFormat="false" ht="39" hidden="false" customHeight="true" outlineLevel="0" collapsed="false">
      <c r="A40" s="7" t="s">
        <v>1143</v>
      </c>
      <c r="B40" s="7" t="s">
        <v>1144</v>
      </c>
      <c r="C40" s="7" t="s">
        <v>923</v>
      </c>
      <c r="D40" s="7" t="s">
        <v>1145</v>
      </c>
      <c r="E40" s="7" t="s">
        <v>5573</v>
      </c>
      <c r="F40" s="7" t="s">
        <v>6983</v>
      </c>
      <c r="G40" s="7" t="s">
        <v>6984</v>
      </c>
      <c r="H40" s="7" t="s">
        <v>6985</v>
      </c>
      <c r="I40" s="11" t="s">
        <v>5555</v>
      </c>
      <c r="J40" s="7" t="s">
        <v>929</v>
      </c>
    </row>
    <row r="41" customFormat="false" ht="58.5" hidden="false" customHeight="true" outlineLevel="0" collapsed="false">
      <c r="A41" s="7" t="s">
        <v>1148</v>
      </c>
      <c r="B41" s="7" t="s">
        <v>1149</v>
      </c>
      <c r="C41" s="7" t="s">
        <v>923</v>
      </c>
      <c r="D41" s="7" t="s">
        <v>1150</v>
      </c>
      <c r="E41" s="7" t="s">
        <v>5551</v>
      </c>
      <c r="F41" s="7" t="s">
        <v>6986</v>
      </c>
      <c r="G41" s="7" t="s">
        <v>6987</v>
      </c>
      <c r="H41" s="7" t="s">
        <v>6988</v>
      </c>
      <c r="I41" s="11" t="s">
        <v>5555</v>
      </c>
      <c r="J41" s="7" t="s">
        <v>929</v>
      </c>
    </row>
    <row r="42" customFormat="false" ht="39" hidden="false" customHeight="true" outlineLevel="0" collapsed="false">
      <c r="A42" s="7" t="s">
        <v>1153</v>
      </c>
      <c r="B42" s="7" t="s">
        <v>1154</v>
      </c>
      <c r="C42" s="7" t="s">
        <v>923</v>
      </c>
      <c r="D42" s="7" t="s">
        <v>1155</v>
      </c>
      <c r="E42" s="7" t="s">
        <v>5551</v>
      </c>
      <c r="F42" s="7" t="s">
        <v>6989</v>
      </c>
      <c r="G42" s="7" t="s">
        <v>6990</v>
      </c>
      <c r="H42" s="7" t="s">
        <v>6991</v>
      </c>
      <c r="I42" s="12" t="s">
        <v>5562</v>
      </c>
      <c r="J42" s="7" t="s">
        <v>929</v>
      </c>
    </row>
    <row r="43" customFormat="false" ht="58.5" hidden="false" customHeight="true" outlineLevel="0" collapsed="false">
      <c r="A43" s="7" t="s">
        <v>1163</v>
      </c>
      <c r="B43" s="7" t="s">
        <v>1164</v>
      </c>
      <c r="C43" s="7" t="s">
        <v>923</v>
      </c>
      <c r="D43" s="7" t="s">
        <v>1165</v>
      </c>
      <c r="E43" s="7" t="s">
        <v>5573</v>
      </c>
      <c r="F43" s="7" t="s">
        <v>6992</v>
      </c>
      <c r="G43" s="7" t="s">
        <v>6993</v>
      </c>
      <c r="H43" s="7" t="s">
        <v>6994</v>
      </c>
      <c r="I43" s="11" t="s">
        <v>5555</v>
      </c>
      <c r="J43" s="7" t="s">
        <v>929</v>
      </c>
    </row>
    <row r="44" customFormat="false" ht="58.5" hidden="false" customHeight="true" outlineLevel="0" collapsed="false">
      <c r="A44" s="7" t="s">
        <v>1303</v>
      </c>
      <c r="B44" s="7" t="s">
        <v>1304</v>
      </c>
      <c r="C44" s="7" t="s">
        <v>1229</v>
      </c>
      <c r="D44" s="7" t="s">
        <v>1305</v>
      </c>
      <c r="E44" s="7" t="s">
        <v>5542</v>
      </c>
      <c r="F44" s="7" t="s">
        <v>6995</v>
      </c>
      <c r="G44" s="7" t="s">
        <v>6996</v>
      </c>
      <c r="H44" s="7" t="s">
        <v>6997</v>
      </c>
      <c r="I44" s="12" t="s">
        <v>5562</v>
      </c>
      <c r="J44" s="7" t="s">
        <v>969</v>
      </c>
    </row>
    <row r="45" customFormat="false" ht="58.5" hidden="false" customHeight="true" outlineLevel="0" collapsed="false">
      <c r="A45" s="7" t="s">
        <v>2274</v>
      </c>
      <c r="B45" s="7" t="s">
        <v>2275</v>
      </c>
      <c r="C45" s="7" t="s">
        <v>2231</v>
      </c>
      <c r="D45" s="7" t="s">
        <v>2276</v>
      </c>
      <c r="E45" s="7" t="s">
        <v>5542</v>
      </c>
      <c r="F45" s="7" t="s">
        <v>6998</v>
      </c>
      <c r="G45" s="7" t="s">
        <v>6999</v>
      </c>
      <c r="H45" s="7" t="s">
        <v>7000</v>
      </c>
      <c r="I45" s="12" t="s">
        <v>5562</v>
      </c>
      <c r="J45" s="7" t="s">
        <v>2278</v>
      </c>
    </row>
    <row r="46" customFormat="false" ht="39" hidden="false" customHeight="true" outlineLevel="0" collapsed="false">
      <c r="A46" s="7" t="s">
        <v>3524</v>
      </c>
      <c r="B46" s="7" t="s">
        <v>3525</v>
      </c>
      <c r="C46" s="7" t="s">
        <v>3415</v>
      </c>
      <c r="D46" s="7" t="s">
        <v>3526</v>
      </c>
      <c r="E46" s="7" t="s">
        <v>5573</v>
      </c>
      <c r="F46" s="7" t="s">
        <v>7001</v>
      </c>
      <c r="G46" s="7" t="s">
        <v>7002</v>
      </c>
      <c r="H46" s="7" t="s">
        <v>7003</v>
      </c>
      <c r="I46" s="12" t="s">
        <v>5562</v>
      </c>
      <c r="J46" s="7" t="s">
        <v>1002</v>
      </c>
    </row>
    <row r="47" customFormat="false" ht="58.5" hidden="false" customHeight="true" outlineLevel="0" collapsed="false">
      <c r="A47" s="7" t="s">
        <v>4834</v>
      </c>
      <c r="B47" s="7" t="s">
        <v>4835</v>
      </c>
      <c r="C47" s="7" t="s">
        <v>4774</v>
      </c>
      <c r="D47" s="7" t="s">
        <v>4836</v>
      </c>
      <c r="E47" s="7" t="s">
        <v>5573</v>
      </c>
      <c r="F47" s="7" t="s">
        <v>7004</v>
      </c>
      <c r="G47" s="7" t="s">
        <v>7005</v>
      </c>
      <c r="H47" s="7" t="s">
        <v>7006</v>
      </c>
      <c r="I47" s="11" t="s">
        <v>5555</v>
      </c>
      <c r="J47" s="7" t="s">
        <v>4487</v>
      </c>
    </row>
    <row r="48" customFormat="false" ht="39" hidden="false" customHeight="true" outlineLevel="0" collapsed="false">
      <c r="A48" s="7" t="s">
        <v>4839</v>
      </c>
      <c r="B48" s="7" t="s">
        <v>4840</v>
      </c>
      <c r="C48" s="7" t="s">
        <v>4774</v>
      </c>
      <c r="D48" s="7" t="s">
        <v>4841</v>
      </c>
      <c r="E48" s="7" t="s">
        <v>5573</v>
      </c>
      <c r="F48" s="7" t="s">
        <v>7007</v>
      </c>
      <c r="G48" s="7" t="s">
        <v>7008</v>
      </c>
      <c r="H48" s="7" t="s">
        <v>7009</v>
      </c>
      <c r="I48" s="12" t="s">
        <v>5562</v>
      </c>
      <c r="J48" s="7" t="s">
        <v>4487</v>
      </c>
    </row>
    <row r="49" customFormat="false" ht="58.5" hidden="false" customHeight="true" outlineLevel="0" collapsed="false">
      <c r="A49" s="7" t="s">
        <v>4844</v>
      </c>
      <c r="B49" s="7" t="s">
        <v>4845</v>
      </c>
      <c r="C49" s="7" t="s">
        <v>4774</v>
      </c>
      <c r="D49" s="7" t="s">
        <v>4846</v>
      </c>
      <c r="E49" s="7" t="s">
        <v>5573</v>
      </c>
      <c r="F49" s="7" t="s">
        <v>6468</v>
      </c>
      <c r="G49" s="7" t="s">
        <v>7010</v>
      </c>
      <c r="H49" s="7" t="s">
        <v>7011</v>
      </c>
      <c r="I49" s="12" t="s">
        <v>5562</v>
      </c>
      <c r="J49" s="7" t="s">
        <v>4487</v>
      </c>
    </row>
    <row r="50" customFormat="false" ht="39" hidden="false" customHeight="true" outlineLevel="0" collapsed="false">
      <c r="A50" s="7" t="s">
        <v>4854</v>
      </c>
      <c r="B50" s="7" t="s">
        <v>4855</v>
      </c>
      <c r="C50" s="7" t="s">
        <v>4774</v>
      </c>
      <c r="D50" s="7" t="s">
        <v>4856</v>
      </c>
      <c r="E50" s="7" t="s">
        <v>5573</v>
      </c>
      <c r="F50" s="7" t="s">
        <v>7012</v>
      </c>
      <c r="G50" s="7" t="s">
        <v>7013</v>
      </c>
      <c r="H50" s="7" t="s">
        <v>7014</v>
      </c>
      <c r="I50" s="12" t="s">
        <v>5562</v>
      </c>
      <c r="J50" s="7" t="s">
        <v>4487</v>
      </c>
    </row>
    <row r="51" customFormat="false" ht="39" hidden="false" customHeight="true" outlineLevel="0" collapsed="false">
      <c r="A51" s="7" t="s">
        <v>4859</v>
      </c>
      <c r="B51" s="7" t="s">
        <v>4860</v>
      </c>
      <c r="C51" s="7" t="s">
        <v>4774</v>
      </c>
      <c r="D51" s="7" t="s">
        <v>4861</v>
      </c>
      <c r="E51" s="7" t="s">
        <v>5551</v>
      </c>
      <c r="F51" s="7" t="s">
        <v>7015</v>
      </c>
      <c r="G51" s="7" t="s">
        <v>6953</v>
      </c>
      <c r="H51" s="7" t="s">
        <v>6476</v>
      </c>
      <c r="I51" s="12" t="s">
        <v>5562</v>
      </c>
      <c r="J51" s="7" t="s">
        <v>4487</v>
      </c>
    </row>
    <row r="52" customFormat="false" ht="39" hidden="false" customHeight="true" outlineLevel="0" collapsed="false">
      <c r="A52" s="7" t="s">
        <v>4864</v>
      </c>
      <c r="B52" s="7" t="s">
        <v>4865</v>
      </c>
      <c r="C52" s="7" t="s">
        <v>4774</v>
      </c>
      <c r="D52" s="7" t="s">
        <v>4866</v>
      </c>
      <c r="E52" s="7" t="s">
        <v>5542</v>
      </c>
      <c r="F52" s="7" t="s">
        <v>7016</v>
      </c>
      <c r="G52" s="7" t="s">
        <v>7017</v>
      </c>
      <c r="H52" s="7" t="s">
        <v>6084</v>
      </c>
      <c r="I52" s="12" t="s">
        <v>5562</v>
      </c>
      <c r="J52" s="7" t="s">
        <v>4487</v>
      </c>
    </row>
    <row r="53" customFormat="false" ht="58.5" hidden="false" customHeight="true" outlineLevel="0" collapsed="false">
      <c r="A53" s="7" t="s">
        <v>4874</v>
      </c>
      <c r="B53" s="7" t="s">
        <v>4875</v>
      </c>
      <c r="C53" s="7" t="s">
        <v>4774</v>
      </c>
      <c r="D53" s="7" t="s">
        <v>4876</v>
      </c>
      <c r="E53" s="7" t="s">
        <v>5551</v>
      </c>
      <c r="F53" s="7" t="s">
        <v>7018</v>
      </c>
      <c r="G53" s="7" t="s">
        <v>7019</v>
      </c>
      <c r="H53" s="7" t="s">
        <v>7020</v>
      </c>
      <c r="I53" s="11" t="s">
        <v>5555</v>
      </c>
      <c r="J53" s="7" t="s">
        <v>4487</v>
      </c>
    </row>
    <row r="54" customFormat="false" ht="39" hidden="false" customHeight="true" outlineLevel="0" collapsed="false">
      <c r="A54" s="7" t="s">
        <v>4884</v>
      </c>
      <c r="B54" s="7" t="s">
        <v>4885</v>
      </c>
      <c r="C54" s="7" t="s">
        <v>4774</v>
      </c>
      <c r="D54" s="7" t="s">
        <v>4886</v>
      </c>
      <c r="E54" s="7" t="s">
        <v>5551</v>
      </c>
      <c r="F54" s="7" t="s">
        <v>7021</v>
      </c>
      <c r="G54" s="7" t="s">
        <v>7022</v>
      </c>
      <c r="H54" s="7" t="s">
        <v>7023</v>
      </c>
      <c r="I54" s="12" t="s">
        <v>5562</v>
      </c>
      <c r="J54" s="7" t="s">
        <v>4487</v>
      </c>
    </row>
    <row r="55" customFormat="false" ht="39" hidden="false" customHeight="true" outlineLevel="0" collapsed="false">
      <c r="A55" s="7" t="s">
        <v>4904</v>
      </c>
      <c r="B55" s="7" t="s">
        <v>4905</v>
      </c>
      <c r="C55" s="7" t="s">
        <v>4774</v>
      </c>
      <c r="D55" s="7" t="s">
        <v>4906</v>
      </c>
      <c r="E55" s="7" t="s">
        <v>5542</v>
      </c>
      <c r="F55" s="7" t="s">
        <v>7024</v>
      </c>
      <c r="G55" s="7" t="s">
        <v>7025</v>
      </c>
      <c r="H55" s="7" t="s">
        <v>7026</v>
      </c>
      <c r="I55" s="12" t="s">
        <v>5562</v>
      </c>
      <c r="J55" s="7" t="s">
        <v>4487</v>
      </c>
    </row>
    <row r="56" customFormat="false" ht="39" hidden="false" customHeight="true" outlineLevel="0" collapsed="false">
      <c r="A56" s="7" t="s">
        <v>4909</v>
      </c>
      <c r="B56" s="7" t="s">
        <v>4910</v>
      </c>
      <c r="C56" s="7" t="s">
        <v>4774</v>
      </c>
      <c r="D56" s="7" t="s">
        <v>4911</v>
      </c>
      <c r="E56" s="7" t="s">
        <v>5542</v>
      </c>
      <c r="F56" s="7" t="s">
        <v>7027</v>
      </c>
      <c r="G56" s="7" t="s">
        <v>7028</v>
      </c>
      <c r="H56" s="7" t="s">
        <v>7029</v>
      </c>
      <c r="I56" s="12" t="s">
        <v>5562</v>
      </c>
      <c r="J56" s="7" t="s">
        <v>4487</v>
      </c>
    </row>
    <row r="57" customFormat="false" ht="39" hidden="false" customHeight="true" outlineLevel="0" collapsed="false">
      <c r="A57" s="7" t="s">
        <v>4924</v>
      </c>
      <c r="B57" s="7" t="s">
        <v>4925</v>
      </c>
      <c r="C57" s="7" t="s">
        <v>4774</v>
      </c>
      <c r="D57" s="7" t="s">
        <v>4926</v>
      </c>
      <c r="E57" s="7" t="s">
        <v>5573</v>
      </c>
      <c r="F57" s="7" t="s">
        <v>7030</v>
      </c>
      <c r="G57" s="7" t="s">
        <v>7031</v>
      </c>
      <c r="H57" s="7" t="s">
        <v>6499</v>
      </c>
      <c r="I57" s="11" t="s">
        <v>5555</v>
      </c>
      <c r="J57" s="7" t="s">
        <v>4487</v>
      </c>
    </row>
    <row r="58" customFormat="false" ht="39" hidden="false" customHeight="true" outlineLevel="0" collapsed="false">
      <c r="A58" s="7" t="s">
        <v>4944</v>
      </c>
      <c r="B58" s="7" t="s">
        <v>4945</v>
      </c>
      <c r="C58" s="7" t="s">
        <v>4774</v>
      </c>
      <c r="D58" s="7" t="s">
        <v>4946</v>
      </c>
      <c r="E58" s="7" t="s">
        <v>5573</v>
      </c>
      <c r="F58" s="7" t="s">
        <v>7032</v>
      </c>
      <c r="G58" s="7" t="s">
        <v>7033</v>
      </c>
      <c r="H58" s="7" t="s">
        <v>7034</v>
      </c>
      <c r="I58" s="12" t="s">
        <v>5562</v>
      </c>
      <c r="J58" s="7" t="s">
        <v>4487</v>
      </c>
    </row>
  </sheetData>
  <autoFilter ref="A22:J58"/>
  <mergeCells count="17">
    <mergeCell ref="A1:J1"/>
    <mergeCell ref="A2:J2"/>
    <mergeCell ref="A3:J3"/>
    <mergeCell ref="A4:J4"/>
    <mergeCell ref="A5:J5"/>
    <mergeCell ref="A7:J7"/>
    <mergeCell ref="A8:J8"/>
    <mergeCell ref="A9:J9"/>
    <mergeCell ref="A10:J10"/>
    <mergeCell ref="A11:J11"/>
    <mergeCell ref="A13:J13"/>
    <mergeCell ref="F14:J14"/>
    <mergeCell ref="F15:J15"/>
    <mergeCell ref="F16:J16"/>
    <mergeCell ref="F17:J17"/>
    <mergeCell ref="F18:J18"/>
    <mergeCell ref="F19:J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44"/>
    <col collapsed="false" customWidth="true" hidden="false" outlineLevel="0" max="5" min="5" style="1" width="15"/>
    <col collapsed="false" customWidth="true" hidden="false" outlineLevel="0" max="6" min="6" style="1" width="62"/>
    <col collapsed="false" customWidth="true" hidden="false" outlineLevel="0" max="7" min="7" style="1" width="58"/>
    <col collapsed="false" customWidth="true" hidden="false" outlineLevel="0" max="8" min="8" style="1" width="36"/>
    <col collapsed="false" customWidth="true" hidden="false" outlineLevel="0" max="9" min="9" style="1" width="18"/>
    <col collapsed="false" customWidth="true" hidden="false" outlineLevel="0" max="10" min="10" style="1" width="16"/>
  </cols>
  <sheetData>
    <row r="1" customFormat="false" ht="31.5" hidden="false" customHeight="true" outlineLevel="0" collapsed="false">
      <c r="A1" s="2" t="s">
        <v>7035</v>
      </c>
      <c r="B1" s="2"/>
      <c r="C1" s="2"/>
      <c r="D1" s="2"/>
      <c r="E1" s="2"/>
      <c r="F1" s="2"/>
      <c r="G1" s="2"/>
      <c r="H1" s="2"/>
      <c r="I1" s="2"/>
      <c r="J1" s="2"/>
    </row>
    <row r="2" customFormat="false" ht="45.75" hidden="false" customHeight="true" outlineLevel="0" collapsed="false">
      <c r="A2" s="3" t="s">
        <v>7036</v>
      </c>
      <c r="B2" s="3"/>
      <c r="C2" s="3"/>
      <c r="D2" s="3"/>
      <c r="E2" s="3"/>
      <c r="F2" s="3"/>
      <c r="G2" s="3"/>
      <c r="H2" s="3"/>
      <c r="I2" s="3"/>
      <c r="J2" s="3"/>
    </row>
    <row r="3" customFormat="false" ht="45.75" hidden="false" customHeight="true" outlineLevel="0" collapsed="false">
      <c r="A3" s="3" t="s">
        <v>7037</v>
      </c>
      <c r="B3" s="3"/>
      <c r="C3" s="3"/>
      <c r="D3" s="3"/>
      <c r="E3" s="3"/>
      <c r="F3" s="3"/>
      <c r="G3" s="3"/>
      <c r="H3" s="3"/>
      <c r="I3" s="3"/>
      <c r="J3" s="3"/>
    </row>
    <row r="4" customFormat="false" ht="45.75" hidden="false" customHeight="true" outlineLevel="0" collapsed="false">
      <c r="A4" s="3" t="s">
        <v>6781</v>
      </c>
      <c r="B4" s="3"/>
      <c r="C4" s="3"/>
      <c r="D4" s="3"/>
      <c r="E4" s="3"/>
      <c r="F4" s="3"/>
      <c r="G4" s="3"/>
      <c r="H4" s="3"/>
      <c r="I4" s="3"/>
      <c r="J4" s="3"/>
    </row>
    <row r="5" customFormat="false" ht="45.75" hidden="false" customHeight="true" outlineLevel="0" collapsed="false">
      <c r="A5" s="3" t="s">
        <v>7038</v>
      </c>
      <c r="B5" s="3"/>
      <c r="C5" s="3"/>
      <c r="D5" s="3"/>
      <c r="E5" s="3"/>
      <c r="F5" s="3"/>
      <c r="G5" s="3"/>
      <c r="H5" s="3"/>
      <c r="I5" s="3"/>
      <c r="J5" s="3"/>
    </row>
    <row r="6" customFormat="false" ht="17.25" hidden="false" customHeight="true" outlineLevel="0" collapsed="false"/>
    <row r="7" customFormat="false" ht="18" hidden="false" customHeight="true" outlineLevel="0" collapsed="false">
      <c r="A7" s="26" t="s">
        <v>5514</v>
      </c>
      <c r="B7" s="26"/>
      <c r="C7" s="26"/>
      <c r="D7" s="26"/>
      <c r="E7" s="26"/>
      <c r="F7" s="26"/>
      <c r="G7" s="26"/>
      <c r="H7" s="26"/>
      <c r="I7" s="26"/>
      <c r="J7" s="26"/>
    </row>
    <row r="8" customFormat="false" ht="24" hidden="false" customHeight="true" outlineLevel="0" collapsed="false">
      <c r="A8" s="3" t="s">
        <v>5515</v>
      </c>
      <c r="B8" s="3"/>
      <c r="C8" s="3"/>
      <c r="D8" s="3"/>
      <c r="E8" s="3"/>
      <c r="F8" s="3"/>
      <c r="G8" s="3"/>
      <c r="H8" s="3"/>
      <c r="I8" s="3"/>
      <c r="J8" s="3"/>
    </row>
    <row r="9" customFormat="false" ht="24" hidden="false" customHeight="true" outlineLevel="0" collapsed="false">
      <c r="A9" s="3" t="s">
        <v>5516</v>
      </c>
      <c r="B9" s="3"/>
      <c r="C9" s="3"/>
      <c r="D9" s="3"/>
      <c r="E9" s="3"/>
      <c r="F9" s="3"/>
      <c r="G9" s="3"/>
      <c r="H9" s="3"/>
      <c r="I9" s="3"/>
      <c r="J9" s="3"/>
    </row>
    <row r="10" customFormat="false" ht="24" hidden="false" customHeight="true" outlineLevel="0" collapsed="false">
      <c r="A10" s="3" t="s">
        <v>5517</v>
      </c>
      <c r="B10" s="3"/>
      <c r="C10" s="3"/>
      <c r="D10" s="3"/>
      <c r="E10" s="3"/>
      <c r="F10" s="3"/>
      <c r="G10" s="3"/>
      <c r="H10" s="3"/>
      <c r="I10" s="3"/>
      <c r="J10" s="3"/>
    </row>
    <row r="11" customFormat="false" ht="24" hidden="false" customHeight="true" outlineLevel="0" collapsed="false">
      <c r="A11" s="3" t="s">
        <v>5518</v>
      </c>
      <c r="B11" s="3"/>
      <c r="C11" s="3"/>
      <c r="D11" s="3"/>
      <c r="E11" s="3"/>
      <c r="F11" s="3"/>
      <c r="G11" s="3"/>
      <c r="H11" s="3"/>
      <c r="I11" s="3"/>
      <c r="J11" s="3"/>
    </row>
    <row r="12" customFormat="false" ht="17.25" hidden="false" customHeight="true" outlineLevel="0" collapsed="false"/>
    <row r="13" customFormat="false" ht="27.75" hidden="false" customHeight="true" outlineLevel="0" collapsed="false">
      <c r="A13" s="5" t="s">
        <v>5519</v>
      </c>
      <c r="B13" s="5"/>
      <c r="C13" s="5"/>
      <c r="D13" s="5"/>
      <c r="E13" s="5"/>
      <c r="F13" s="5"/>
      <c r="G13" s="5"/>
      <c r="H13" s="5"/>
      <c r="I13" s="5"/>
      <c r="J13" s="5"/>
    </row>
    <row r="14" customFormat="false" ht="18" hidden="false" customHeight="true" outlineLevel="0" collapsed="false">
      <c r="A14" s="6" t="s">
        <v>5520</v>
      </c>
      <c r="B14" s="6" t="s">
        <v>5521</v>
      </c>
      <c r="C14" s="6" t="s">
        <v>132</v>
      </c>
      <c r="D14" s="6" t="s">
        <v>138</v>
      </c>
      <c r="E14" s="6" t="s">
        <v>144</v>
      </c>
      <c r="F14" s="6" t="s">
        <v>5522</v>
      </c>
      <c r="G14" s="6"/>
      <c r="H14" s="6"/>
      <c r="I14" s="6"/>
      <c r="J14" s="6"/>
    </row>
    <row r="15" customFormat="false" ht="45.75" hidden="false" customHeight="true" outlineLevel="0" collapsed="false">
      <c r="A15" s="7" t="s">
        <v>162</v>
      </c>
      <c r="B15" s="7" t="n">
        <f aca="false">COUNTIF($C$25:$C$66,$A15)</f>
        <v>15</v>
      </c>
      <c r="C15" s="7" t="n">
        <f aca="false">COUNTIFS($C$25:$C$66,$A15,$I$25:$I$66,"Level 1*")</f>
        <v>9</v>
      </c>
      <c r="D15" s="7" t="n">
        <f aca="false">COUNTIFS($C$25:$C$66,$A15,$I$25:$I$66,"Level 2*")</f>
        <v>6</v>
      </c>
      <c r="E15" s="7" t="n">
        <f aca="false">COUNTIFS($C$25:$C$66,$A15,$I$25:$I$66,"Level 3*")</f>
        <v>0</v>
      </c>
      <c r="F15" s="7" t="s">
        <v>7039</v>
      </c>
      <c r="G15" s="7"/>
      <c r="H15" s="7"/>
      <c r="I15" s="7"/>
      <c r="J15" s="7"/>
    </row>
    <row r="16" customFormat="false" ht="31.5" hidden="false" customHeight="true" outlineLevel="0" collapsed="false">
      <c r="A16" s="7" t="s">
        <v>1367</v>
      </c>
      <c r="B16" s="7" t="n">
        <f aca="false">COUNTIF($C$25:$C$66,$A16)</f>
        <v>5</v>
      </c>
      <c r="C16" s="7" t="n">
        <f aca="false">COUNTIFS($C$25:$C$66,$A16,$I$25:$I$66,"Level 1*")</f>
        <v>2</v>
      </c>
      <c r="D16" s="7" t="n">
        <f aca="false">COUNTIFS($C$25:$C$66,$A16,$I$25:$I$66,"Level 2*")</f>
        <v>3</v>
      </c>
      <c r="E16" s="7" t="n">
        <f aca="false">COUNTIFS($C$25:$C$66,$A16,$I$25:$I$66,"Level 3*")</f>
        <v>0</v>
      </c>
      <c r="F16" s="7" t="s">
        <v>7040</v>
      </c>
      <c r="G16" s="7"/>
      <c r="H16" s="7"/>
      <c r="I16" s="7"/>
      <c r="J16" s="7"/>
    </row>
    <row r="17" customFormat="false" ht="31.5" hidden="false" customHeight="true" outlineLevel="0" collapsed="false">
      <c r="A17" s="7" t="s">
        <v>1665</v>
      </c>
      <c r="B17" s="7" t="n">
        <f aca="false">COUNTIF($C$25:$C$66,$A17)</f>
        <v>6</v>
      </c>
      <c r="C17" s="7" t="n">
        <f aca="false">COUNTIFS($C$25:$C$66,$A17,$I$25:$I$66,"Level 1*")</f>
        <v>3</v>
      </c>
      <c r="D17" s="7" t="n">
        <f aca="false">COUNTIFS($C$25:$C$66,$A17,$I$25:$I$66,"Level 2*")</f>
        <v>3</v>
      </c>
      <c r="E17" s="7" t="n">
        <f aca="false">COUNTIFS($C$25:$C$66,$A17,$I$25:$I$66,"Level 3*")</f>
        <v>0</v>
      </c>
      <c r="F17" s="7" t="s">
        <v>7041</v>
      </c>
      <c r="G17" s="7"/>
      <c r="H17" s="7"/>
      <c r="I17" s="7"/>
      <c r="J17" s="7"/>
    </row>
    <row r="18" customFormat="false" ht="31.5" hidden="false" customHeight="true" outlineLevel="0" collapsed="false">
      <c r="A18" s="7" t="s">
        <v>1920</v>
      </c>
      <c r="B18" s="7" t="n">
        <f aca="false">COUNTIF($C$25:$C$66,$A18)</f>
        <v>6</v>
      </c>
      <c r="C18" s="7" t="n">
        <f aca="false">COUNTIFS($C$25:$C$66,$A18,$I$25:$I$66,"Level 1*")</f>
        <v>1</v>
      </c>
      <c r="D18" s="7" t="n">
        <f aca="false">COUNTIFS($C$25:$C$66,$A18,$I$25:$I$66,"Level 2*")</f>
        <v>5</v>
      </c>
      <c r="E18" s="7" t="n">
        <f aca="false">COUNTIFS($C$25:$C$66,$A18,$I$25:$I$66,"Level 3*")</f>
        <v>0</v>
      </c>
      <c r="F18" s="7" t="s">
        <v>7042</v>
      </c>
      <c r="G18" s="7"/>
      <c r="H18" s="7"/>
      <c r="I18" s="7"/>
      <c r="J18" s="7"/>
    </row>
    <row r="19" customFormat="false" ht="31.5" hidden="false" customHeight="true" outlineLevel="0" collapsed="false">
      <c r="A19" s="7" t="s">
        <v>3415</v>
      </c>
      <c r="B19" s="7" t="n">
        <f aca="false">COUNTIF($C$25:$C$66,$A19)</f>
        <v>3</v>
      </c>
      <c r="C19" s="7" t="n">
        <f aca="false">COUNTIFS($C$25:$C$66,$A19,$I$25:$I$66,"Level 1*")</f>
        <v>2</v>
      </c>
      <c r="D19" s="7" t="n">
        <f aca="false">COUNTIFS($C$25:$C$66,$A19,$I$25:$I$66,"Level 2*")</f>
        <v>1</v>
      </c>
      <c r="E19" s="7" t="n">
        <f aca="false">COUNTIFS($C$25:$C$66,$A19,$I$25:$I$66,"Level 3*")</f>
        <v>0</v>
      </c>
      <c r="F19" s="7" t="s">
        <v>7043</v>
      </c>
      <c r="G19" s="7"/>
      <c r="H19" s="7"/>
      <c r="I19" s="7"/>
      <c r="J19" s="7"/>
    </row>
    <row r="20" customFormat="false" ht="31.5" hidden="false" customHeight="true" outlineLevel="0" collapsed="false">
      <c r="A20" s="7" t="s">
        <v>4081</v>
      </c>
      <c r="B20" s="7" t="n">
        <f aca="false">COUNTIF($C$25:$C$66,$A20)</f>
        <v>3</v>
      </c>
      <c r="C20" s="7" t="n">
        <f aca="false">COUNTIFS($C$25:$C$66,$A20,$I$25:$I$66,"Level 1*")</f>
        <v>3</v>
      </c>
      <c r="D20" s="7" t="n">
        <f aca="false">COUNTIFS($C$25:$C$66,$A20,$I$25:$I$66,"Level 2*")</f>
        <v>0</v>
      </c>
      <c r="E20" s="7" t="n">
        <f aca="false">COUNTIFS($C$25:$C$66,$A20,$I$25:$I$66,"Level 3*")</f>
        <v>0</v>
      </c>
      <c r="F20" s="7" t="s">
        <v>7044</v>
      </c>
      <c r="G20" s="7"/>
      <c r="H20" s="7"/>
      <c r="I20" s="7"/>
      <c r="J20" s="7"/>
    </row>
    <row r="21" customFormat="false" ht="31.5" hidden="false" customHeight="true" outlineLevel="0" collapsed="false">
      <c r="A21" s="7" t="s">
        <v>4774</v>
      </c>
      <c r="B21" s="7" t="n">
        <f aca="false">COUNTIF($C$25:$C$66,$A21)</f>
        <v>4</v>
      </c>
      <c r="C21" s="7" t="n">
        <f aca="false">COUNTIFS($C$25:$C$66,$A21,$I$25:$I$66,"Level 1*")</f>
        <v>1</v>
      </c>
      <c r="D21" s="7" t="n">
        <f aca="false">COUNTIFS($C$25:$C$66,$A21,$I$25:$I$66,"Level 2*")</f>
        <v>3</v>
      </c>
      <c r="E21" s="7" t="n">
        <f aca="false">COUNTIFS($C$25:$C$66,$A21,$I$25:$I$66,"Level 3*")</f>
        <v>0</v>
      </c>
      <c r="F21" s="7" t="s">
        <v>7045</v>
      </c>
      <c r="G21" s="7"/>
      <c r="H21" s="7"/>
      <c r="I21" s="7"/>
      <c r="J21" s="7"/>
    </row>
    <row r="22" customFormat="false" ht="18" hidden="false" customHeight="true" outlineLevel="0" collapsed="false">
      <c r="A22" s="22" t="s">
        <v>5446</v>
      </c>
      <c r="B22" s="22" t="n">
        <f aca="false">SUM(B15:B21)</f>
        <v>42</v>
      </c>
      <c r="C22" s="22" t="n">
        <f aca="false">SUM(C15:C21)</f>
        <v>21</v>
      </c>
      <c r="D22" s="22" t="n">
        <f aca="false">SUM(D15:D21)</f>
        <v>21</v>
      </c>
      <c r="E22" s="22" t="n">
        <f aca="false">SUM(E15:E21)</f>
        <v>0</v>
      </c>
    </row>
    <row r="23" customFormat="false" ht="17.25" hidden="false" customHeight="true" outlineLevel="0" collapsed="false"/>
    <row r="24" customFormat="false" ht="39.75" hidden="false" customHeight="true" outlineLevel="0" collapsed="false">
      <c r="A24" s="8" t="s">
        <v>150</v>
      </c>
      <c r="B24" s="8" t="s">
        <v>151</v>
      </c>
      <c r="C24" s="8" t="s">
        <v>10</v>
      </c>
      <c r="D24" s="8" t="s">
        <v>152</v>
      </c>
      <c r="E24" s="8" t="s">
        <v>5534</v>
      </c>
      <c r="F24" s="8" t="s">
        <v>5535</v>
      </c>
      <c r="G24" s="8" t="s">
        <v>5536</v>
      </c>
      <c r="H24" s="8" t="s">
        <v>5537</v>
      </c>
      <c r="I24" s="8" t="s">
        <v>126</v>
      </c>
      <c r="J24" s="8" t="s">
        <v>154</v>
      </c>
    </row>
    <row r="25" customFormat="false" ht="58.5" hidden="false" customHeight="true" outlineLevel="0" collapsed="false">
      <c r="A25" s="7" t="s">
        <v>171</v>
      </c>
      <c r="B25" s="7" t="s">
        <v>172</v>
      </c>
      <c r="C25" s="7" t="s">
        <v>162</v>
      </c>
      <c r="D25" s="7" t="s">
        <v>173</v>
      </c>
      <c r="E25" s="7" t="s">
        <v>5551</v>
      </c>
      <c r="F25" s="7" t="s">
        <v>7046</v>
      </c>
      <c r="G25" s="7" t="s">
        <v>7047</v>
      </c>
      <c r="H25" s="7" t="s">
        <v>7048</v>
      </c>
      <c r="I25" s="11" t="s">
        <v>5555</v>
      </c>
      <c r="J25" s="7" t="s">
        <v>175</v>
      </c>
    </row>
    <row r="26" customFormat="false" ht="39" hidden="false" customHeight="true" outlineLevel="0" collapsed="false">
      <c r="A26" s="7" t="s">
        <v>192</v>
      </c>
      <c r="B26" s="7" t="s">
        <v>193</v>
      </c>
      <c r="C26" s="7" t="s">
        <v>162</v>
      </c>
      <c r="D26" s="7" t="s">
        <v>194</v>
      </c>
      <c r="E26" s="7" t="s">
        <v>5551</v>
      </c>
      <c r="F26" s="7" t="s">
        <v>7049</v>
      </c>
      <c r="G26" s="7" t="s">
        <v>7050</v>
      </c>
      <c r="H26" s="7" t="s">
        <v>7051</v>
      </c>
      <c r="I26" s="12" t="s">
        <v>5562</v>
      </c>
      <c r="J26" s="7" t="s">
        <v>175</v>
      </c>
    </row>
    <row r="27" customFormat="false" ht="39" hidden="false" customHeight="true" outlineLevel="0" collapsed="false">
      <c r="A27" s="7" t="s">
        <v>197</v>
      </c>
      <c r="B27" s="7" t="s">
        <v>198</v>
      </c>
      <c r="C27" s="7" t="s">
        <v>162</v>
      </c>
      <c r="D27" s="7" t="s">
        <v>199</v>
      </c>
      <c r="E27" s="7" t="s">
        <v>5573</v>
      </c>
      <c r="F27" s="7" t="s">
        <v>7052</v>
      </c>
      <c r="G27" s="7" t="s">
        <v>7053</v>
      </c>
      <c r="H27" s="7" t="s">
        <v>7054</v>
      </c>
      <c r="I27" s="11" t="s">
        <v>5555</v>
      </c>
      <c r="J27" s="7" t="s">
        <v>175</v>
      </c>
    </row>
    <row r="28" customFormat="false" ht="58.5" hidden="false" customHeight="true" outlineLevel="0" collapsed="false">
      <c r="A28" s="7" t="s">
        <v>212</v>
      </c>
      <c r="B28" s="7" t="s">
        <v>213</v>
      </c>
      <c r="C28" s="7" t="s">
        <v>162</v>
      </c>
      <c r="D28" s="7" t="s">
        <v>214</v>
      </c>
      <c r="E28" s="7" t="s">
        <v>5551</v>
      </c>
      <c r="F28" s="7" t="s">
        <v>7055</v>
      </c>
      <c r="G28" s="7" t="s">
        <v>7056</v>
      </c>
      <c r="H28" s="7" t="s">
        <v>6806</v>
      </c>
      <c r="I28" s="11" t="s">
        <v>5555</v>
      </c>
      <c r="J28" s="7" t="s">
        <v>175</v>
      </c>
    </row>
    <row r="29" customFormat="false" ht="58.5" hidden="false" customHeight="true" outlineLevel="0" collapsed="false">
      <c r="A29" s="7" t="s">
        <v>222</v>
      </c>
      <c r="B29" s="7" t="s">
        <v>223</v>
      </c>
      <c r="C29" s="7" t="s">
        <v>162</v>
      </c>
      <c r="D29" s="7" t="s">
        <v>224</v>
      </c>
      <c r="E29" s="7" t="s">
        <v>5551</v>
      </c>
      <c r="F29" s="7" t="s">
        <v>7057</v>
      </c>
      <c r="G29" s="7" t="s">
        <v>7058</v>
      </c>
      <c r="H29" s="7" t="s">
        <v>7059</v>
      </c>
      <c r="I29" s="12" t="s">
        <v>5562</v>
      </c>
      <c r="J29" s="7" t="s">
        <v>175</v>
      </c>
    </row>
    <row r="30" customFormat="false" ht="58.5" hidden="false" customHeight="true" outlineLevel="0" collapsed="false">
      <c r="A30" s="7" t="s">
        <v>242</v>
      </c>
      <c r="B30" s="7" t="s">
        <v>243</v>
      </c>
      <c r="C30" s="7" t="s">
        <v>162</v>
      </c>
      <c r="D30" s="7" t="s">
        <v>244</v>
      </c>
      <c r="E30" s="7" t="s">
        <v>5551</v>
      </c>
      <c r="F30" s="7" t="s">
        <v>7060</v>
      </c>
      <c r="G30" s="7" t="s">
        <v>7061</v>
      </c>
      <c r="H30" s="7" t="s">
        <v>7062</v>
      </c>
      <c r="I30" s="11" t="s">
        <v>5555</v>
      </c>
      <c r="J30" s="7" t="s">
        <v>245</v>
      </c>
    </row>
    <row r="31" customFormat="false" ht="39" hidden="false" customHeight="true" outlineLevel="0" collapsed="false">
      <c r="A31" s="7" t="s">
        <v>270</v>
      </c>
      <c r="B31" s="7" t="s">
        <v>271</v>
      </c>
      <c r="C31" s="7" t="s">
        <v>162</v>
      </c>
      <c r="D31" s="7" t="s">
        <v>272</v>
      </c>
      <c r="E31" s="7" t="s">
        <v>5551</v>
      </c>
      <c r="F31" s="7" t="s">
        <v>7063</v>
      </c>
      <c r="G31" s="7" t="s">
        <v>7064</v>
      </c>
      <c r="H31" s="7" t="s">
        <v>7065</v>
      </c>
      <c r="I31" s="12" t="s">
        <v>5562</v>
      </c>
      <c r="J31" s="7" t="s">
        <v>245</v>
      </c>
    </row>
    <row r="32" customFormat="false" ht="39" hidden="false" customHeight="true" outlineLevel="0" collapsed="false">
      <c r="A32" s="7" t="s">
        <v>290</v>
      </c>
      <c r="B32" s="7" t="s">
        <v>291</v>
      </c>
      <c r="C32" s="7" t="s">
        <v>162</v>
      </c>
      <c r="D32" s="7" t="s">
        <v>292</v>
      </c>
      <c r="E32" s="7" t="s">
        <v>5551</v>
      </c>
      <c r="F32" s="7" t="s">
        <v>7066</v>
      </c>
      <c r="G32" s="7" t="s">
        <v>7067</v>
      </c>
      <c r="H32" s="7" t="s">
        <v>7068</v>
      </c>
      <c r="I32" s="12" t="s">
        <v>5562</v>
      </c>
      <c r="J32" s="7" t="s">
        <v>245</v>
      </c>
    </row>
    <row r="33" customFormat="false" ht="39" hidden="false" customHeight="true" outlineLevel="0" collapsed="false">
      <c r="A33" s="7" t="s">
        <v>300</v>
      </c>
      <c r="B33" s="7" t="s">
        <v>301</v>
      </c>
      <c r="C33" s="7" t="s">
        <v>162</v>
      </c>
      <c r="D33" s="7" t="s">
        <v>302</v>
      </c>
      <c r="E33" s="7" t="s">
        <v>5551</v>
      </c>
      <c r="F33" s="7" t="s">
        <v>7069</v>
      </c>
      <c r="G33" s="7" t="s">
        <v>7070</v>
      </c>
      <c r="H33" s="7" t="s">
        <v>7071</v>
      </c>
      <c r="I33" s="12" t="s">
        <v>5562</v>
      </c>
      <c r="J33" s="7" t="s">
        <v>245</v>
      </c>
    </row>
    <row r="34" customFormat="false" ht="39" hidden="false" customHeight="true" outlineLevel="0" collapsed="false">
      <c r="A34" s="7" t="s">
        <v>480</v>
      </c>
      <c r="B34" s="7" t="s">
        <v>481</v>
      </c>
      <c r="C34" s="7" t="s">
        <v>162</v>
      </c>
      <c r="D34" s="7" t="s">
        <v>482</v>
      </c>
      <c r="E34" s="7" t="s">
        <v>5551</v>
      </c>
      <c r="F34" s="7" t="s">
        <v>7072</v>
      </c>
      <c r="G34" s="7" t="s">
        <v>7073</v>
      </c>
      <c r="H34" s="7" t="s">
        <v>7074</v>
      </c>
      <c r="I34" s="11" t="s">
        <v>5555</v>
      </c>
      <c r="J34" s="7" t="s">
        <v>245</v>
      </c>
    </row>
    <row r="35" customFormat="false" ht="58.5" hidden="false" customHeight="true" outlineLevel="0" collapsed="false">
      <c r="A35" s="7" t="s">
        <v>505</v>
      </c>
      <c r="B35" s="7" t="s">
        <v>506</v>
      </c>
      <c r="C35" s="7" t="s">
        <v>162</v>
      </c>
      <c r="D35" s="7" t="s">
        <v>507</v>
      </c>
      <c r="E35" s="7" t="s">
        <v>5551</v>
      </c>
      <c r="F35" s="7" t="s">
        <v>7075</v>
      </c>
      <c r="G35" s="7" t="s">
        <v>7076</v>
      </c>
      <c r="H35" s="7" t="s">
        <v>7077</v>
      </c>
      <c r="I35" s="11" t="s">
        <v>5555</v>
      </c>
      <c r="J35" s="7" t="s">
        <v>245</v>
      </c>
    </row>
    <row r="36" customFormat="false" ht="39" hidden="false" customHeight="true" outlineLevel="0" collapsed="false">
      <c r="A36" s="7" t="s">
        <v>525</v>
      </c>
      <c r="B36" s="7" t="s">
        <v>526</v>
      </c>
      <c r="C36" s="7" t="s">
        <v>162</v>
      </c>
      <c r="D36" s="7" t="s">
        <v>527</v>
      </c>
      <c r="E36" s="7" t="s">
        <v>5573</v>
      </c>
      <c r="F36" s="7" t="s">
        <v>7078</v>
      </c>
      <c r="G36" s="7" t="s">
        <v>7079</v>
      </c>
      <c r="H36" s="7" t="s">
        <v>7080</v>
      </c>
      <c r="I36" s="11" t="s">
        <v>5555</v>
      </c>
      <c r="J36" s="7" t="s">
        <v>245</v>
      </c>
    </row>
    <row r="37" customFormat="false" ht="58.5" hidden="false" customHeight="true" outlineLevel="0" collapsed="false">
      <c r="A37" s="7" t="s">
        <v>530</v>
      </c>
      <c r="B37" s="7" t="s">
        <v>531</v>
      </c>
      <c r="C37" s="7" t="s">
        <v>162</v>
      </c>
      <c r="D37" s="7" t="s">
        <v>532</v>
      </c>
      <c r="E37" s="7" t="s">
        <v>5551</v>
      </c>
      <c r="F37" s="7" t="s">
        <v>7081</v>
      </c>
      <c r="G37" s="7" t="s">
        <v>7082</v>
      </c>
      <c r="H37" s="7" t="s">
        <v>7083</v>
      </c>
      <c r="I37" s="11" t="s">
        <v>5555</v>
      </c>
      <c r="J37" s="7" t="s">
        <v>245</v>
      </c>
    </row>
    <row r="38" customFormat="false" ht="39" hidden="false" customHeight="true" outlineLevel="0" collapsed="false">
      <c r="A38" s="7" t="s">
        <v>593</v>
      </c>
      <c r="B38" s="7" t="s">
        <v>594</v>
      </c>
      <c r="C38" s="7" t="s">
        <v>162</v>
      </c>
      <c r="D38" s="7" t="s">
        <v>595</v>
      </c>
      <c r="E38" s="7" t="s">
        <v>5551</v>
      </c>
      <c r="F38" s="7" t="s">
        <v>7084</v>
      </c>
      <c r="G38" s="7" t="s">
        <v>7085</v>
      </c>
      <c r="H38" s="7" t="s">
        <v>7086</v>
      </c>
      <c r="I38" s="12" t="s">
        <v>5562</v>
      </c>
      <c r="J38" s="7" t="s">
        <v>245</v>
      </c>
    </row>
    <row r="39" customFormat="false" ht="58.5" hidden="false" customHeight="true" outlineLevel="0" collapsed="false">
      <c r="A39" s="7" t="s">
        <v>609</v>
      </c>
      <c r="B39" s="7" t="s">
        <v>610</v>
      </c>
      <c r="C39" s="7" t="s">
        <v>162</v>
      </c>
      <c r="D39" s="7" t="s">
        <v>611</v>
      </c>
      <c r="E39" s="7" t="s">
        <v>5551</v>
      </c>
      <c r="F39" s="7" t="s">
        <v>7087</v>
      </c>
      <c r="G39" s="7" t="s">
        <v>7088</v>
      </c>
      <c r="H39" s="7" t="s">
        <v>7089</v>
      </c>
      <c r="I39" s="11" t="s">
        <v>5555</v>
      </c>
      <c r="J39" s="7" t="s">
        <v>538</v>
      </c>
    </row>
    <row r="40" customFormat="false" ht="39" hidden="false" customHeight="true" outlineLevel="0" collapsed="false">
      <c r="A40" s="7" t="s">
        <v>1370</v>
      </c>
      <c r="B40" s="7" t="s">
        <v>1371</v>
      </c>
      <c r="C40" s="7" t="s">
        <v>1367</v>
      </c>
      <c r="D40" s="7" t="s">
        <v>1372</v>
      </c>
      <c r="E40" s="7" t="s">
        <v>5542</v>
      </c>
      <c r="F40" s="7" t="s">
        <v>7090</v>
      </c>
      <c r="G40" s="7" t="s">
        <v>7091</v>
      </c>
      <c r="H40" s="7" t="s">
        <v>7092</v>
      </c>
      <c r="I40" s="11" t="s">
        <v>5555</v>
      </c>
      <c r="J40" s="7" t="s">
        <v>749</v>
      </c>
    </row>
    <row r="41" customFormat="false" ht="39" hidden="false" customHeight="true" outlineLevel="0" collapsed="false">
      <c r="A41" s="7" t="s">
        <v>1381</v>
      </c>
      <c r="B41" s="7" t="s">
        <v>1382</v>
      </c>
      <c r="C41" s="7" t="s">
        <v>1367</v>
      </c>
      <c r="D41" s="7" t="s">
        <v>1383</v>
      </c>
      <c r="E41" s="7" t="s">
        <v>5551</v>
      </c>
      <c r="F41" s="7" t="s">
        <v>7093</v>
      </c>
      <c r="G41" s="7" t="s">
        <v>7094</v>
      </c>
      <c r="H41" s="7" t="s">
        <v>7095</v>
      </c>
      <c r="I41" s="12" t="s">
        <v>5562</v>
      </c>
      <c r="J41" s="7" t="s">
        <v>749</v>
      </c>
    </row>
    <row r="42" customFormat="false" ht="58.5" hidden="false" customHeight="true" outlineLevel="0" collapsed="false">
      <c r="A42" s="7" t="s">
        <v>1488</v>
      </c>
      <c r="B42" s="7" t="s">
        <v>1489</v>
      </c>
      <c r="C42" s="7" t="s">
        <v>1367</v>
      </c>
      <c r="D42" s="7" t="s">
        <v>1490</v>
      </c>
      <c r="E42" s="7" t="s">
        <v>5551</v>
      </c>
      <c r="F42" s="7" t="s">
        <v>7096</v>
      </c>
      <c r="G42" s="7" t="s">
        <v>7097</v>
      </c>
      <c r="H42" s="7" t="s">
        <v>7098</v>
      </c>
      <c r="I42" s="11" t="s">
        <v>5555</v>
      </c>
      <c r="J42" s="7" t="s">
        <v>749</v>
      </c>
    </row>
    <row r="43" customFormat="false" ht="58.5" hidden="false" customHeight="true" outlineLevel="0" collapsed="false">
      <c r="A43" s="7" t="s">
        <v>1493</v>
      </c>
      <c r="B43" s="7" t="s">
        <v>1494</v>
      </c>
      <c r="C43" s="7" t="s">
        <v>1367</v>
      </c>
      <c r="D43" s="7" t="s">
        <v>1495</v>
      </c>
      <c r="E43" s="7" t="s">
        <v>5542</v>
      </c>
      <c r="F43" s="7" t="s">
        <v>7099</v>
      </c>
      <c r="G43" s="7" t="s">
        <v>7100</v>
      </c>
      <c r="H43" s="7" t="s">
        <v>7101</v>
      </c>
      <c r="I43" s="12" t="s">
        <v>5562</v>
      </c>
      <c r="J43" s="7" t="s">
        <v>749</v>
      </c>
    </row>
    <row r="44" customFormat="false" ht="39" hidden="false" customHeight="true" outlineLevel="0" collapsed="false">
      <c r="A44" s="7" t="s">
        <v>1498</v>
      </c>
      <c r="B44" s="7" t="s">
        <v>1499</v>
      </c>
      <c r="C44" s="7" t="s">
        <v>1367</v>
      </c>
      <c r="D44" s="7" t="s">
        <v>1500</v>
      </c>
      <c r="E44" s="7" t="s">
        <v>5573</v>
      </c>
      <c r="F44" s="7" t="s">
        <v>7102</v>
      </c>
      <c r="G44" s="7" t="s">
        <v>7103</v>
      </c>
      <c r="H44" s="7" t="s">
        <v>7104</v>
      </c>
      <c r="I44" s="12" t="s">
        <v>5562</v>
      </c>
      <c r="J44" s="7" t="s">
        <v>749</v>
      </c>
    </row>
    <row r="45" customFormat="false" ht="58.5" hidden="false" customHeight="true" outlineLevel="0" collapsed="false">
      <c r="A45" s="7" t="s">
        <v>1839</v>
      </c>
      <c r="B45" s="7" t="s">
        <v>1840</v>
      </c>
      <c r="C45" s="7" t="s">
        <v>1665</v>
      </c>
      <c r="D45" s="7" t="s">
        <v>1841</v>
      </c>
      <c r="E45" s="7" t="s">
        <v>5551</v>
      </c>
      <c r="F45" s="7" t="s">
        <v>7105</v>
      </c>
      <c r="G45" s="7" t="s">
        <v>7106</v>
      </c>
      <c r="H45" s="7" t="s">
        <v>5995</v>
      </c>
      <c r="I45" s="11" t="s">
        <v>5555</v>
      </c>
      <c r="J45" s="7" t="s">
        <v>1134</v>
      </c>
    </row>
    <row r="46" customFormat="false" ht="39" hidden="false" customHeight="true" outlineLevel="0" collapsed="false">
      <c r="A46" s="7" t="s">
        <v>1845</v>
      </c>
      <c r="B46" s="7" t="s">
        <v>1846</v>
      </c>
      <c r="C46" s="7" t="s">
        <v>1665</v>
      </c>
      <c r="D46" s="7" t="s">
        <v>1847</v>
      </c>
      <c r="E46" s="7" t="s">
        <v>5573</v>
      </c>
      <c r="F46" s="7" t="s">
        <v>7107</v>
      </c>
      <c r="G46" s="7" t="s">
        <v>7108</v>
      </c>
      <c r="H46" s="7" t="s">
        <v>6771</v>
      </c>
      <c r="I46" s="11" t="s">
        <v>5555</v>
      </c>
      <c r="J46" s="7" t="s">
        <v>1134</v>
      </c>
    </row>
    <row r="47" customFormat="false" ht="39" hidden="false" customHeight="true" outlineLevel="0" collapsed="false">
      <c r="A47" s="7" t="s">
        <v>1850</v>
      </c>
      <c r="B47" s="7" t="s">
        <v>1851</v>
      </c>
      <c r="C47" s="7" t="s">
        <v>1665</v>
      </c>
      <c r="D47" s="7" t="s">
        <v>1852</v>
      </c>
      <c r="E47" s="7" t="s">
        <v>5542</v>
      </c>
      <c r="F47" s="7" t="s">
        <v>7109</v>
      </c>
      <c r="G47" s="7" t="s">
        <v>7110</v>
      </c>
      <c r="H47" s="7" t="s">
        <v>7111</v>
      </c>
      <c r="I47" s="12" t="s">
        <v>5562</v>
      </c>
      <c r="J47" s="7" t="s">
        <v>1134</v>
      </c>
    </row>
    <row r="48" customFormat="false" ht="39" hidden="false" customHeight="true" outlineLevel="0" collapsed="false">
      <c r="A48" s="7" t="s">
        <v>1855</v>
      </c>
      <c r="B48" s="7" t="s">
        <v>1856</v>
      </c>
      <c r="C48" s="7" t="s">
        <v>1665</v>
      </c>
      <c r="D48" s="7" t="s">
        <v>1857</v>
      </c>
      <c r="E48" s="7" t="s">
        <v>5551</v>
      </c>
      <c r="F48" s="7" t="s">
        <v>7112</v>
      </c>
      <c r="G48" s="7" t="s">
        <v>7113</v>
      </c>
      <c r="H48" s="7" t="s">
        <v>7114</v>
      </c>
      <c r="I48" s="12" t="s">
        <v>5562</v>
      </c>
      <c r="J48" s="7" t="s">
        <v>1134</v>
      </c>
    </row>
    <row r="49" customFormat="false" ht="39" hidden="false" customHeight="true" outlineLevel="0" collapsed="false">
      <c r="A49" s="7" t="s">
        <v>1875</v>
      </c>
      <c r="B49" s="7" t="s">
        <v>1876</v>
      </c>
      <c r="C49" s="7" t="s">
        <v>1665</v>
      </c>
      <c r="D49" s="7" t="s">
        <v>1877</v>
      </c>
      <c r="E49" s="7" t="s">
        <v>5551</v>
      </c>
      <c r="F49" s="7" t="s">
        <v>7115</v>
      </c>
      <c r="G49" s="7" t="s">
        <v>7116</v>
      </c>
      <c r="H49" s="7" t="s">
        <v>7117</v>
      </c>
      <c r="I49" s="11" t="s">
        <v>5555</v>
      </c>
      <c r="J49" s="7" t="s">
        <v>1134</v>
      </c>
    </row>
    <row r="50" customFormat="false" ht="39" hidden="false" customHeight="true" outlineLevel="0" collapsed="false">
      <c r="A50" s="7" t="s">
        <v>1880</v>
      </c>
      <c r="B50" s="7" t="s">
        <v>1881</v>
      </c>
      <c r="C50" s="7" t="s">
        <v>1665</v>
      </c>
      <c r="D50" s="7" t="s">
        <v>1882</v>
      </c>
      <c r="E50" s="7" t="s">
        <v>5542</v>
      </c>
      <c r="F50" s="7" t="s">
        <v>7118</v>
      </c>
      <c r="G50" s="7" t="s">
        <v>7119</v>
      </c>
      <c r="H50" s="7" t="s">
        <v>7120</v>
      </c>
      <c r="I50" s="12" t="s">
        <v>5562</v>
      </c>
      <c r="J50" s="7" t="s">
        <v>1884</v>
      </c>
    </row>
    <row r="51" customFormat="false" ht="39" hidden="false" customHeight="true" outlineLevel="0" collapsed="false">
      <c r="A51" s="7" t="s">
        <v>2029</v>
      </c>
      <c r="B51" s="7" t="s">
        <v>2030</v>
      </c>
      <c r="C51" s="7" t="s">
        <v>1920</v>
      </c>
      <c r="D51" s="7" t="s">
        <v>2031</v>
      </c>
      <c r="E51" s="7" t="s">
        <v>5551</v>
      </c>
      <c r="F51" s="7" t="s">
        <v>7121</v>
      </c>
      <c r="G51" s="7" t="s">
        <v>7122</v>
      </c>
      <c r="H51" s="7" t="s">
        <v>7123</v>
      </c>
      <c r="I51" s="11" t="s">
        <v>5555</v>
      </c>
      <c r="J51" s="7" t="s">
        <v>175</v>
      </c>
    </row>
    <row r="52" customFormat="false" ht="39" hidden="false" customHeight="true" outlineLevel="0" collapsed="false">
      <c r="A52" s="7" t="s">
        <v>2034</v>
      </c>
      <c r="B52" s="7" t="s">
        <v>2035</v>
      </c>
      <c r="C52" s="7" t="s">
        <v>1920</v>
      </c>
      <c r="D52" s="7" t="s">
        <v>2036</v>
      </c>
      <c r="E52" s="7" t="s">
        <v>5551</v>
      </c>
      <c r="F52" s="7" t="s">
        <v>7124</v>
      </c>
      <c r="G52" s="7" t="s">
        <v>7125</v>
      </c>
      <c r="H52" s="7" t="s">
        <v>7126</v>
      </c>
      <c r="I52" s="12" t="s">
        <v>5562</v>
      </c>
      <c r="J52" s="7" t="s">
        <v>175</v>
      </c>
    </row>
    <row r="53" customFormat="false" ht="39" hidden="false" customHeight="true" outlineLevel="0" collapsed="false">
      <c r="A53" s="7" t="s">
        <v>2039</v>
      </c>
      <c r="B53" s="7" t="s">
        <v>2040</v>
      </c>
      <c r="C53" s="7" t="s">
        <v>1920</v>
      </c>
      <c r="D53" s="7" t="s">
        <v>2041</v>
      </c>
      <c r="E53" s="7" t="s">
        <v>5551</v>
      </c>
      <c r="F53" s="7" t="s">
        <v>7127</v>
      </c>
      <c r="G53" s="7" t="s">
        <v>7128</v>
      </c>
      <c r="H53" s="7" t="s">
        <v>7129</v>
      </c>
      <c r="I53" s="12" t="s">
        <v>5562</v>
      </c>
      <c r="J53" s="7" t="s">
        <v>175</v>
      </c>
    </row>
    <row r="54" customFormat="false" ht="39" hidden="false" customHeight="true" outlineLevel="0" collapsed="false">
      <c r="A54" s="7" t="s">
        <v>2044</v>
      </c>
      <c r="B54" s="7" t="s">
        <v>2045</v>
      </c>
      <c r="C54" s="7" t="s">
        <v>1920</v>
      </c>
      <c r="D54" s="7" t="s">
        <v>2046</v>
      </c>
      <c r="E54" s="7" t="s">
        <v>5551</v>
      </c>
      <c r="F54" s="7" t="s">
        <v>7130</v>
      </c>
      <c r="G54" s="7" t="s">
        <v>7131</v>
      </c>
      <c r="H54" s="7" t="s">
        <v>7132</v>
      </c>
      <c r="I54" s="12" t="s">
        <v>5562</v>
      </c>
      <c r="J54" s="7" t="s">
        <v>175</v>
      </c>
    </row>
    <row r="55" customFormat="false" ht="58.5" hidden="false" customHeight="true" outlineLevel="0" collapsed="false">
      <c r="A55" s="7" t="s">
        <v>2049</v>
      </c>
      <c r="B55" s="7" t="s">
        <v>2050</v>
      </c>
      <c r="C55" s="7" t="s">
        <v>1920</v>
      </c>
      <c r="D55" s="7" t="s">
        <v>2051</v>
      </c>
      <c r="E55" s="7" t="s">
        <v>5551</v>
      </c>
      <c r="F55" s="7" t="s">
        <v>7133</v>
      </c>
      <c r="G55" s="7" t="s">
        <v>7134</v>
      </c>
      <c r="H55" s="7" t="s">
        <v>7135</v>
      </c>
      <c r="I55" s="12" t="s">
        <v>5562</v>
      </c>
      <c r="J55" s="7" t="s">
        <v>175</v>
      </c>
    </row>
    <row r="56" customFormat="false" ht="58.5" hidden="false" customHeight="true" outlineLevel="0" collapsed="false">
      <c r="A56" s="7" t="s">
        <v>2054</v>
      </c>
      <c r="B56" s="7" t="s">
        <v>2055</v>
      </c>
      <c r="C56" s="7" t="s">
        <v>1920</v>
      </c>
      <c r="D56" s="7" t="s">
        <v>2056</v>
      </c>
      <c r="E56" s="7" t="s">
        <v>5551</v>
      </c>
      <c r="F56" s="7" t="s">
        <v>7136</v>
      </c>
      <c r="G56" s="7" t="s">
        <v>7137</v>
      </c>
      <c r="H56" s="7" t="s">
        <v>7138</v>
      </c>
      <c r="I56" s="12" t="s">
        <v>5562</v>
      </c>
      <c r="J56" s="7" t="s">
        <v>175</v>
      </c>
    </row>
    <row r="57" customFormat="false" ht="39" hidden="false" customHeight="true" outlineLevel="0" collapsed="false">
      <c r="A57" s="7" t="s">
        <v>3457</v>
      </c>
      <c r="B57" s="7" t="s">
        <v>3458</v>
      </c>
      <c r="C57" s="7" t="s">
        <v>3415</v>
      </c>
      <c r="D57" s="7" t="s">
        <v>3459</v>
      </c>
      <c r="E57" s="7" t="s">
        <v>6150</v>
      </c>
      <c r="F57" s="7" t="s">
        <v>7139</v>
      </c>
      <c r="G57" s="7" t="s">
        <v>7140</v>
      </c>
      <c r="H57" s="7" t="s">
        <v>7141</v>
      </c>
      <c r="I57" s="11" t="s">
        <v>5555</v>
      </c>
      <c r="J57" s="7" t="s">
        <v>1336</v>
      </c>
    </row>
    <row r="58" customFormat="false" ht="58.5" hidden="false" customHeight="true" outlineLevel="0" collapsed="false">
      <c r="A58" s="7" t="s">
        <v>3462</v>
      </c>
      <c r="B58" s="7" t="s">
        <v>3463</v>
      </c>
      <c r="C58" s="7" t="s">
        <v>3415</v>
      </c>
      <c r="D58" s="7" t="s">
        <v>3464</v>
      </c>
      <c r="E58" s="7" t="s">
        <v>5551</v>
      </c>
      <c r="F58" s="7" t="s">
        <v>7142</v>
      </c>
      <c r="G58" s="7" t="s">
        <v>7143</v>
      </c>
      <c r="H58" s="7" t="s">
        <v>7144</v>
      </c>
      <c r="I58" s="12" t="s">
        <v>5562</v>
      </c>
      <c r="J58" s="7" t="s">
        <v>1336</v>
      </c>
    </row>
    <row r="59" customFormat="false" ht="39" hidden="false" customHeight="true" outlineLevel="0" collapsed="false">
      <c r="A59" s="7" t="s">
        <v>3477</v>
      </c>
      <c r="B59" s="7" t="s">
        <v>3478</v>
      </c>
      <c r="C59" s="7" t="s">
        <v>3415</v>
      </c>
      <c r="D59" s="7" t="s">
        <v>3479</v>
      </c>
      <c r="E59" s="7" t="s">
        <v>5551</v>
      </c>
      <c r="F59" s="7" t="s">
        <v>7145</v>
      </c>
      <c r="G59" s="7" t="s">
        <v>7146</v>
      </c>
      <c r="H59" s="7" t="s">
        <v>7147</v>
      </c>
      <c r="I59" s="11" t="s">
        <v>5555</v>
      </c>
      <c r="J59" s="7" t="s">
        <v>1336</v>
      </c>
    </row>
    <row r="60" customFormat="false" ht="39" hidden="false" customHeight="true" outlineLevel="0" collapsed="false">
      <c r="A60" s="7" t="s">
        <v>4501</v>
      </c>
      <c r="B60" s="7" t="s">
        <v>4502</v>
      </c>
      <c r="C60" s="7" t="s">
        <v>4081</v>
      </c>
      <c r="D60" s="7" t="s">
        <v>4503</v>
      </c>
      <c r="E60" s="7" t="s">
        <v>5551</v>
      </c>
      <c r="F60" s="7" t="s">
        <v>7148</v>
      </c>
      <c r="G60" s="7" t="s">
        <v>7149</v>
      </c>
      <c r="H60" s="7" t="s">
        <v>7150</v>
      </c>
      <c r="I60" s="11" t="s">
        <v>5555</v>
      </c>
      <c r="J60" s="7" t="s">
        <v>629</v>
      </c>
    </row>
    <row r="61" customFormat="false" ht="58.5" hidden="false" customHeight="true" outlineLevel="0" collapsed="false">
      <c r="A61" s="7" t="s">
        <v>4507</v>
      </c>
      <c r="B61" s="7" t="s">
        <v>4508</v>
      </c>
      <c r="C61" s="7" t="s">
        <v>4081</v>
      </c>
      <c r="D61" s="7" t="s">
        <v>4509</v>
      </c>
      <c r="E61" s="7" t="s">
        <v>5551</v>
      </c>
      <c r="F61" s="7" t="s">
        <v>7151</v>
      </c>
      <c r="G61" s="7" t="s">
        <v>7152</v>
      </c>
      <c r="H61" s="7" t="s">
        <v>7153</v>
      </c>
      <c r="I61" s="11" t="s">
        <v>5555</v>
      </c>
      <c r="J61" s="7" t="s">
        <v>629</v>
      </c>
    </row>
    <row r="62" customFormat="false" ht="39" hidden="false" customHeight="true" outlineLevel="0" collapsed="false">
      <c r="A62" s="7" t="s">
        <v>4517</v>
      </c>
      <c r="B62" s="7" t="s">
        <v>4518</v>
      </c>
      <c r="C62" s="7" t="s">
        <v>4081</v>
      </c>
      <c r="D62" s="7" t="s">
        <v>4519</v>
      </c>
      <c r="E62" s="7" t="s">
        <v>5551</v>
      </c>
      <c r="F62" s="7" t="s">
        <v>7154</v>
      </c>
      <c r="G62" s="7" t="s">
        <v>7155</v>
      </c>
      <c r="H62" s="7" t="s">
        <v>7156</v>
      </c>
      <c r="I62" s="11" t="s">
        <v>5555</v>
      </c>
      <c r="J62" s="7" t="s">
        <v>629</v>
      </c>
    </row>
    <row r="63" customFormat="false" ht="39" hidden="false" customHeight="true" outlineLevel="0" collapsed="false">
      <c r="A63" s="7" t="s">
        <v>5085</v>
      </c>
      <c r="B63" s="7" t="s">
        <v>5086</v>
      </c>
      <c r="C63" s="7" t="s">
        <v>4774</v>
      </c>
      <c r="D63" s="7" t="s">
        <v>5087</v>
      </c>
      <c r="E63" s="7" t="s">
        <v>5551</v>
      </c>
      <c r="F63" s="7" t="s">
        <v>7157</v>
      </c>
      <c r="G63" s="7" t="s">
        <v>7158</v>
      </c>
      <c r="H63" s="7" t="s">
        <v>7159</v>
      </c>
      <c r="I63" s="11" t="s">
        <v>5555</v>
      </c>
      <c r="J63" s="7" t="s">
        <v>3542</v>
      </c>
    </row>
    <row r="64" customFormat="false" ht="58.5" hidden="false" customHeight="true" outlineLevel="0" collapsed="false">
      <c r="A64" s="7" t="s">
        <v>5110</v>
      </c>
      <c r="B64" s="7" t="s">
        <v>5111</v>
      </c>
      <c r="C64" s="7" t="s">
        <v>4774</v>
      </c>
      <c r="D64" s="7" t="s">
        <v>5112</v>
      </c>
      <c r="E64" s="7" t="s">
        <v>5551</v>
      </c>
      <c r="F64" s="7" t="s">
        <v>7160</v>
      </c>
      <c r="G64" s="7" t="s">
        <v>7161</v>
      </c>
      <c r="H64" s="7" t="s">
        <v>7162</v>
      </c>
      <c r="I64" s="12" t="s">
        <v>5562</v>
      </c>
      <c r="J64" s="7" t="s">
        <v>3542</v>
      </c>
    </row>
    <row r="65" customFormat="false" ht="39" hidden="false" customHeight="true" outlineLevel="0" collapsed="false">
      <c r="A65" s="7" t="s">
        <v>5115</v>
      </c>
      <c r="B65" s="7" t="s">
        <v>5116</v>
      </c>
      <c r="C65" s="7" t="s">
        <v>4774</v>
      </c>
      <c r="D65" s="7" t="s">
        <v>5117</v>
      </c>
      <c r="E65" s="7" t="s">
        <v>5551</v>
      </c>
      <c r="F65" s="7" t="s">
        <v>7163</v>
      </c>
      <c r="G65" s="7" t="s">
        <v>7164</v>
      </c>
      <c r="H65" s="7" t="s">
        <v>7165</v>
      </c>
      <c r="I65" s="12" t="s">
        <v>5562</v>
      </c>
      <c r="J65" s="7" t="s">
        <v>3542</v>
      </c>
    </row>
    <row r="66" customFormat="false" ht="58.5" hidden="false" customHeight="true" outlineLevel="0" collapsed="false">
      <c r="A66" s="7" t="s">
        <v>5125</v>
      </c>
      <c r="B66" s="7" t="s">
        <v>5126</v>
      </c>
      <c r="C66" s="7" t="s">
        <v>4774</v>
      </c>
      <c r="D66" s="7" t="s">
        <v>5127</v>
      </c>
      <c r="E66" s="7" t="s">
        <v>5551</v>
      </c>
      <c r="F66" s="7" t="s">
        <v>7166</v>
      </c>
      <c r="G66" s="7" t="s">
        <v>7167</v>
      </c>
      <c r="H66" s="7" t="s">
        <v>7168</v>
      </c>
      <c r="I66" s="12" t="s">
        <v>5562</v>
      </c>
      <c r="J66" s="7" t="s">
        <v>629</v>
      </c>
    </row>
  </sheetData>
  <autoFilter ref="A24:J66"/>
  <mergeCells count="19">
    <mergeCell ref="A1:J1"/>
    <mergeCell ref="A2:J2"/>
    <mergeCell ref="A3:J3"/>
    <mergeCell ref="A4:J4"/>
    <mergeCell ref="A5:J5"/>
    <mergeCell ref="A7:J7"/>
    <mergeCell ref="A8:J8"/>
    <mergeCell ref="A9:J9"/>
    <mergeCell ref="A10:J10"/>
    <mergeCell ref="A11:J11"/>
    <mergeCell ref="A13:J13"/>
    <mergeCell ref="F14:J14"/>
    <mergeCell ref="F15:J15"/>
    <mergeCell ref="F16:J16"/>
    <mergeCell ref="F17:J17"/>
    <mergeCell ref="F18:J18"/>
    <mergeCell ref="F19:J19"/>
    <mergeCell ref="F20:J20"/>
    <mergeCell ref="F21:J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44"/>
    <col collapsed="false" customWidth="true" hidden="false" outlineLevel="0" max="5" min="5" style="1" width="15"/>
    <col collapsed="false" customWidth="true" hidden="false" outlineLevel="0" max="6" min="6" style="1" width="62"/>
    <col collapsed="false" customWidth="true" hidden="false" outlineLevel="0" max="7" min="7" style="1" width="58"/>
    <col collapsed="false" customWidth="true" hidden="false" outlineLevel="0" max="8" min="8" style="1" width="36"/>
    <col collapsed="false" customWidth="true" hidden="false" outlineLevel="0" max="9" min="9" style="1" width="18"/>
    <col collapsed="false" customWidth="true" hidden="false" outlineLevel="0" max="10" min="10" style="1" width="16"/>
  </cols>
  <sheetData>
    <row r="1" customFormat="false" ht="31.5" hidden="false" customHeight="true" outlineLevel="0" collapsed="false">
      <c r="A1" s="2" t="s">
        <v>7169</v>
      </c>
      <c r="B1" s="2"/>
      <c r="C1" s="2"/>
      <c r="D1" s="2"/>
      <c r="E1" s="2"/>
      <c r="F1" s="2"/>
      <c r="G1" s="2"/>
      <c r="H1" s="2"/>
      <c r="I1" s="2"/>
      <c r="J1" s="2"/>
    </row>
    <row r="2" customFormat="false" ht="45.75" hidden="false" customHeight="true" outlineLevel="0" collapsed="false">
      <c r="A2" s="3" t="s">
        <v>7170</v>
      </c>
      <c r="B2" s="3"/>
      <c r="C2" s="3"/>
      <c r="D2" s="3"/>
      <c r="E2" s="3"/>
      <c r="F2" s="3"/>
      <c r="G2" s="3"/>
      <c r="H2" s="3"/>
      <c r="I2" s="3"/>
      <c r="J2" s="3"/>
    </row>
    <row r="3" customFormat="false" ht="45.75" hidden="false" customHeight="true" outlineLevel="0" collapsed="false">
      <c r="A3" s="3" t="s">
        <v>7171</v>
      </c>
      <c r="B3" s="3"/>
      <c r="C3" s="3"/>
      <c r="D3" s="3"/>
      <c r="E3" s="3"/>
      <c r="F3" s="3"/>
      <c r="G3" s="3"/>
      <c r="H3" s="3"/>
      <c r="I3" s="3"/>
      <c r="J3" s="3"/>
    </row>
    <row r="4" customFormat="false" ht="45.75" hidden="false" customHeight="true" outlineLevel="0" collapsed="false">
      <c r="A4" s="3" t="s">
        <v>6781</v>
      </c>
      <c r="B4" s="3"/>
      <c r="C4" s="3"/>
      <c r="D4" s="3"/>
      <c r="E4" s="3"/>
      <c r="F4" s="3"/>
      <c r="G4" s="3"/>
      <c r="H4" s="3"/>
      <c r="I4" s="3"/>
      <c r="J4" s="3"/>
    </row>
    <row r="5" customFormat="false" ht="45.75" hidden="false" customHeight="true" outlineLevel="0" collapsed="false">
      <c r="A5" s="3" t="s">
        <v>7172</v>
      </c>
      <c r="B5" s="3"/>
      <c r="C5" s="3"/>
      <c r="D5" s="3"/>
      <c r="E5" s="3"/>
      <c r="F5" s="3"/>
      <c r="G5" s="3"/>
      <c r="H5" s="3"/>
      <c r="I5" s="3"/>
      <c r="J5" s="3"/>
    </row>
    <row r="6" customFormat="false" ht="17.25" hidden="false" customHeight="true" outlineLevel="0" collapsed="false"/>
    <row r="7" customFormat="false" ht="18" hidden="false" customHeight="true" outlineLevel="0" collapsed="false">
      <c r="A7" s="26" t="s">
        <v>5514</v>
      </c>
      <c r="B7" s="26"/>
      <c r="C7" s="26"/>
      <c r="D7" s="26"/>
      <c r="E7" s="26"/>
      <c r="F7" s="26"/>
      <c r="G7" s="26"/>
      <c r="H7" s="26"/>
      <c r="I7" s="26"/>
      <c r="J7" s="26"/>
    </row>
    <row r="8" customFormat="false" ht="24" hidden="false" customHeight="true" outlineLevel="0" collapsed="false">
      <c r="A8" s="3" t="s">
        <v>5515</v>
      </c>
      <c r="B8" s="3"/>
      <c r="C8" s="3"/>
      <c r="D8" s="3"/>
      <c r="E8" s="3"/>
      <c r="F8" s="3"/>
      <c r="G8" s="3"/>
      <c r="H8" s="3"/>
      <c r="I8" s="3"/>
      <c r="J8" s="3"/>
    </row>
    <row r="9" customFormat="false" ht="24" hidden="false" customHeight="true" outlineLevel="0" collapsed="false">
      <c r="A9" s="3" t="s">
        <v>5516</v>
      </c>
      <c r="B9" s="3"/>
      <c r="C9" s="3"/>
      <c r="D9" s="3"/>
      <c r="E9" s="3"/>
      <c r="F9" s="3"/>
      <c r="G9" s="3"/>
      <c r="H9" s="3"/>
      <c r="I9" s="3"/>
      <c r="J9" s="3"/>
    </row>
    <row r="10" customFormat="false" ht="24" hidden="false" customHeight="true" outlineLevel="0" collapsed="false">
      <c r="A10" s="3" t="s">
        <v>5517</v>
      </c>
      <c r="B10" s="3"/>
      <c r="C10" s="3"/>
      <c r="D10" s="3"/>
      <c r="E10" s="3"/>
      <c r="F10" s="3"/>
      <c r="G10" s="3"/>
      <c r="H10" s="3"/>
      <c r="I10" s="3"/>
      <c r="J10" s="3"/>
    </row>
    <row r="11" customFormat="false" ht="24" hidden="false" customHeight="true" outlineLevel="0" collapsed="false">
      <c r="A11" s="3" t="s">
        <v>5518</v>
      </c>
      <c r="B11" s="3"/>
      <c r="C11" s="3"/>
      <c r="D11" s="3"/>
      <c r="E11" s="3"/>
      <c r="F11" s="3"/>
      <c r="G11" s="3"/>
      <c r="H11" s="3"/>
      <c r="I11" s="3"/>
      <c r="J11" s="3"/>
    </row>
    <row r="12" customFormat="false" ht="17.25" hidden="false" customHeight="true" outlineLevel="0" collapsed="false"/>
    <row r="13" customFormat="false" ht="27.75" hidden="false" customHeight="true" outlineLevel="0" collapsed="false">
      <c r="A13" s="5" t="s">
        <v>5519</v>
      </c>
      <c r="B13" s="5"/>
      <c r="C13" s="5"/>
      <c r="D13" s="5"/>
      <c r="E13" s="5"/>
      <c r="F13" s="5"/>
      <c r="G13" s="5"/>
      <c r="H13" s="5"/>
      <c r="I13" s="5"/>
      <c r="J13" s="5"/>
    </row>
    <row r="14" customFormat="false" ht="18" hidden="false" customHeight="true" outlineLevel="0" collapsed="false">
      <c r="A14" s="6" t="s">
        <v>5520</v>
      </c>
      <c r="B14" s="6" t="s">
        <v>5521</v>
      </c>
      <c r="C14" s="6" t="s">
        <v>132</v>
      </c>
      <c r="D14" s="6" t="s">
        <v>138</v>
      </c>
      <c r="E14" s="6" t="s">
        <v>144</v>
      </c>
      <c r="F14" s="6" t="s">
        <v>5522</v>
      </c>
      <c r="G14" s="6"/>
      <c r="H14" s="6"/>
      <c r="I14" s="6"/>
      <c r="J14" s="6"/>
    </row>
    <row r="15" customFormat="false" ht="45.75" hidden="false" customHeight="true" outlineLevel="0" collapsed="false">
      <c r="A15" s="7" t="s">
        <v>162</v>
      </c>
      <c r="B15" s="7" t="n">
        <f aca="false">COUNTIF($C$28:$C$117,$A15)</f>
        <v>12</v>
      </c>
      <c r="C15" s="7" t="n">
        <f aca="false">COUNTIFS($C$28:$C$117,$A15,$I$28:$I$117,"Level 1*")</f>
        <v>5</v>
      </c>
      <c r="D15" s="7" t="n">
        <f aca="false">COUNTIFS($C$28:$C$117,$A15,$I$28:$I$117,"Level 2*")</f>
        <v>7</v>
      </c>
      <c r="E15" s="7" t="n">
        <f aca="false">COUNTIFS($C$28:$C$117,$A15,$I$28:$I$117,"Level 3*")</f>
        <v>0</v>
      </c>
      <c r="F15" s="7" t="s">
        <v>7173</v>
      </c>
      <c r="G15" s="7"/>
      <c r="H15" s="7"/>
      <c r="I15" s="7"/>
      <c r="J15" s="7"/>
    </row>
    <row r="16" customFormat="false" ht="31.5" hidden="false" customHeight="true" outlineLevel="0" collapsed="false">
      <c r="A16" s="7" t="s">
        <v>923</v>
      </c>
      <c r="B16" s="7" t="n">
        <f aca="false">COUNTIF($C$28:$C$117,$A16)</f>
        <v>3</v>
      </c>
      <c r="C16" s="7" t="n">
        <f aca="false">COUNTIFS($C$28:$C$117,$A16,$I$28:$I$117,"Level 1*")</f>
        <v>2</v>
      </c>
      <c r="D16" s="7" t="n">
        <f aca="false">COUNTIFS($C$28:$C$117,$A16,$I$28:$I$117,"Level 2*")</f>
        <v>0</v>
      </c>
      <c r="E16" s="7" t="n">
        <f aca="false">COUNTIFS($C$28:$C$117,$A16,$I$28:$I$117,"Level 3*")</f>
        <v>1</v>
      </c>
      <c r="F16" s="7" t="s">
        <v>7174</v>
      </c>
      <c r="G16" s="7"/>
      <c r="H16" s="7"/>
      <c r="I16" s="7"/>
      <c r="J16" s="7"/>
    </row>
    <row r="17" customFormat="false" ht="45.75" hidden="false" customHeight="true" outlineLevel="0" collapsed="false">
      <c r="A17" s="7" t="s">
        <v>1367</v>
      </c>
      <c r="B17" s="7" t="n">
        <f aca="false">COUNTIF($C$28:$C$117,$A17)</f>
        <v>14</v>
      </c>
      <c r="C17" s="7" t="n">
        <f aca="false">COUNTIFS($C$28:$C$117,$A17,$I$28:$I$117,"Level 1*")</f>
        <v>7</v>
      </c>
      <c r="D17" s="7" t="n">
        <f aca="false">COUNTIFS($C$28:$C$117,$A17,$I$28:$I$117,"Level 2*")</f>
        <v>5</v>
      </c>
      <c r="E17" s="7" t="n">
        <f aca="false">COUNTIFS($C$28:$C$117,$A17,$I$28:$I$117,"Level 3*")</f>
        <v>2</v>
      </c>
      <c r="F17" s="7" t="s">
        <v>7175</v>
      </c>
      <c r="G17" s="7"/>
      <c r="H17" s="7"/>
      <c r="I17" s="7"/>
      <c r="J17" s="7"/>
    </row>
    <row r="18" customFormat="false" ht="31.5" hidden="false" customHeight="true" outlineLevel="0" collapsed="false">
      <c r="A18" s="7" t="s">
        <v>1665</v>
      </c>
      <c r="B18" s="7" t="n">
        <f aca="false">COUNTIF($C$28:$C$117,$A18)</f>
        <v>3</v>
      </c>
      <c r="C18" s="7" t="n">
        <f aca="false">COUNTIFS($C$28:$C$117,$A18,$I$28:$I$117,"Level 1*")</f>
        <v>2</v>
      </c>
      <c r="D18" s="7" t="n">
        <f aca="false">COUNTIFS($C$28:$C$117,$A18,$I$28:$I$117,"Level 2*")</f>
        <v>1</v>
      </c>
      <c r="E18" s="7" t="n">
        <f aca="false">COUNTIFS($C$28:$C$117,$A18,$I$28:$I$117,"Level 3*")</f>
        <v>0</v>
      </c>
      <c r="F18" s="7" t="s">
        <v>7041</v>
      </c>
      <c r="G18" s="7"/>
      <c r="H18" s="7"/>
      <c r="I18" s="7"/>
      <c r="J18" s="7"/>
    </row>
    <row r="19" customFormat="false" ht="45.75" hidden="false" customHeight="true" outlineLevel="0" collapsed="false">
      <c r="A19" s="7" t="s">
        <v>1920</v>
      </c>
      <c r="B19" s="7" t="n">
        <f aca="false">COUNTIF($C$28:$C$117,$A19)</f>
        <v>13</v>
      </c>
      <c r="C19" s="7" t="n">
        <f aca="false">COUNTIFS($C$28:$C$117,$A19,$I$28:$I$117,"Level 1*")</f>
        <v>6</v>
      </c>
      <c r="D19" s="7" t="n">
        <f aca="false">COUNTIFS($C$28:$C$117,$A19,$I$28:$I$117,"Level 2*")</f>
        <v>7</v>
      </c>
      <c r="E19" s="7" t="n">
        <f aca="false">COUNTIFS($C$28:$C$117,$A19,$I$28:$I$117,"Level 3*")</f>
        <v>0</v>
      </c>
      <c r="F19" s="7" t="s">
        <v>7176</v>
      </c>
      <c r="G19" s="7"/>
      <c r="H19" s="7"/>
      <c r="I19" s="7"/>
      <c r="J19" s="7"/>
    </row>
    <row r="20" customFormat="false" ht="31.5" hidden="false" customHeight="true" outlineLevel="0" collapsed="false">
      <c r="A20" s="7" t="s">
        <v>2947</v>
      </c>
      <c r="B20" s="7" t="n">
        <f aca="false">COUNTIF($C$28:$C$117,$A20)</f>
        <v>1</v>
      </c>
      <c r="C20" s="7" t="n">
        <f aca="false">COUNTIFS($C$28:$C$117,$A20,$I$28:$I$117,"Level 1*")</f>
        <v>0</v>
      </c>
      <c r="D20" s="7" t="n">
        <f aca="false">COUNTIFS($C$28:$C$117,$A20,$I$28:$I$117,"Level 2*")</f>
        <v>1</v>
      </c>
      <c r="E20" s="7" t="n">
        <f aca="false">COUNTIFS($C$28:$C$117,$A20,$I$28:$I$117,"Level 3*")</f>
        <v>0</v>
      </c>
      <c r="F20" s="7" t="s">
        <v>7177</v>
      </c>
      <c r="G20" s="7"/>
      <c r="H20" s="7"/>
      <c r="I20" s="7"/>
      <c r="J20" s="7"/>
    </row>
    <row r="21" customFormat="false" ht="31.5" hidden="false" customHeight="true" outlineLevel="0" collapsed="false">
      <c r="A21" s="7" t="s">
        <v>3415</v>
      </c>
      <c r="B21" s="7" t="n">
        <f aca="false">COUNTIF($C$28:$C$117,$A21)</f>
        <v>3</v>
      </c>
      <c r="C21" s="7" t="n">
        <f aca="false">COUNTIFS($C$28:$C$117,$A21,$I$28:$I$117,"Level 1*")</f>
        <v>2</v>
      </c>
      <c r="D21" s="7" t="n">
        <f aca="false">COUNTIFS($C$28:$C$117,$A21,$I$28:$I$117,"Level 2*")</f>
        <v>1</v>
      </c>
      <c r="E21" s="7" t="n">
        <f aca="false">COUNTIFS($C$28:$C$117,$A21,$I$28:$I$117,"Level 3*")</f>
        <v>0</v>
      </c>
      <c r="F21" s="7" t="s">
        <v>7043</v>
      </c>
      <c r="G21" s="7"/>
      <c r="H21" s="7"/>
      <c r="I21" s="7"/>
      <c r="J21" s="7"/>
    </row>
    <row r="22" customFormat="false" ht="45.75" hidden="false" customHeight="true" outlineLevel="0" collapsed="false">
      <c r="A22" s="7" t="s">
        <v>3531</v>
      </c>
      <c r="B22" s="7" t="n">
        <f aca="false">COUNTIF($C$28:$C$117,$A22)</f>
        <v>16</v>
      </c>
      <c r="C22" s="7" t="n">
        <f aca="false">COUNTIFS($C$28:$C$117,$A22,$I$28:$I$117,"Level 1*")</f>
        <v>0</v>
      </c>
      <c r="D22" s="7" t="n">
        <f aca="false">COUNTIFS($C$28:$C$117,$A22,$I$28:$I$117,"Level 2*")</f>
        <v>3</v>
      </c>
      <c r="E22" s="7" t="n">
        <f aca="false">COUNTIFS($C$28:$C$117,$A22,$I$28:$I$117,"Level 3*")</f>
        <v>13</v>
      </c>
      <c r="F22" s="7" t="s">
        <v>7178</v>
      </c>
      <c r="G22" s="7"/>
      <c r="H22" s="7"/>
      <c r="I22" s="7"/>
      <c r="J22" s="7"/>
    </row>
    <row r="23" customFormat="false" ht="45.75" hidden="false" customHeight="true" outlineLevel="0" collapsed="false">
      <c r="A23" s="7" t="s">
        <v>4081</v>
      </c>
      <c r="B23" s="7" t="n">
        <f aca="false">COUNTIF($C$28:$C$117,$A23)</f>
        <v>10</v>
      </c>
      <c r="C23" s="7" t="n">
        <f aca="false">COUNTIFS($C$28:$C$117,$A23,$I$28:$I$117,"Level 1*")</f>
        <v>7</v>
      </c>
      <c r="D23" s="7" t="n">
        <f aca="false">COUNTIFS($C$28:$C$117,$A23,$I$28:$I$117,"Level 2*")</f>
        <v>3</v>
      </c>
      <c r="E23" s="7" t="n">
        <f aca="false">COUNTIFS($C$28:$C$117,$A23,$I$28:$I$117,"Level 3*")</f>
        <v>0</v>
      </c>
      <c r="F23" s="7" t="s">
        <v>7179</v>
      </c>
      <c r="G23" s="7"/>
      <c r="H23" s="7"/>
      <c r="I23" s="7"/>
      <c r="J23" s="7"/>
    </row>
    <row r="24" customFormat="false" ht="45.75" hidden="false" customHeight="true" outlineLevel="0" collapsed="false">
      <c r="A24" s="7" t="s">
        <v>4774</v>
      </c>
      <c r="B24" s="7" t="n">
        <f aca="false">COUNTIF($C$28:$C$117,$A24)</f>
        <v>15</v>
      </c>
      <c r="C24" s="7" t="n">
        <f aca="false">COUNTIFS($C$28:$C$117,$A24,$I$28:$I$117,"Level 1*")</f>
        <v>8</v>
      </c>
      <c r="D24" s="7" t="n">
        <f aca="false">COUNTIFS($C$28:$C$117,$A24,$I$28:$I$117,"Level 2*")</f>
        <v>6</v>
      </c>
      <c r="E24" s="7" t="n">
        <f aca="false">COUNTIFS($C$28:$C$117,$A24,$I$28:$I$117,"Level 3*")</f>
        <v>1</v>
      </c>
      <c r="F24" s="7" t="s">
        <v>7180</v>
      </c>
      <c r="G24" s="7"/>
      <c r="H24" s="7"/>
      <c r="I24" s="7"/>
      <c r="J24" s="7"/>
    </row>
    <row r="25" customFormat="false" ht="18" hidden="false" customHeight="true" outlineLevel="0" collapsed="false">
      <c r="A25" s="22" t="s">
        <v>5446</v>
      </c>
      <c r="B25" s="22" t="n">
        <f aca="false">SUM(B15:B24)</f>
        <v>90</v>
      </c>
      <c r="C25" s="22" t="n">
        <f aca="false">SUM(C15:C24)</f>
        <v>39</v>
      </c>
      <c r="D25" s="22" t="n">
        <f aca="false">SUM(D15:D24)</f>
        <v>34</v>
      </c>
      <c r="E25" s="22" t="n">
        <f aca="false">SUM(E15:E24)</f>
        <v>17</v>
      </c>
    </row>
    <row r="26" customFormat="false" ht="17.25" hidden="false" customHeight="true" outlineLevel="0" collapsed="false"/>
    <row r="27" customFormat="false" ht="39.75" hidden="false" customHeight="true" outlineLevel="0" collapsed="false">
      <c r="A27" s="8" t="s">
        <v>150</v>
      </c>
      <c r="B27" s="8" t="s">
        <v>151</v>
      </c>
      <c r="C27" s="8" t="s">
        <v>10</v>
      </c>
      <c r="D27" s="8" t="s">
        <v>152</v>
      </c>
      <c r="E27" s="8" t="s">
        <v>5534</v>
      </c>
      <c r="F27" s="8" t="s">
        <v>5535</v>
      </c>
      <c r="G27" s="8" t="s">
        <v>5536</v>
      </c>
      <c r="H27" s="8" t="s">
        <v>5537</v>
      </c>
      <c r="I27" s="8" t="s">
        <v>126</v>
      </c>
      <c r="J27" s="8" t="s">
        <v>154</v>
      </c>
    </row>
    <row r="28" customFormat="false" ht="39" hidden="false" customHeight="true" outlineLevel="0" collapsed="false">
      <c r="A28" s="7" t="s">
        <v>242</v>
      </c>
      <c r="B28" s="7" t="s">
        <v>243</v>
      </c>
      <c r="C28" s="7" t="s">
        <v>162</v>
      </c>
      <c r="D28" s="7" t="s">
        <v>244</v>
      </c>
      <c r="E28" s="7" t="s">
        <v>5551</v>
      </c>
      <c r="F28" s="7" t="s">
        <v>7181</v>
      </c>
      <c r="G28" s="7" t="s">
        <v>7182</v>
      </c>
      <c r="H28" s="7" t="s">
        <v>7183</v>
      </c>
      <c r="I28" s="11" t="s">
        <v>5555</v>
      </c>
      <c r="J28" s="7" t="s">
        <v>245</v>
      </c>
    </row>
    <row r="29" customFormat="false" ht="39" hidden="false" customHeight="true" outlineLevel="0" collapsed="false">
      <c r="A29" s="7" t="s">
        <v>270</v>
      </c>
      <c r="B29" s="7" t="s">
        <v>271</v>
      </c>
      <c r="C29" s="7" t="s">
        <v>162</v>
      </c>
      <c r="D29" s="7" t="s">
        <v>272</v>
      </c>
      <c r="E29" s="7" t="s">
        <v>5551</v>
      </c>
      <c r="F29" s="7" t="s">
        <v>7184</v>
      </c>
      <c r="G29" s="7" t="s">
        <v>7185</v>
      </c>
      <c r="H29" s="7" t="s">
        <v>7186</v>
      </c>
      <c r="I29" s="12" t="s">
        <v>5562</v>
      </c>
      <c r="J29" s="7" t="s">
        <v>245</v>
      </c>
    </row>
    <row r="30" customFormat="false" ht="39" hidden="false" customHeight="true" outlineLevel="0" collapsed="false">
      <c r="A30" s="7" t="s">
        <v>295</v>
      </c>
      <c r="B30" s="7" t="s">
        <v>296</v>
      </c>
      <c r="C30" s="7" t="s">
        <v>162</v>
      </c>
      <c r="D30" s="7" t="s">
        <v>297</v>
      </c>
      <c r="E30" s="7" t="s">
        <v>5551</v>
      </c>
      <c r="F30" s="7" t="s">
        <v>7187</v>
      </c>
      <c r="G30" s="7" t="s">
        <v>7188</v>
      </c>
      <c r="H30" s="7" t="s">
        <v>7189</v>
      </c>
      <c r="I30" s="12" t="s">
        <v>5562</v>
      </c>
      <c r="J30" s="7" t="s">
        <v>245</v>
      </c>
    </row>
    <row r="31" customFormat="false" ht="58.5" hidden="false" customHeight="true" outlineLevel="0" collapsed="false">
      <c r="A31" s="7" t="s">
        <v>300</v>
      </c>
      <c r="B31" s="7" t="s">
        <v>301</v>
      </c>
      <c r="C31" s="7" t="s">
        <v>162</v>
      </c>
      <c r="D31" s="7" t="s">
        <v>302</v>
      </c>
      <c r="E31" s="7" t="s">
        <v>5551</v>
      </c>
      <c r="F31" s="7" t="s">
        <v>7190</v>
      </c>
      <c r="G31" s="7" t="s">
        <v>7191</v>
      </c>
      <c r="H31" s="7" t="s">
        <v>7192</v>
      </c>
      <c r="I31" s="12" t="s">
        <v>5562</v>
      </c>
      <c r="J31" s="7" t="s">
        <v>245</v>
      </c>
    </row>
    <row r="32" customFormat="false" ht="58.5" hidden="false" customHeight="true" outlineLevel="0" collapsed="false">
      <c r="A32" s="7" t="s">
        <v>474</v>
      </c>
      <c r="B32" s="7" t="s">
        <v>475</v>
      </c>
      <c r="C32" s="7" t="s">
        <v>162</v>
      </c>
      <c r="D32" s="7" t="s">
        <v>476</v>
      </c>
      <c r="E32" s="7" t="s">
        <v>5542</v>
      </c>
      <c r="F32" s="7" t="s">
        <v>7193</v>
      </c>
      <c r="G32" s="7" t="s">
        <v>7194</v>
      </c>
      <c r="H32" s="7" t="s">
        <v>7195</v>
      </c>
      <c r="I32" s="12" t="s">
        <v>5562</v>
      </c>
      <c r="J32" s="7" t="s">
        <v>245</v>
      </c>
    </row>
    <row r="33" customFormat="false" ht="58.5" hidden="false" customHeight="true" outlineLevel="0" collapsed="false">
      <c r="A33" s="7" t="s">
        <v>480</v>
      </c>
      <c r="B33" s="7" t="s">
        <v>481</v>
      </c>
      <c r="C33" s="7" t="s">
        <v>162</v>
      </c>
      <c r="D33" s="7" t="s">
        <v>482</v>
      </c>
      <c r="E33" s="7" t="s">
        <v>5551</v>
      </c>
      <c r="F33" s="7" t="s">
        <v>7196</v>
      </c>
      <c r="G33" s="7" t="s">
        <v>7197</v>
      </c>
      <c r="H33" s="7" t="s">
        <v>7198</v>
      </c>
      <c r="I33" s="11" t="s">
        <v>5555</v>
      </c>
      <c r="J33" s="7" t="s">
        <v>245</v>
      </c>
    </row>
    <row r="34" customFormat="false" ht="58.5" hidden="false" customHeight="true" outlineLevel="0" collapsed="false">
      <c r="A34" s="7" t="s">
        <v>530</v>
      </c>
      <c r="B34" s="7" t="s">
        <v>531</v>
      </c>
      <c r="C34" s="7" t="s">
        <v>162</v>
      </c>
      <c r="D34" s="7" t="s">
        <v>532</v>
      </c>
      <c r="E34" s="7" t="s">
        <v>5551</v>
      </c>
      <c r="F34" s="7" t="s">
        <v>7199</v>
      </c>
      <c r="G34" s="7" t="s">
        <v>7200</v>
      </c>
      <c r="H34" s="7" t="s">
        <v>7201</v>
      </c>
      <c r="I34" s="11" t="s">
        <v>5555</v>
      </c>
      <c r="J34" s="7" t="s">
        <v>245</v>
      </c>
    </row>
    <row r="35" customFormat="false" ht="39" hidden="false" customHeight="true" outlineLevel="0" collapsed="false">
      <c r="A35" s="7" t="s">
        <v>535</v>
      </c>
      <c r="B35" s="7" t="s">
        <v>536</v>
      </c>
      <c r="C35" s="7" t="s">
        <v>162</v>
      </c>
      <c r="D35" s="7" t="s">
        <v>537</v>
      </c>
      <c r="E35" s="7" t="s">
        <v>5551</v>
      </c>
      <c r="F35" s="7" t="s">
        <v>7202</v>
      </c>
      <c r="G35" s="7" t="s">
        <v>7203</v>
      </c>
      <c r="H35" s="7" t="s">
        <v>7204</v>
      </c>
      <c r="I35" s="11" t="s">
        <v>5555</v>
      </c>
      <c r="J35" s="7" t="s">
        <v>538</v>
      </c>
    </row>
    <row r="36" customFormat="false" ht="39" hidden="false" customHeight="true" outlineLevel="0" collapsed="false">
      <c r="A36" s="7" t="s">
        <v>557</v>
      </c>
      <c r="B36" s="7" t="s">
        <v>558</v>
      </c>
      <c r="C36" s="7" t="s">
        <v>162</v>
      </c>
      <c r="D36" s="7" t="s">
        <v>559</v>
      </c>
      <c r="E36" s="7" t="s">
        <v>5551</v>
      </c>
      <c r="F36" s="7" t="s">
        <v>7205</v>
      </c>
      <c r="G36" s="7" t="s">
        <v>7206</v>
      </c>
      <c r="H36" s="7" t="s">
        <v>7207</v>
      </c>
      <c r="I36" s="12" t="s">
        <v>5562</v>
      </c>
      <c r="J36" s="7" t="s">
        <v>165</v>
      </c>
    </row>
    <row r="37" customFormat="false" ht="39" hidden="false" customHeight="true" outlineLevel="0" collapsed="false">
      <c r="A37" s="7" t="s">
        <v>609</v>
      </c>
      <c r="B37" s="7" t="s">
        <v>610</v>
      </c>
      <c r="C37" s="7" t="s">
        <v>162</v>
      </c>
      <c r="D37" s="7" t="s">
        <v>611</v>
      </c>
      <c r="E37" s="7" t="s">
        <v>5551</v>
      </c>
      <c r="F37" s="7" t="s">
        <v>7208</v>
      </c>
      <c r="G37" s="7" t="s">
        <v>7209</v>
      </c>
      <c r="H37" s="7" t="s">
        <v>7210</v>
      </c>
      <c r="I37" s="11" t="s">
        <v>5555</v>
      </c>
      <c r="J37" s="7" t="s">
        <v>538</v>
      </c>
    </row>
    <row r="38" customFormat="false" ht="39" hidden="false" customHeight="true" outlineLevel="0" collapsed="false">
      <c r="A38" s="7" t="s">
        <v>619</v>
      </c>
      <c r="B38" s="7" t="s">
        <v>620</v>
      </c>
      <c r="C38" s="7" t="s">
        <v>162</v>
      </c>
      <c r="D38" s="7" t="s">
        <v>621</v>
      </c>
      <c r="E38" s="7" t="s">
        <v>5551</v>
      </c>
      <c r="F38" s="7" t="s">
        <v>7211</v>
      </c>
      <c r="G38" s="7" t="s">
        <v>7212</v>
      </c>
      <c r="H38" s="7" t="s">
        <v>7213</v>
      </c>
      <c r="I38" s="12" t="s">
        <v>5562</v>
      </c>
      <c r="J38" s="7" t="s">
        <v>245</v>
      </c>
    </row>
    <row r="39" customFormat="false" ht="39" hidden="false" customHeight="true" outlineLevel="0" collapsed="false">
      <c r="A39" s="7" t="s">
        <v>803</v>
      </c>
      <c r="B39" s="7" t="s">
        <v>804</v>
      </c>
      <c r="C39" s="7" t="s">
        <v>162</v>
      </c>
      <c r="D39" s="7" t="s">
        <v>805</v>
      </c>
      <c r="E39" s="7" t="s">
        <v>5551</v>
      </c>
      <c r="F39" s="7" t="s">
        <v>7214</v>
      </c>
      <c r="G39" s="7" t="s">
        <v>7215</v>
      </c>
      <c r="H39" s="7" t="s">
        <v>7216</v>
      </c>
      <c r="I39" s="12" t="s">
        <v>5562</v>
      </c>
      <c r="J39" s="7" t="s">
        <v>629</v>
      </c>
    </row>
    <row r="40" customFormat="false" ht="39" hidden="false" customHeight="true" outlineLevel="0" collapsed="false">
      <c r="A40" s="7" t="s">
        <v>1060</v>
      </c>
      <c r="B40" s="7" t="s">
        <v>1061</v>
      </c>
      <c r="C40" s="7" t="s">
        <v>923</v>
      </c>
      <c r="D40" s="7" t="s">
        <v>1062</v>
      </c>
      <c r="E40" s="7" t="s">
        <v>5551</v>
      </c>
      <c r="F40" s="7" t="s">
        <v>7217</v>
      </c>
      <c r="G40" s="7" t="s">
        <v>7218</v>
      </c>
      <c r="H40" s="7" t="s">
        <v>7219</v>
      </c>
      <c r="I40" s="11" t="s">
        <v>5555</v>
      </c>
      <c r="J40" s="7" t="s">
        <v>929</v>
      </c>
    </row>
    <row r="41" customFormat="false" ht="58.5" hidden="false" customHeight="true" outlineLevel="0" collapsed="false">
      <c r="A41" s="7" t="s">
        <v>1065</v>
      </c>
      <c r="B41" s="7" t="s">
        <v>1066</v>
      </c>
      <c r="C41" s="7" t="s">
        <v>923</v>
      </c>
      <c r="D41" s="7" t="s">
        <v>1067</v>
      </c>
      <c r="E41" s="7" t="s">
        <v>5551</v>
      </c>
      <c r="F41" s="7" t="s">
        <v>7220</v>
      </c>
      <c r="G41" s="7" t="s">
        <v>7221</v>
      </c>
      <c r="H41" s="7" t="s">
        <v>7222</v>
      </c>
      <c r="I41" s="11" t="s">
        <v>5555</v>
      </c>
      <c r="J41" s="7" t="s">
        <v>929</v>
      </c>
    </row>
    <row r="42" customFormat="false" ht="58.5" hidden="false" customHeight="true" outlineLevel="0" collapsed="false">
      <c r="A42" s="7" t="s">
        <v>1106</v>
      </c>
      <c r="B42" s="7" t="s">
        <v>1107</v>
      </c>
      <c r="C42" s="7" t="s">
        <v>923</v>
      </c>
      <c r="D42" s="7" t="s">
        <v>1108</v>
      </c>
      <c r="E42" s="7" t="s">
        <v>5551</v>
      </c>
      <c r="F42" s="7" t="s">
        <v>7223</v>
      </c>
      <c r="G42" s="7" t="s">
        <v>7224</v>
      </c>
      <c r="H42" s="7" t="s">
        <v>7225</v>
      </c>
      <c r="I42" s="10" t="s">
        <v>5546</v>
      </c>
      <c r="J42" s="7" t="s">
        <v>538</v>
      </c>
    </row>
    <row r="43" customFormat="false" ht="58.5" hidden="false" customHeight="true" outlineLevel="0" collapsed="false">
      <c r="A43" s="7" t="s">
        <v>1370</v>
      </c>
      <c r="B43" s="7" t="s">
        <v>1371</v>
      </c>
      <c r="C43" s="7" t="s">
        <v>1367</v>
      </c>
      <c r="D43" s="7" t="s">
        <v>1372</v>
      </c>
      <c r="E43" s="7" t="s">
        <v>5542</v>
      </c>
      <c r="F43" s="7" t="s">
        <v>7226</v>
      </c>
      <c r="G43" s="7" t="s">
        <v>7227</v>
      </c>
      <c r="H43" s="7" t="s">
        <v>7228</v>
      </c>
      <c r="I43" s="11" t="s">
        <v>5555</v>
      </c>
      <c r="J43" s="7" t="s">
        <v>749</v>
      </c>
    </row>
    <row r="44" customFormat="false" ht="39" hidden="false" customHeight="true" outlineLevel="0" collapsed="false">
      <c r="A44" s="7" t="s">
        <v>1396</v>
      </c>
      <c r="B44" s="7" t="s">
        <v>1397</v>
      </c>
      <c r="C44" s="7" t="s">
        <v>1367</v>
      </c>
      <c r="D44" s="7" t="s">
        <v>1398</v>
      </c>
      <c r="E44" s="7" t="s">
        <v>5542</v>
      </c>
      <c r="F44" s="7" t="s">
        <v>7229</v>
      </c>
      <c r="G44" s="7" t="s">
        <v>7230</v>
      </c>
      <c r="H44" s="7" t="s">
        <v>7231</v>
      </c>
      <c r="I44" s="11" t="s">
        <v>5555</v>
      </c>
      <c r="J44" s="7" t="s">
        <v>1399</v>
      </c>
    </row>
    <row r="45" customFormat="false" ht="58.5" hidden="false" customHeight="true" outlineLevel="0" collapsed="false">
      <c r="A45" s="7" t="s">
        <v>1408</v>
      </c>
      <c r="B45" s="7" t="s">
        <v>1409</v>
      </c>
      <c r="C45" s="7" t="s">
        <v>1367</v>
      </c>
      <c r="D45" s="7" t="s">
        <v>1410</v>
      </c>
      <c r="E45" s="7" t="s">
        <v>5542</v>
      </c>
      <c r="F45" s="7" t="s">
        <v>7232</v>
      </c>
      <c r="G45" s="7" t="s">
        <v>7233</v>
      </c>
      <c r="H45" s="7" t="s">
        <v>7234</v>
      </c>
      <c r="I45" s="12" t="s">
        <v>5562</v>
      </c>
      <c r="J45" s="7" t="s">
        <v>1399</v>
      </c>
    </row>
    <row r="46" customFormat="false" ht="39" hidden="false" customHeight="true" outlineLevel="0" collapsed="false">
      <c r="A46" s="7" t="s">
        <v>1413</v>
      </c>
      <c r="B46" s="7" t="s">
        <v>1414</v>
      </c>
      <c r="C46" s="7" t="s">
        <v>1367</v>
      </c>
      <c r="D46" s="7" t="s">
        <v>1415</v>
      </c>
      <c r="E46" s="7" t="s">
        <v>5542</v>
      </c>
      <c r="F46" s="7" t="s">
        <v>7235</v>
      </c>
      <c r="G46" s="7" t="s">
        <v>7236</v>
      </c>
      <c r="H46" s="7" t="s">
        <v>7237</v>
      </c>
      <c r="I46" s="12" t="s">
        <v>5562</v>
      </c>
      <c r="J46" s="7" t="s">
        <v>1399</v>
      </c>
    </row>
    <row r="47" customFormat="false" ht="39" hidden="false" customHeight="true" outlineLevel="0" collapsed="false">
      <c r="A47" s="7" t="s">
        <v>1458</v>
      </c>
      <c r="B47" s="7" t="s">
        <v>1459</v>
      </c>
      <c r="C47" s="7" t="s">
        <v>1367</v>
      </c>
      <c r="D47" s="7" t="s">
        <v>1460</v>
      </c>
      <c r="E47" s="7" t="s">
        <v>5551</v>
      </c>
      <c r="F47" s="7" t="s">
        <v>7238</v>
      </c>
      <c r="G47" s="7" t="s">
        <v>7239</v>
      </c>
      <c r="H47" s="7" t="s">
        <v>7240</v>
      </c>
      <c r="I47" s="11" t="s">
        <v>5555</v>
      </c>
      <c r="J47" s="7" t="s">
        <v>245</v>
      </c>
    </row>
    <row r="48" customFormat="false" ht="58.5" hidden="false" customHeight="true" outlineLevel="0" collapsed="false">
      <c r="A48" s="7" t="s">
        <v>1488</v>
      </c>
      <c r="B48" s="7" t="s">
        <v>1489</v>
      </c>
      <c r="C48" s="7" t="s">
        <v>1367</v>
      </c>
      <c r="D48" s="7" t="s">
        <v>1490</v>
      </c>
      <c r="E48" s="7" t="s">
        <v>5551</v>
      </c>
      <c r="F48" s="7" t="s">
        <v>7241</v>
      </c>
      <c r="G48" s="7" t="s">
        <v>7242</v>
      </c>
      <c r="H48" s="7" t="s">
        <v>7243</v>
      </c>
      <c r="I48" s="11" t="s">
        <v>5555</v>
      </c>
      <c r="J48" s="7" t="s">
        <v>749</v>
      </c>
    </row>
    <row r="49" customFormat="false" ht="39" hidden="false" customHeight="true" outlineLevel="0" collapsed="false">
      <c r="A49" s="7" t="s">
        <v>1503</v>
      </c>
      <c r="B49" s="7" t="s">
        <v>1504</v>
      </c>
      <c r="C49" s="7" t="s">
        <v>1367</v>
      </c>
      <c r="D49" s="7" t="s">
        <v>1505</v>
      </c>
      <c r="E49" s="7" t="s">
        <v>5551</v>
      </c>
      <c r="F49" s="7" t="s">
        <v>7244</v>
      </c>
      <c r="G49" s="7" t="s">
        <v>7245</v>
      </c>
      <c r="H49" s="7" t="s">
        <v>7246</v>
      </c>
      <c r="I49" s="11" t="s">
        <v>5555</v>
      </c>
      <c r="J49" s="7" t="s">
        <v>749</v>
      </c>
    </row>
    <row r="50" customFormat="false" ht="39" hidden="false" customHeight="true" outlineLevel="0" collapsed="false">
      <c r="A50" s="7" t="s">
        <v>1523</v>
      </c>
      <c r="B50" s="7" t="s">
        <v>1524</v>
      </c>
      <c r="C50" s="7" t="s">
        <v>1367</v>
      </c>
      <c r="D50" s="7" t="s">
        <v>1525</v>
      </c>
      <c r="E50" s="7" t="s">
        <v>5551</v>
      </c>
      <c r="F50" s="7" t="s">
        <v>7247</v>
      </c>
      <c r="G50" s="7" t="s">
        <v>7248</v>
      </c>
      <c r="H50" s="7" t="s">
        <v>7249</v>
      </c>
      <c r="I50" s="11" t="s">
        <v>5555</v>
      </c>
      <c r="J50" s="7" t="s">
        <v>749</v>
      </c>
    </row>
    <row r="51" customFormat="false" ht="39" hidden="false" customHeight="true" outlineLevel="0" collapsed="false">
      <c r="A51" s="7" t="s">
        <v>1528</v>
      </c>
      <c r="B51" s="7" t="s">
        <v>1529</v>
      </c>
      <c r="C51" s="7" t="s">
        <v>1367</v>
      </c>
      <c r="D51" s="7" t="s">
        <v>1530</v>
      </c>
      <c r="E51" s="7" t="s">
        <v>5551</v>
      </c>
      <c r="F51" s="7" t="s">
        <v>7250</v>
      </c>
      <c r="G51" s="7" t="s">
        <v>7251</v>
      </c>
      <c r="H51" s="7" t="s">
        <v>7252</v>
      </c>
      <c r="I51" s="12" t="s">
        <v>5562</v>
      </c>
      <c r="J51" s="7" t="s">
        <v>749</v>
      </c>
    </row>
    <row r="52" customFormat="false" ht="39" hidden="false" customHeight="true" outlineLevel="0" collapsed="false">
      <c r="A52" s="7" t="s">
        <v>1553</v>
      </c>
      <c r="B52" s="7" t="s">
        <v>1554</v>
      </c>
      <c r="C52" s="7" t="s">
        <v>1367</v>
      </c>
      <c r="D52" s="7" t="s">
        <v>1555</v>
      </c>
      <c r="E52" s="7" t="s">
        <v>5542</v>
      </c>
      <c r="F52" s="7" t="s">
        <v>7253</v>
      </c>
      <c r="G52" s="7" t="s">
        <v>7254</v>
      </c>
      <c r="H52" s="7" t="s">
        <v>7255</v>
      </c>
      <c r="I52" s="11" t="s">
        <v>5555</v>
      </c>
      <c r="J52" s="7" t="s">
        <v>1557</v>
      </c>
    </row>
    <row r="53" customFormat="false" ht="39" hidden="false" customHeight="true" outlineLevel="0" collapsed="false">
      <c r="A53" s="7" t="s">
        <v>1606</v>
      </c>
      <c r="B53" s="7" t="s">
        <v>1607</v>
      </c>
      <c r="C53" s="7" t="s">
        <v>1367</v>
      </c>
      <c r="D53" s="7" t="s">
        <v>1608</v>
      </c>
      <c r="E53" s="7" t="s">
        <v>5551</v>
      </c>
      <c r="F53" s="7" t="s">
        <v>7256</v>
      </c>
      <c r="G53" s="7" t="s">
        <v>7257</v>
      </c>
      <c r="H53" s="7" t="s">
        <v>7258</v>
      </c>
      <c r="I53" s="10" t="s">
        <v>5546</v>
      </c>
      <c r="J53" s="7" t="s">
        <v>1609</v>
      </c>
    </row>
    <row r="54" customFormat="false" ht="39" hidden="false" customHeight="true" outlineLevel="0" collapsed="false">
      <c r="A54" s="7" t="s">
        <v>1613</v>
      </c>
      <c r="B54" s="7" t="s">
        <v>1614</v>
      </c>
      <c r="C54" s="7" t="s">
        <v>1367</v>
      </c>
      <c r="D54" s="7" t="s">
        <v>1615</v>
      </c>
      <c r="E54" s="7" t="s">
        <v>5551</v>
      </c>
      <c r="F54" s="7" t="s">
        <v>7259</v>
      </c>
      <c r="G54" s="7" t="s">
        <v>7260</v>
      </c>
      <c r="H54" s="7" t="s">
        <v>7261</v>
      </c>
      <c r="I54" s="10" t="s">
        <v>5546</v>
      </c>
      <c r="J54" s="7" t="s">
        <v>1609</v>
      </c>
    </row>
    <row r="55" customFormat="false" ht="39" hidden="false" customHeight="true" outlineLevel="0" collapsed="false">
      <c r="A55" s="7" t="s">
        <v>1618</v>
      </c>
      <c r="B55" s="7" t="s">
        <v>1619</v>
      </c>
      <c r="C55" s="7" t="s">
        <v>1367</v>
      </c>
      <c r="D55" s="7" t="s">
        <v>1620</v>
      </c>
      <c r="E55" s="7" t="s">
        <v>5551</v>
      </c>
      <c r="F55" s="7" t="s">
        <v>7262</v>
      </c>
      <c r="G55" s="7" t="s">
        <v>7263</v>
      </c>
      <c r="H55" s="7" t="s">
        <v>7264</v>
      </c>
      <c r="I55" s="12" t="s">
        <v>5562</v>
      </c>
      <c r="J55" s="7" t="s">
        <v>1621</v>
      </c>
    </row>
    <row r="56" customFormat="false" ht="39" hidden="false" customHeight="true" outlineLevel="0" collapsed="false">
      <c r="A56" s="7" t="s">
        <v>1658</v>
      </c>
      <c r="B56" s="7" t="s">
        <v>1659</v>
      </c>
      <c r="C56" s="7" t="s">
        <v>1367</v>
      </c>
      <c r="D56" s="7" t="s">
        <v>1660</v>
      </c>
      <c r="E56" s="7" t="s">
        <v>5551</v>
      </c>
      <c r="F56" s="7" t="s">
        <v>7265</v>
      </c>
      <c r="G56" s="7" t="s">
        <v>7266</v>
      </c>
      <c r="H56" s="7" t="s">
        <v>6515</v>
      </c>
      <c r="I56" s="12" t="s">
        <v>5562</v>
      </c>
      <c r="J56" s="7" t="s">
        <v>1621</v>
      </c>
    </row>
    <row r="57" customFormat="false" ht="39" hidden="false" customHeight="true" outlineLevel="0" collapsed="false">
      <c r="A57" s="7" t="s">
        <v>1839</v>
      </c>
      <c r="B57" s="7" t="s">
        <v>1840</v>
      </c>
      <c r="C57" s="7" t="s">
        <v>1665</v>
      </c>
      <c r="D57" s="7" t="s">
        <v>1841</v>
      </c>
      <c r="E57" s="7" t="s">
        <v>5551</v>
      </c>
      <c r="F57" s="7" t="s">
        <v>7267</v>
      </c>
      <c r="G57" s="7" t="s">
        <v>7268</v>
      </c>
      <c r="H57" s="7" t="s">
        <v>7269</v>
      </c>
      <c r="I57" s="11" t="s">
        <v>5555</v>
      </c>
      <c r="J57" s="7" t="s">
        <v>1134</v>
      </c>
    </row>
    <row r="58" customFormat="false" ht="39" hidden="false" customHeight="true" outlineLevel="0" collapsed="false">
      <c r="A58" s="7" t="s">
        <v>1875</v>
      </c>
      <c r="B58" s="7" t="s">
        <v>1876</v>
      </c>
      <c r="C58" s="7" t="s">
        <v>1665</v>
      </c>
      <c r="D58" s="7" t="s">
        <v>1877</v>
      </c>
      <c r="E58" s="7" t="s">
        <v>5551</v>
      </c>
      <c r="F58" s="7" t="s">
        <v>7270</v>
      </c>
      <c r="G58" s="7" t="s">
        <v>7271</v>
      </c>
      <c r="H58" s="7" t="s">
        <v>7272</v>
      </c>
      <c r="I58" s="11" t="s">
        <v>5555</v>
      </c>
      <c r="J58" s="7" t="s">
        <v>1134</v>
      </c>
    </row>
    <row r="59" customFormat="false" ht="39" hidden="false" customHeight="true" outlineLevel="0" collapsed="false">
      <c r="A59" s="7" t="s">
        <v>1880</v>
      </c>
      <c r="B59" s="7" t="s">
        <v>1881</v>
      </c>
      <c r="C59" s="7" t="s">
        <v>1665</v>
      </c>
      <c r="D59" s="7" t="s">
        <v>1882</v>
      </c>
      <c r="E59" s="7" t="s">
        <v>5542</v>
      </c>
      <c r="F59" s="7" t="s">
        <v>7273</v>
      </c>
      <c r="G59" s="7" t="s">
        <v>7274</v>
      </c>
      <c r="H59" s="7" t="s">
        <v>7275</v>
      </c>
      <c r="I59" s="12" t="s">
        <v>5562</v>
      </c>
      <c r="J59" s="7" t="s">
        <v>1884</v>
      </c>
    </row>
    <row r="60" customFormat="false" ht="39" hidden="false" customHeight="true" outlineLevel="0" collapsed="false">
      <c r="A60" s="7" t="s">
        <v>1923</v>
      </c>
      <c r="B60" s="7" t="s">
        <v>1924</v>
      </c>
      <c r="C60" s="7" t="s">
        <v>1920</v>
      </c>
      <c r="D60" s="7" t="s">
        <v>1925</v>
      </c>
      <c r="E60" s="7" t="s">
        <v>5551</v>
      </c>
      <c r="F60" s="7" t="s">
        <v>7276</v>
      </c>
      <c r="G60" s="7" t="s">
        <v>7277</v>
      </c>
      <c r="H60" s="7" t="s">
        <v>7278</v>
      </c>
      <c r="I60" s="11" t="s">
        <v>5555</v>
      </c>
      <c r="J60" s="7" t="s">
        <v>538</v>
      </c>
    </row>
    <row r="61" customFormat="false" ht="78" hidden="false" customHeight="true" outlineLevel="0" collapsed="false">
      <c r="A61" s="7" t="s">
        <v>1928</v>
      </c>
      <c r="B61" s="7" t="s">
        <v>1929</v>
      </c>
      <c r="C61" s="7" t="s">
        <v>1920</v>
      </c>
      <c r="D61" s="7" t="s">
        <v>1930</v>
      </c>
      <c r="E61" s="7" t="s">
        <v>5551</v>
      </c>
      <c r="F61" s="7" t="s">
        <v>7279</v>
      </c>
      <c r="G61" s="7" t="s">
        <v>7280</v>
      </c>
      <c r="H61" s="7" t="s">
        <v>7281</v>
      </c>
      <c r="I61" s="11" t="s">
        <v>5555</v>
      </c>
      <c r="J61" s="7" t="s">
        <v>538</v>
      </c>
    </row>
    <row r="62" customFormat="false" ht="78" hidden="false" customHeight="true" outlineLevel="0" collapsed="false">
      <c r="A62" s="7" t="s">
        <v>1933</v>
      </c>
      <c r="B62" s="7" t="s">
        <v>1934</v>
      </c>
      <c r="C62" s="7" t="s">
        <v>1920</v>
      </c>
      <c r="D62" s="7" t="s">
        <v>1935</v>
      </c>
      <c r="E62" s="7" t="s">
        <v>5551</v>
      </c>
      <c r="F62" s="7" t="s">
        <v>7282</v>
      </c>
      <c r="G62" s="7" t="s">
        <v>7283</v>
      </c>
      <c r="H62" s="7" t="s">
        <v>6021</v>
      </c>
      <c r="I62" s="11" t="s">
        <v>5555</v>
      </c>
      <c r="J62" s="7" t="s">
        <v>538</v>
      </c>
    </row>
    <row r="63" customFormat="false" ht="58.5" hidden="false" customHeight="true" outlineLevel="0" collapsed="false">
      <c r="A63" s="7" t="s">
        <v>1953</v>
      </c>
      <c r="B63" s="7" t="s">
        <v>1954</v>
      </c>
      <c r="C63" s="7" t="s">
        <v>1920</v>
      </c>
      <c r="D63" s="7" t="s">
        <v>1955</v>
      </c>
      <c r="E63" s="7" t="s">
        <v>5542</v>
      </c>
      <c r="F63" s="7" t="s">
        <v>7284</v>
      </c>
      <c r="G63" s="7" t="s">
        <v>7285</v>
      </c>
      <c r="H63" s="7" t="s">
        <v>7286</v>
      </c>
      <c r="I63" s="12" t="s">
        <v>5562</v>
      </c>
      <c r="J63" s="7" t="s">
        <v>538</v>
      </c>
    </row>
    <row r="64" customFormat="false" ht="58.5" hidden="false" customHeight="true" outlineLevel="0" collapsed="false">
      <c r="A64" s="7" t="s">
        <v>1968</v>
      </c>
      <c r="B64" s="7" t="s">
        <v>1969</v>
      </c>
      <c r="C64" s="7" t="s">
        <v>1920</v>
      </c>
      <c r="D64" s="7" t="s">
        <v>1970</v>
      </c>
      <c r="E64" s="7" t="s">
        <v>5551</v>
      </c>
      <c r="F64" s="7" t="s">
        <v>7287</v>
      </c>
      <c r="G64" s="7" t="s">
        <v>7288</v>
      </c>
      <c r="H64" s="7" t="s">
        <v>7289</v>
      </c>
      <c r="I64" s="11" t="s">
        <v>5555</v>
      </c>
      <c r="J64" s="7" t="s">
        <v>538</v>
      </c>
    </row>
    <row r="65" customFormat="false" ht="39" hidden="false" customHeight="true" outlineLevel="0" collapsed="false">
      <c r="A65" s="7" t="s">
        <v>2029</v>
      </c>
      <c r="B65" s="7" t="s">
        <v>2030</v>
      </c>
      <c r="C65" s="7" t="s">
        <v>1920</v>
      </c>
      <c r="D65" s="7" t="s">
        <v>2031</v>
      </c>
      <c r="E65" s="7" t="s">
        <v>5551</v>
      </c>
      <c r="F65" s="7" t="s">
        <v>7290</v>
      </c>
      <c r="G65" s="7" t="s">
        <v>7291</v>
      </c>
      <c r="H65" s="7" t="s">
        <v>7292</v>
      </c>
      <c r="I65" s="11" t="s">
        <v>5555</v>
      </c>
      <c r="J65" s="7" t="s">
        <v>175</v>
      </c>
    </row>
    <row r="66" customFormat="false" ht="39" hidden="false" customHeight="true" outlineLevel="0" collapsed="false">
      <c r="A66" s="7" t="s">
        <v>2034</v>
      </c>
      <c r="B66" s="7" t="s">
        <v>2035</v>
      </c>
      <c r="C66" s="7" t="s">
        <v>1920</v>
      </c>
      <c r="D66" s="7" t="s">
        <v>2036</v>
      </c>
      <c r="E66" s="7" t="s">
        <v>5551</v>
      </c>
      <c r="F66" s="7" t="s">
        <v>7293</v>
      </c>
      <c r="G66" s="7" t="s">
        <v>7294</v>
      </c>
      <c r="H66" s="7" t="s">
        <v>6041</v>
      </c>
      <c r="I66" s="12" t="s">
        <v>5562</v>
      </c>
      <c r="J66" s="7" t="s">
        <v>175</v>
      </c>
    </row>
    <row r="67" customFormat="false" ht="58.5" hidden="false" customHeight="true" outlineLevel="0" collapsed="false">
      <c r="A67" s="7" t="s">
        <v>2054</v>
      </c>
      <c r="B67" s="7" t="s">
        <v>2055</v>
      </c>
      <c r="C67" s="7" t="s">
        <v>1920</v>
      </c>
      <c r="D67" s="7" t="s">
        <v>2056</v>
      </c>
      <c r="E67" s="7" t="s">
        <v>5551</v>
      </c>
      <c r="F67" s="7" t="s">
        <v>7295</v>
      </c>
      <c r="G67" s="7" t="s">
        <v>7296</v>
      </c>
      <c r="H67" s="7" t="s">
        <v>7138</v>
      </c>
      <c r="I67" s="12" t="s">
        <v>5562</v>
      </c>
      <c r="J67" s="7" t="s">
        <v>175</v>
      </c>
    </row>
    <row r="68" customFormat="false" ht="58.5" hidden="false" customHeight="true" outlineLevel="0" collapsed="false">
      <c r="A68" s="7" t="s">
        <v>2064</v>
      </c>
      <c r="B68" s="7" t="s">
        <v>2065</v>
      </c>
      <c r="C68" s="7" t="s">
        <v>1920</v>
      </c>
      <c r="D68" s="7" t="s">
        <v>2066</v>
      </c>
      <c r="E68" s="7" t="s">
        <v>5551</v>
      </c>
      <c r="F68" s="7" t="s">
        <v>7297</v>
      </c>
      <c r="G68" s="7" t="s">
        <v>7298</v>
      </c>
      <c r="H68" s="7" t="s">
        <v>7299</v>
      </c>
      <c r="I68" s="12" t="s">
        <v>5562</v>
      </c>
      <c r="J68" s="7" t="s">
        <v>175</v>
      </c>
    </row>
    <row r="69" customFormat="false" ht="39" hidden="false" customHeight="true" outlineLevel="0" collapsed="false">
      <c r="A69" s="7" t="s">
        <v>2109</v>
      </c>
      <c r="B69" s="7" t="s">
        <v>2110</v>
      </c>
      <c r="C69" s="7" t="s">
        <v>1920</v>
      </c>
      <c r="D69" s="7" t="s">
        <v>2111</v>
      </c>
      <c r="E69" s="7" t="s">
        <v>5551</v>
      </c>
      <c r="F69" s="7" t="s">
        <v>7300</v>
      </c>
      <c r="G69" s="7" t="s">
        <v>7301</v>
      </c>
      <c r="H69" s="7" t="s">
        <v>7302</v>
      </c>
      <c r="I69" s="12" t="s">
        <v>5562</v>
      </c>
      <c r="J69" s="7" t="s">
        <v>538</v>
      </c>
    </row>
    <row r="70" customFormat="false" ht="39" hidden="false" customHeight="true" outlineLevel="0" collapsed="false">
      <c r="A70" s="7" t="s">
        <v>2119</v>
      </c>
      <c r="B70" s="7" t="s">
        <v>2120</v>
      </c>
      <c r="C70" s="7" t="s">
        <v>1920</v>
      </c>
      <c r="D70" s="7" t="s">
        <v>2121</v>
      </c>
      <c r="E70" s="7" t="s">
        <v>5551</v>
      </c>
      <c r="F70" s="7" t="s">
        <v>7303</v>
      </c>
      <c r="G70" s="7" t="s">
        <v>7304</v>
      </c>
      <c r="H70" s="7" t="s">
        <v>7305</v>
      </c>
      <c r="I70" s="11" t="s">
        <v>5555</v>
      </c>
      <c r="J70" s="7" t="s">
        <v>538</v>
      </c>
    </row>
    <row r="71" customFormat="false" ht="39" hidden="false" customHeight="true" outlineLevel="0" collapsed="false">
      <c r="A71" s="7" t="s">
        <v>2154</v>
      </c>
      <c r="B71" s="7" t="s">
        <v>2155</v>
      </c>
      <c r="C71" s="7" t="s">
        <v>1920</v>
      </c>
      <c r="D71" s="7" t="s">
        <v>2156</v>
      </c>
      <c r="E71" s="7" t="s">
        <v>5551</v>
      </c>
      <c r="F71" s="7" t="s">
        <v>7306</v>
      </c>
      <c r="G71" s="7" t="s">
        <v>7307</v>
      </c>
      <c r="H71" s="7" t="s">
        <v>7308</v>
      </c>
      <c r="I71" s="12" t="s">
        <v>5562</v>
      </c>
      <c r="J71" s="7" t="s">
        <v>538</v>
      </c>
    </row>
    <row r="72" customFormat="false" ht="39" hidden="false" customHeight="true" outlineLevel="0" collapsed="false">
      <c r="A72" s="7" t="s">
        <v>2164</v>
      </c>
      <c r="B72" s="7" t="s">
        <v>2165</v>
      </c>
      <c r="C72" s="7" t="s">
        <v>1920</v>
      </c>
      <c r="D72" s="7" t="s">
        <v>2166</v>
      </c>
      <c r="E72" s="7" t="s">
        <v>5551</v>
      </c>
      <c r="F72" s="7" t="s">
        <v>7309</v>
      </c>
      <c r="G72" s="7" t="s">
        <v>7310</v>
      </c>
      <c r="H72" s="7" t="s">
        <v>7311</v>
      </c>
      <c r="I72" s="12" t="s">
        <v>5562</v>
      </c>
      <c r="J72" s="7" t="s">
        <v>538</v>
      </c>
    </row>
    <row r="73" customFormat="false" ht="39" hidden="false" customHeight="true" outlineLevel="0" collapsed="false">
      <c r="A73" s="7" t="s">
        <v>2970</v>
      </c>
      <c r="B73" s="7" t="s">
        <v>2971</v>
      </c>
      <c r="C73" s="7" t="s">
        <v>2947</v>
      </c>
      <c r="D73" s="7" t="s">
        <v>2972</v>
      </c>
      <c r="E73" s="7" t="s">
        <v>5542</v>
      </c>
      <c r="F73" s="7" t="s">
        <v>7312</v>
      </c>
      <c r="G73" s="7" t="s">
        <v>7313</v>
      </c>
      <c r="H73" s="7" t="s">
        <v>7314</v>
      </c>
      <c r="I73" s="12" t="s">
        <v>5562</v>
      </c>
      <c r="J73" s="7" t="s">
        <v>319</v>
      </c>
    </row>
    <row r="74" customFormat="false" ht="39" hidden="false" customHeight="true" outlineLevel="0" collapsed="false">
      <c r="A74" s="7" t="s">
        <v>3457</v>
      </c>
      <c r="B74" s="7" t="s">
        <v>3458</v>
      </c>
      <c r="C74" s="7" t="s">
        <v>3415</v>
      </c>
      <c r="D74" s="7" t="s">
        <v>3459</v>
      </c>
      <c r="E74" s="7" t="s">
        <v>6150</v>
      </c>
      <c r="F74" s="7" t="s">
        <v>7315</v>
      </c>
      <c r="G74" s="7" t="s">
        <v>7316</v>
      </c>
      <c r="H74" s="7" t="s">
        <v>7317</v>
      </c>
      <c r="I74" s="11" t="s">
        <v>5555</v>
      </c>
      <c r="J74" s="7" t="s">
        <v>1336</v>
      </c>
    </row>
    <row r="75" customFormat="false" ht="58.5" hidden="false" customHeight="true" outlineLevel="0" collapsed="false">
      <c r="A75" s="7" t="s">
        <v>3462</v>
      </c>
      <c r="B75" s="7" t="s">
        <v>3463</v>
      </c>
      <c r="C75" s="7" t="s">
        <v>3415</v>
      </c>
      <c r="D75" s="7" t="s">
        <v>3464</v>
      </c>
      <c r="E75" s="7" t="s">
        <v>5551</v>
      </c>
      <c r="F75" s="7" t="s">
        <v>7318</v>
      </c>
      <c r="G75" s="7" t="s">
        <v>7319</v>
      </c>
      <c r="H75" s="7" t="s">
        <v>7144</v>
      </c>
      <c r="I75" s="12" t="s">
        <v>5562</v>
      </c>
      <c r="J75" s="7" t="s">
        <v>1336</v>
      </c>
    </row>
    <row r="76" customFormat="false" ht="39" hidden="false" customHeight="true" outlineLevel="0" collapsed="false">
      <c r="A76" s="7" t="s">
        <v>3477</v>
      </c>
      <c r="B76" s="7" t="s">
        <v>3478</v>
      </c>
      <c r="C76" s="7" t="s">
        <v>3415</v>
      </c>
      <c r="D76" s="7" t="s">
        <v>3479</v>
      </c>
      <c r="E76" s="7" t="s">
        <v>5551</v>
      </c>
      <c r="F76" s="7" t="s">
        <v>7320</v>
      </c>
      <c r="G76" s="7" t="s">
        <v>7321</v>
      </c>
      <c r="H76" s="7" t="s">
        <v>7147</v>
      </c>
      <c r="I76" s="11" t="s">
        <v>5555</v>
      </c>
      <c r="J76" s="7" t="s">
        <v>1336</v>
      </c>
    </row>
    <row r="77" customFormat="false" ht="39" hidden="false" customHeight="true" outlineLevel="0" collapsed="false">
      <c r="A77" s="7" t="s">
        <v>3539</v>
      </c>
      <c r="B77" s="7" t="s">
        <v>3540</v>
      </c>
      <c r="C77" s="7" t="s">
        <v>3531</v>
      </c>
      <c r="D77" s="7" t="s">
        <v>3541</v>
      </c>
      <c r="E77" s="7" t="s">
        <v>5542</v>
      </c>
      <c r="F77" s="7" t="s">
        <v>7322</v>
      </c>
      <c r="G77" s="7" t="s">
        <v>7323</v>
      </c>
      <c r="H77" s="7" t="s">
        <v>6182</v>
      </c>
      <c r="I77" s="10" t="s">
        <v>5546</v>
      </c>
      <c r="J77" s="7" t="s">
        <v>3542</v>
      </c>
    </row>
    <row r="78" customFormat="false" ht="39" hidden="false" customHeight="true" outlineLevel="0" collapsed="false">
      <c r="A78" s="7" t="s">
        <v>3626</v>
      </c>
      <c r="B78" s="7" t="s">
        <v>3627</v>
      </c>
      <c r="C78" s="7" t="s">
        <v>3531</v>
      </c>
      <c r="D78" s="7" t="s">
        <v>3628</v>
      </c>
      <c r="E78" s="7" t="s">
        <v>5542</v>
      </c>
      <c r="F78" s="7" t="s">
        <v>7324</v>
      </c>
      <c r="G78" s="7" t="s">
        <v>7325</v>
      </c>
      <c r="H78" s="7" t="s">
        <v>7326</v>
      </c>
      <c r="I78" s="10" t="s">
        <v>5546</v>
      </c>
      <c r="J78" s="7" t="s">
        <v>3542</v>
      </c>
    </row>
    <row r="79" customFormat="false" ht="39" hidden="false" customHeight="true" outlineLevel="0" collapsed="false">
      <c r="A79" s="7" t="s">
        <v>3741</v>
      </c>
      <c r="B79" s="7" t="s">
        <v>3742</v>
      </c>
      <c r="C79" s="7" t="s">
        <v>3531</v>
      </c>
      <c r="D79" s="7" t="s">
        <v>3743</v>
      </c>
      <c r="E79" s="7" t="s">
        <v>5551</v>
      </c>
      <c r="F79" s="7" t="s">
        <v>7327</v>
      </c>
      <c r="G79" s="7" t="s">
        <v>7328</v>
      </c>
      <c r="H79" s="7" t="s">
        <v>7329</v>
      </c>
      <c r="I79" s="10" t="s">
        <v>5546</v>
      </c>
      <c r="J79" s="7" t="s">
        <v>3542</v>
      </c>
    </row>
    <row r="80" customFormat="false" ht="58.5" hidden="false" customHeight="true" outlineLevel="0" collapsed="false">
      <c r="A80" s="7" t="s">
        <v>3844</v>
      </c>
      <c r="B80" s="7" t="s">
        <v>3845</v>
      </c>
      <c r="C80" s="7" t="s">
        <v>3531</v>
      </c>
      <c r="D80" s="7" t="s">
        <v>3846</v>
      </c>
      <c r="E80" s="7" t="s">
        <v>5551</v>
      </c>
      <c r="F80" s="7" t="s">
        <v>7330</v>
      </c>
      <c r="G80" s="7" t="s">
        <v>7331</v>
      </c>
      <c r="H80" s="7" t="s">
        <v>6231</v>
      </c>
      <c r="I80" s="12" t="s">
        <v>5562</v>
      </c>
      <c r="J80" s="7" t="s">
        <v>3542</v>
      </c>
    </row>
    <row r="81" customFormat="false" ht="58.5" hidden="false" customHeight="true" outlineLevel="0" collapsed="false">
      <c r="A81" s="7" t="s">
        <v>3849</v>
      </c>
      <c r="B81" s="7" t="s">
        <v>3850</v>
      </c>
      <c r="C81" s="7" t="s">
        <v>3531</v>
      </c>
      <c r="D81" s="7" t="s">
        <v>3851</v>
      </c>
      <c r="E81" s="7" t="s">
        <v>5551</v>
      </c>
      <c r="F81" s="7" t="s">
        <v>7332</v>
      </c>
      <c r="G81" s="7" t="s">
        <v>7333</v>
      </c>
      <c r="H81" s="7" t="s">
        <v>7334</v>
      </c>
      <c r="I81" s="12" t="s">
        <v>5562</v>
      </c>
      <c r="J81" s="7" t="s">
        <v>3542</v>
      </c>
    </row>
    <row r="82" customFormat="false" ht="39" hidden="false" customHeight="true" outlineLevel="0" collapsed="false">
      <c r="A82" s="7" t="s">
        <v>3884</v>
      </c>
      <c r="B82" s="7" t="s">
        <v>3885</v>
      </c>
      <c r="C82" s="7" t="s">
        <v>3531</v>
      </c>
      <c r="D82" s="7" t="s">
        <v>3886</v>
      </c>
      <c r="E82" s="7" t="s">
        <v>6150</v>
      </c>
      <c r="F82" s="7" t="s">
        <v>7335</v>
      </c>
      <c r="G82" s="7" t="s">
        <v>7336</v>
      </c>
      <c r="H82" s="7" t="s">
        <v>7337</v>
      </c>
      <c r="I82" s="10" t="s">
        <v>5546</v>
      </c>
      <c r="J82" s="7" t="s">
        <v>3542</v>
      </c>
    </row>
    <row r="83" customFormat="false" ht="39" hidden="false" customHeight="true" outlineLevel="0" collapsed="false">
      <c r="A83" s="7" t="s">
        <v>3889</v>
      </c>
      <c r="B83" s="7" t="s">
        <v>3890</v>
      </c>
      <c r="C83" s="7" t="s">
        <v>3531</v>
      </c>
      <c r="D83" s="7" t="s">
        <v>3891</v>
      </c>
      <c r="E83" s="7" t="s">
        <v>6150</v>
      </c>
      <c r="F83" s="7" t="s">
        <v>7338</v>
      </c>
      <c r="G83" s="7" t="s">
        <v>7339</v>
      </c>
      <c r="H83" s="7" t="s">
        <v>7340</v>
      </c>
      <c r="I83" s="10" t="s">
        <v>5546</v>
      </c>
      <c r="J83" s="7" t="s">
        <v>3542</v>
      </c>
    </row>
    <row r="84" customFormat="false" ht="58.5" hidden="false" customHeight="true" outlineLevel="0" collapsed="false">
      <c r="A84" s="7" t="s">
        <v>3894</v>
      </c>
      <c r="B84" s="7" t="s">
        <v>3895</v>
      </c>
      <c r="C84" s="7" t="s">
        <v>3531</v>
      </c>
      <c r="D84" s="7" t="s">
        <v>3896</v>
      </c>
      <c r="E84" s="7" t="s">
        <v>5542</v>
      </c>
      <c r="F84" s="7" t="s">
        <v>7341</v>
      </c>
      <c r="G84" s="7" t="s">
        <v>7342</v>
      </c>
      <c r="H84" s="7" t="s">
        <v>7343</v>
      </c>
      <c r="I84" s="10" t="s">
        <v>5546</v>
      </c>
      <c r="J84" s="7" t="s">
        <v>3542</v>
      </c>
    </row>
    <row r="85" customFormat="false" ht="39" hidden="false" customHeight="true" outlineLevel="0" collapsed="false">
      <c r="A85" s="7" t="s">
        <v>3904</v>
      </c>
      <c r="B85" s="7" t="s">
        <v>3905</v>
      </c>
      <c r="C85" s="7" t="s">
        <v>3531</v>
      </c>
      <c r="D85" s="7" t="s">
        <v>3906</v>
      </c>
      <c r="E85" s="7" t="s">
        <v>5542</v>
      </c>
      <c r="F85" s="7" t="s">
        <v>7344</v>
      </c>
      <c r="G85" s="7" t="s">
        <v>7345</v>
      </c>
      <c r="H85" s="7" t="s">
        <v>7346</v>
      </c>
      <c r="I85" s="10" t="s">
        <v>5546</v>
      </c>
      <c r="J85" s="7" t="s">
        <v>3542</v>
      </c>
    </row>
    <row r="86" customFormat="false" ht="39" hidden="false" customHeight="true" outlineLevel="0" collapsed="false">
      <c r="A86" s="7" t="s">
        <v>3909</v>
      </c>
      <c r="B86" s="7" t="s">
        <v>3910</v>
      </c>
      <c r="C86" s="7" t="s">
        <v>3531</v>
      </c>
      <c r="D86" s="7" t="s">
        <v>3911</v>
      </c>
      <c r="E86" s="7" t="s">
        <v>5542</v>
      </c>
      <c r="F86" s="7" t="s">
        <v>7347</v>
      </c>
      <c r="G86" s="7" t="s">
        <v>7348</v>
      </c>
      <c r="H86" s="7" t="s">
        <v>5884</v>
      </c>
      <c r="I86" s="10" t="s">
        <v>5546</v>
      </c>
      <c r="J86" s="7" t="s">
        <v>3542</v>
      </c>
    </row>
    <row r="87" customFormat="false" ht="39" hidden="false" customHeight="true" outlineLevel="0" collapsed="false">
      <c r="A87" s="7" t="s">
        <v>3924</v>
      </c>
      <c r="B87" s="7" t="s">
        <v>3925</v>
      </c>
      <c r="C87" s="7" t="s">
        <v>3531</v>
      </c>
      <c r="D87" s="7" t="s">
        <v>3926</v>
      </c>
      <c r="E87" s="7" t="s">
        <v>6150</v>
      </c>
      <c r="F87" s="7" t="s">
        <v>7349</v>
      </c>
      <c r="G87" s="7" t="s">
        <v>7350</v>
      </c>
      <c r="H87" s="7" t="s">
        <v>7351</v>
      </c>
      <c r="I87" s="10" t="s">
        <v>5546</v>
      </c>
      <c r="J87" s="7" t="s">
        <v>3542</v>
      </c>
    </row>
    <row r="88" customFormat="false" ht="58.5" hidden="false" customHeight="true" outlineLevel="0" collapsed="false">
      <c r="A88" s="7" t="s">
        <v>3929</v>
      </c>
      <c r="B88" s="7" t="s">
        <v>3930</v>
      </c>
      <c r="C88" s="7" t="s">
        <v>3531</v>
      </c>
      <c r="D88" s="7" t="s">
        <v>3931</v>
      </c>
      <c r="E88" s="7" t="s">
        <v>6150</v>
      </c>
      <c r="F88" s="7" t="s">
        <v>7352</v>
      </c>
      <c r="G88" s="7" t="s">
        <v>7353</v>
      </c>
      <c r="H88" s="7" t="s">
        <v>7354</v>
      </c>
      <c r="I88" s="10" t="s">
        <v>5546</v>
      </c>
      <c r="J88" s="7" t="s">
        <v>3542</v>
      </c>
    </row>
    <row r="89" customFormat="false" ht="39" hidden="false" customHeight="true" outlineLevel="0" collapsed="false">
      <c r="A89" s="7" t="s">
        <v>3934</v>
      </c>
      <c r="B89" s="7" t="s">
        <v>3935</v>
      </c>
      <c r="C89" s="7" t="s">
        <v>3531</v>
      </c>
      <c r="D89" s="7" t="s">
        <v>3936</v>
      </c>
      <c r="E89" s="7" t="s">
        <v>5542</v>
      </c>
      <c r="F89" s="7" t="s">
        <v>7355</v>
      </c>
      <c r="G89" s="7" t="s">
        <v>7356</v>
      </c>
      <c r="H89" s="7" t="s">
        <v>7357</v>
      </c>
      <c r="I89" s="10" t="s">
        <v>5546</v>
      </c>
      <c r="J89" s="7" t="s">
        <v>3542</v>
      </c>
    </row>
    <row r="90" customFormat="false" ht="39" hidden="false" customHeight="true" outlineLevel="0" collapsed="false">
      <c r="A90" s="7" t="s">
        <v>3954</v>
      </c>
      <c r="B90" s="7" t="s">
        <v>3955</v>
      </c>
      <c r="C90" s="7" t="s">
        <v>3531</v>
      </c>
      <c r="D90" s="7" t="s">
        <v>3956</v>
      </c>
      <c r="E90" s="7" t="s">
        <v>5551</v>
      </c>
      <c r="F90" s="7" t="s">
        <v>7358</v>
      </c>
      <c r="G90" s="7" t="s">
        <v>7359</v>
      </c>
      <c r="H90" s="7" t="s">
        <v>7360</v>
      </c>
      <c r="I90" s="10" t="s">
        <v>5546</v>
      </c>
      <c r="J90" s="7" t="s">
        <v>3542</v>
      </c>
    </row>
    <row r="91" customFormat="false" ht="58.5" hidden="false" customHeight="true" outlineLevel="0" collapsed="false">
      <c r="A91" s="7" t="s">
        <v>3964</v>
      </c>
      <c r="B91" s="7" t="s">
        <v>3965</v>
      </c>
      <c r="C91" s="7" t="s">
        <v>3531</v>
      </c>
      <c r="D91" s="7" t="s">
        <v>3966</v>
      </c>
      <c r="E91" s="7" t="s">
        <v>6150</v>
      </c>
      <c r="F91" s="7" t="s">
        <v>7361</v>
      </c>
      <c r="G91" s="7" t="s">
        <v>7362</v>
      </c>
      <c r="H91" s="7" t="s">
        <v>6238</v>
      </c>
      <c r="I91" s="10" t="s">
        <v>5546</v>
      </c>
      <c r="J91" s="7" t="s">
        <v>3542</v>
      </c>
    </row>
    <row r="92" customFormat="false" ht="58.5" hidden="false" customHeight="true" outlineLevel="0" collapsed="false">
      <c r="A92" s="7" t="s">
        <v>4059</v>
      </c>
      <c r="B92" s="7" t="s">
        <v>4060</v>
      </c>
      <c r="C92" s="7" t="s">
        <v>3531</v>
      </c>
      <c r="D92" s="7" t="s">
        <v>4061</v>
      </c>
      <c r="E92" s="7" t="s">
        <v>5551</v>
      </c>
      <c r="F92" s="7" t="s">
        <v>7363</v>
      </c>
      <c r="G92" s="7" t="s">
        <v>7364</v>
      </c>
      <c r="H92" s="7" t="s">
        <v>7365</v>
      </c>
      <c r="I92" s="12" t="s">
        <v>5562</v>
      </c>
      <c r="J92" s="7" t="s">
        <v>1609</v>
      </c>
    </row>
    <row r="93" customFormat="false" ht="39" hidden="false" customHeight="true" outlineLevel="0" collapsed="false">
      <c r="A93" s="7" t="s">
        <v>4319</v>
      </c>
      <c r="B93" s="7" t="s">
        <v>4320</v>
      </c>
      <c r="C93" s="7" t="s">
        <v>4081</v>
      </c>
      <c r="D93" s="7" t="s">
        <v>4321</v>
      </c>
      <c r="E93" s="7" t="s">
        <v>5551</v>
      </c>
      <c r="F93" s="7" t="s">
        <v>7366</v>
      </c>
      <c r="G93" s="7" t="s">
        <v>7367</v>
      </c>
      <c r="H93" s="7" t="s">
        <v>6361</v>
      </c>
      <c r="I93" s="11" t="s">
        <v>5555</v>
      </c>
      <c r="J93" s="7" t="s">
        <v>538</v>
      </c>
    </row>
    <row r="94" customFormat="false" ht="39" hidden="false" customHeight="true" outlineLevel="0" collapsed="false">
      <c r="A94" s="7" t="s">
        <v>4334</v>
      </c>
      <c r="B94" s="7" t="s">
        <v>4335</v>
      </c>
      <c r="C94" s="7" t="s">
        <v>4081</v>
      </c>
      <c r="D94" s="7" t="s">
        <v>4336</v>
      </c>
      <c r="E94" s="7" t="s">
        <v>5551</v>
      </c>
      <c r="F94" s="7" t="s">
        <v>7368</v>
      </c>
      <c r="G94" s="7" t="s">
        <v>7369</v>
      </c>
      <c r="H94" s="7" t="s">
        <v>7370</v>
      </c>
      <c r="I94" s="11" t="s">
        <v>5555</v>
      </c>
      <c r="J94" s="7" t="s">
        <v>629</v>
      </c>
    </row>
    <row r="95" customFormat="false" ht="58.5" hidden="false" customHeight="true" outlineLevel="0" collapsed="false">
      <c r="A95" s="7" t="s">
        <v>4359</v>
      </c>
      <c r="B95" s="7" t="s">
        <v>4360</v>
      </c>
      <c r="C95" s="7" t="s">
        <v>4081</v>
      </c>
      <c r="D95" s="7" t="s">
        <v>4361</v>
      </c>
      <c r="E95" s="7" t="s">
        <v>5551</v>
      </c>
      <c r="F95" s="7" t="s">
        <v>7371</v>
      </c>
      <c r="G95" s="7" t="s">
        <v>7372</v>
      </c>
      <c r="H95" s="7" t="s">
        <v>7373</v>
      </c>
      <c r="I95" s="11" t="s">
        <v>5555</v>
      </c>
      <c r="J95" s="7" t="s">
        <v>629</v>
      </c>
    </row>
    <row r="96" customFormat="false" ht="39" hidden="false" customHeight="true" outlineLevel="0" collapsed="false">
      <c r="A96" s="7" t="s">
        <v>4404</v>
      </c>
      <c r="B96" s="7" t="s">
        <v>4405</v>
      </c>
      <c r="C96" s="7" t="s">
        <v>4081</v>
      </c>
      <c r="D96" s="7" t="s">
        <v>4406</v>
      </c>
      <c r="E96" s="7" t="s">
        <v>5551</v>
      </c>
      <c r="F96" s="7" t="s">
        <v>7374</v>
      </c>
      <c r="G96" s="7" t="s">
        <v>7375</v>
      </c>
      <c r="H96" s="7" t="s">
        <v>7376</v>
      </c>
      <c r="I96" s="12" t="s">
        <v>5562</v>
      </c>
      <c r="J96" s="7" t="s">
        <v>1621</v>
      </c>
    </row>
    <row r="97" customFormat="false" ht="39" hidden="false" customHeight="true" outlineLevel="0" collapsed="false">
      <c r="A97" s="7" t="s">
        <v>4454</v>
      </c>
      <c r="B97" s="7" t="s">
        <v>4455</v>
      </c>
      <c r="C97" s="7" t="s">
        <v>4081</v>
      </c>
      <c r="D97" s="7" t="s">
        <v>4456</v>
      </c>
      <c r="E97" s="7" t="s">
        <v>5551</v>
      </c>
      <c r="F97" s="7" t="s">
        <v>7377</v>
      </c>
      <c r="G97" s="7" t="s">
        <v>7378</v>
      </c>
      <c r="H97" s="7" t="s">
        <v>6392</v>
      </c>
      <c r="I97" s="11" t="s">
        <v>5555</v>
      </c>
      <c r="J97" s="7" t="s">
        <v>2210</v>
      </c>
    </row>
    <row r="98" customFormat="false" ht="39" hidden="false" customHeight="true" outlineLevel="0" collapsed="false">
      <c r="A98" s="7" t="s">
        <v>4459</v>
      </c>
      <c r="B98" s="7" t="s">
        <v>4460</v>
      </c>
      <c r="C98" s="7" t="s">
        <v>4081</v>
      </c>
      <c r="D98" s="7" t="s">
        <v>4461</v>
      </c>
      <c r="E98" s="7" t="s">
        <v>5551</v>
      </c>
      <c r="F98" s="7" t="s">
        <v>7379</v>
      </c>
      <c r="G98" s="7" t="s">
        <v>7380</v>
      </c>
      <c r="H98" s="7" t="s">
        <v>7381</v>
      </c>
      <c r="I98" s="12" t="s">
        <v>5562</v>
      </c>
      <c r="J98" s="7" t="s">
        <v>2210</v>
      </c>
    </row>
    <row r="99" customFormat="false" ht="39" hidden="false" customHeight="true" outlineLevel="0" collapsed="false">
      <c r="A99" s="7" t="s">
        <v>4474</v>
      </c>
      <c r="B99" s="7" t="s">
        <v>4475</v>
      </c>
      <c r="C99" s="7" t="s">
        <v>4081</v>
      </c>
      <c r="D99" s="7" t="s">
        <v>4476</v>
      </c>
      <c r="E99" s="7" t="s">
        <v>5551</v>
      </c>
      <c r="F99" s="7" t="s">
        <v>7382</v>
      </c>
      <c r="G99" s="7" t="s">
        <v>7383</v>
      </c>
      <c r="H99" s="7" t="s">
        <v>7384</v>
      </c>
      <c r="I99" s="12" t="s">
        <v>5562</v>
      </c>
      <c r="J99" s="7" t="s">
        <v>1671</v>
      </c>
    </row>
    <row r="100" customFormat="false" ht="39" hidden="false" customHeight="true" outlineLevel="0" collapsed="false">
      <c r="A100" s="7" t="s">
        <v>4501</v>
      </c>
      <c r="B100" s="7" t="s">
        <v>4502</v>
      </c>
      <c r="C100" s="7" t="s">
        <v>4081</v>
      </c>
      <c r="D100" s="7" t="s">
        <v>4503</v>
      </c>
      <c r="E100" s="7" t="s">
        <v>5551</v>
      </c>
      <c r="F100" s="7" t="s">
        <v>7385</v>
      </c>
      <c r="G100" s="7" t="s">
        <v>7386</v>
      </c>
      <c r="H100" s="7" t="s">
        <v>7150</v>
      </c>
      <c r="I100" s="11" t="s">
        <v>5555</v>
      </c>
      <c r="J100" s="7" t="s">
        <v>629</v>
      </c>
    </row>
    <row r="101" customFormat="false" ht="58.5" hidden="false" customHeight="true" outlineLevel="0" collapsed="false">
      <c r="A101" s="7" t="s">
        <v>4507</v>
      </c>
      <c r="B101" s="7" t="s">
        <v>4508</v>
      </c>
      <c r="C101" s="7" t="s">
        <v>4081</v>
      </c>
      <c r="D101" s="7" t="s">
        <v>4509</v>
      </c>
      <c r="E101" s="7" t="s">
        <v>5551</v>
      </c>
      <c r="F101" s="7" t="s">
        <v>7387</v>
      </c>
      <c r="G101" s="7" t="s">
        <v>7388</v>
      </c>
      <c r="H101" s="7" t="s">
        <v>7389</v>
      </c>
      <c r="I101" s="11" t="s">
        <v>5555</v>
      </c>
      <c r="J101" s="7" t="s">
        <v>629</v>
      </c>
    </row>
    <row r="102" customFormat="false" ht="39" hidden="false" customHeight="true" outlineLevel="0" collapsed="false">
      <c r="A102" s="7" t="s">
        <v>4642</v>
      </c>
      <c r="B102" s="7" t="s">
        <v>4643</v>
      </c>
      <c r="C102" s="7" t="s">
        <v>4081</v>
      </c>
      <c r="D102" s="7" t="s">
        <v>4644</v>
      </c>
      <c r="E102" s="7" t="s">
        <v>5551</v>
      </c>
      <c r="F102" s="7" t="s">
        <v>7390</v>
      </c>
      <c r="G102" s="7" t="s">
        <v>7391</v>
      </c>
      <c r="H102" s="7" t="s">
        <v>7392</v>
      </c>
      <c r="I102" s="11" t="s">
        <v>5555</v>
      </c>
      <c r="J102" s="7" t="s">
        <v>749</v>
      </c>
    </row>
    <row r="103" customFormat="false" ht="58.5" hidden="false" customHeight="true" outlineLevel="0" collapsed="false">
      <c r="A103" s="7" t="s">
        <v>4777</v>
      </c>
      <c r="B103" s="7" t="s">
        <v>4778</v>
      </c>
      <c r="C103" s="7" t="s">
        <v>4774</v>
      </c>
      <c r="D103" s="7" t="s">
        <v>4779</v>
      </c>
      <c r="E103" s="7" t="s">
        <v>5542</v>
      </c>
      <c r="F103" s="7" t="s">
        <v>7393</v>
      </c>
      <c r="G103" s="7" t="s">
        <v>7394</v>
      </c>
      <c r="H103" s="7" t="s">
        <v>7395</v>
      </c>
      <c r="I103" s="11" t="s">
        <v>5555</v>
      </c>
      <c r="J103" s="7" t="s">
        <v>4780</v>
      </c>
    </row>
    <row r="104" customFormat="false" ht="39" hidden="false" customHeight="true" outlineLevel="0" collapsed="false">
      <c r="A104" s="7" t="s">
        <v>4809</v>
      </c>
      <c r="B104" s="7" t="s">
        <v>4810</v>
      </c>
      <c r="C104" s="7" t="s">
        <v>4774</v>
      </c>
      <c r="D104" s="7" t="s">
        <v>4811</v>
      </c>
      <c r="E104" s="7" t="s">
        <v>6150</v>
      </c>
      <c r="F104" s="7" t="s">
        <v>7396</v>
      </c>
      <c r="G104" s="7" t="s">
        <v>7397</v>
      </c>
      <c r="H104" s="7" t="s">
        <v>7398</v>
      </c>
      <c r="I104" s="11" t="s">
        <v>5555</v>
      </c>
      <c r="J104" s="7" t="s">
        <v>4487</v>
      </c>
    </row>
    <row r="105" customFormat="false" ht="39" hidden="false" customHeight="true" outlineLevel="0" collapsed="false">
      <c r="A105" s="7" t="s">
        <v>4834</v>
      </c>
      <c r="B105" s="7" t="s">
        <v>4835</v>
      </c>
      <c r="C105" s="7" t="s">
        <v>4774</v>
      </c>
      <c r="D105" s="7" t="s">
        <v>4836</v>
      </c>
      <c r="E105" s="7" t="s">
        <v>5573</v>
      </c>
      <c r="F105" s="7" t="s">
        <v>7399</v>
      </c>
      <c r="G105" s="7" t="s">
        <v>7400</v>
      </c>
      <c r="H105" s="7" t="s">
        <v>7401</v>
      </c>
      <c r="I105" s="11" t="s">
        <v>5555</v>
      </c>
      <c r="J105" s="7" t="s">
        <v>4487</v>
      </c>
    </row>
    <row r="106" customFormat="false" ht="39" hidden="false" customHeight="true" outlineLevel="0" collapsed="false">
      <c r="A106" s="7" t="s">
        <v>4954</v>
      </c>
      <c r="B106" s="7" t="s">
        <v>4955</v>
      </c>
      <c r="C106" s="7" t="s">
        <v>4774</v>
      </c>
      <c r="D106" s="7" t="s">
        <v>4956</v>
      </c>
      <c r="E106" s="7" t="s">
        <v>5542</v>
      </c>
      <c r="F106" s="7" t="s">
        <v>7402</v>
      </c>
      <c r="G106" s="7" t="s">
        <v>7403</v>
      </c>
      <c r="H106" s="7" t="s">
        <v>7404</v>
      </c>
      <c r="I106" s="12" t="s">
        <v>5562</v>
      </c>
      <c r="J106" s="7" t="s">
        <v>3108</v>
      </c>
    </row>
    <row r="107" customFormat="false" ht="39" hidden="false" customHeight="true" outlineLevel="0" collapsed="false">
      <c r="A107" s="7" t="s">
        <v>4980</v>
      </c>
      <c r="B107" s="7" t="s">
        <v>4981</v>
      </c>
      <c r="C107" s="7" t="s">
        <v>4774</v>
      </c>
      <c r="D107" s="7" t="s">
        <v>4982</v>
      </c>
      <c r="E107" s="7" t="s">
        <v>5573</v>
      </c>
      <c r="F107" s="7" t="s">
        <v>7405</v>
      </c>
      <c r="G107" s="7" t="s">
        <v>7406</v>
      </c>
      <c r="H107" s="7" t="s">
        <v>6512</v>
      </c>
      <c r="I107" s="11" t="s">
        <v>5555</v>
      </c>
      <c r="J107" s="7" t="s">
        <v>629</v>
      </c>
    </row>
    <row r="108" customFormat="false" ht="39" hidden="false" customHeight="true" outlineLevel="0" collapsed="false">
      <c r="A108" s="7" t="s">
        <v>4985</v>
      </c>
      <c r="B108" s="7" t="s">
        <v>4986</v>
      </c>
      <c r="C108" s="7" t="s">
        <v>4774</v>
      </c>
      <c r="D108" s="7" t="s">
        <v>4987</v>
      </c>
      <c r="E108" s="7" t="s">
        <v>5573</v>
      </c>
      <c r="F108" s="7" t="s">
        <v>7407</v>
      </c>
      <c r="G108" s="7" t="s">
        <v>7408</v>
      </c>
      <c r="H108" s="7" t="s">
        <v>7409</v>
      </c>
      <c r="I108" s="11" t="s">
        <v>5555</v>
      </c>
      <c r="J108" s="7" t="s">
        <v>629</v>
      </c>
    </row>
    <row r="109" customFormat="false" ht="58.5" hidden="false" customHeight="true" outlineLevel="0" collapsed="false">
      <c r="A109" s="7" t="s">
        <v>5005</v>
      </c>
      <c r="B109" s="7" t="s">
        <v>5006</v>
      </c>
      <c r="C109" s="7" t="s">
        <v>4774</v>
      </c>
      <c r="D109" s="7" t="s">
        <v>5007</v>
      </c>
      <c r="E109" s="7" t="s">
        <v>5551</v>
      </c>
      <c r="F109" s="7" t="s">
        <v>7410</v>
      </c>
      <c r="G109" s="7" t="s">
        <v>7411</v>
      </c>
      <c r="H109" s="7" t="s">
        <v>6771</v>
      </c>
      <c r="I109" s="11" t="s">
        <v>5555</v>
      </c>
      <c r="J109" s="7" t="s">
        <v>629</v>
      </c>
    </row>
    <row r="110" customFormat="false" ht="39" hidden="false" customHeight="true" outlineLevel="0" collapsed="false">
      <c r="A110" s="7" t="s">
        <v>5050</v>
      </c>
      <c r="B110" s="7" t="s">
        <v>5051</v>
      </c>
      <c r="C110" s="7" t="s">
        <v>4774</v>
      </c>
      <c r="D110" s="7" t="s">
        <v>5052</v>
      </c>
      <c r="E110" s="7" t="s">
        <v>5551</v>
      </c>
      <c r="F110" s="7" t="s">
        <v>7412</v>
      </c>
      <c r="G110" s="7" t="s">
        <v>7413</v>
      </c>
      <c r="H110" s="7" t="s">
        <v>7414</v>
      </c>
      <c r="I110" s="12" t="s">
        <v>5562</v>
      </c>
      <c r="J110" s="7" t="s">
        <v>629</v>
      </c>
    </row>
    <row r="111" customFormat="false" ht="58.5" hidden="false" customHeight="true" outlineLevel="0" collapsed="false">
      <c r="A111" s="7" t="s">
        <v>5060</v>
      </c>
      <c r="B111" s="7" t="s">
        <v>5061</v>
      </c>
      <c r="C111" s="7" t="s">
        <v>4774</v>
      </c>
      <c r="D111" s="7" t="s">
        <v>5062</v>
      </c>
      <c r="E111" s="7" t="s">
        <v>6150</v>
      </c>
      <c r="F111" s="7" t="s">
        <v>7415</v>
      </c>
      <c r="G111" s="7" t="s">
        <v>7416</v>
      </c>
      <c r="H111" s="7" t="s">
        <v>7417</v>
      </c>
      <c r="I111" s="12" t="s">
        <v>5562</v>
      </c>
      <c r="J111" s="7" t="s">
        <v>629</v>
      </c>
    </row>
    <row r="112" customFormat="false" ht="39" hidden="false" customHeight="true" outlineLevel="0" collapsed="false">
      <c r="A112" s="7" t="s">
        <v>5085</v>
      </c>
      <c r="B112" s="7" t="s">
        <v>5086</v>
      </c>
      <c r="C112" s="7" t="s">
        <v>4774</v>
      </c>
      <c r="D112" s="7" t="s">
        <v>5087</v>
      </c>
      <c r="E112" s="7" t="s">
        <v>5551</v>
      </c>
      <c r="F112" s="7" t="s">
        <v>7418</v>
      </c>
      <c r="G112" s="7" t="s">
        <v>7419</v>
      </c>
      <c r="H112" s="7" t="s">
        <v>7420</v>
      </c>
      <c r="I112" s="11" t="s">
        <v>5555</v>
      </c>
      <c r="J112" s="7" t="s">
        <v>3542</v>
      </c>
    </row>
    <row r="113" customFormat="false" ht="58.5" hidden="false" customHeight="true" outlineLevel="0" collapsed="false">
      <c r="A113" s="7" t="s">
        <v>5110</v>
      </c>
      <c r="B113" s="7" t="s">
        <v>5111</v>
      </c>
      <c r="C113" s="7" t="s">
        <v>4774</v>
      </c>
      <c r="D113" s="7" t="s">
        <v>5112</v>
      </c>
      <c r="E113" s="7" t="s">
        <v>5551</v>
      </c>
      <c r="F113" s="7" t="s">
        <v>7421</v>
      </c>
      <c r="G113" s="7" t="s">
        <v>7422</v>
      </c>
      <c r="H113" s="7" t="s">
        <v>7423</v>
      </c>
      <c r="I113" s="12" t="s">
        <v>5562</v>
      </c>
      <c r="J113" s="7" t="s">
        <v>3542</v>
      </c>
    </row>
    <row r="114" customFormat="false" ht="58.5" hidden="false" customHeight="true" outlineLevel="0" collapsed="false">
      <c r="A114" s="7" t="s">
        <v>5115</v>
      </c>
      <c r="B114" s="7" t="s">
        <v>5116</v>
      </c>
      <c r="C114" s="7" t="s">
        <v>4774</v>
      </c>
      <c r="D114" s="7" t="s">
        <v>5117</v>
      </c>
      <c r="E114" s="7" t="s">
        <v>5551</v>
      </c>
      <c r="F114" s="7" t="s">
        <v>7424</v>
      </c>
      <c r="G114" s="7" t="s">
        <v>7425</v>
      </c>
      <c r="H114" s="7" t="s">
        <v>7165</v>
      </c>
      <c r="I114" s="12" t="s">
        <v>5562</v>
      </c>
      <c r="J114" s="7" t="s">
        <v>3542</v>
      </c>
    </row>
    <row r="115" customFormat="false" ht="39" hidden="false" customHeight="true" outlineLevel="0" collapsed="false">
      <c r="A115" s="7" t="s">
        <v>5120</v>
      </c>
      <c r="B115" s="7" t="s">
        <v>5121</v>
      </c>
      <c r="C115" s="7" t="s">
        <v>4774</v>
      </c>
      <c r="D115" s="7" t="s">
        <v>5122</v>
      </c>
      <c r="E115" s="7" t="s">
        <v>5551</v>
      </c>
      <c r="F115" s="7" t="s">
        <v>7426</v>
      </c>
      <c r="G115" s="7" t="s">
        <v>7427</v>
      </c>
      <c r="H115" s="7" t="s">
        <v>7428</v>
      </c>
      <c r="I115" s="12" t="s">
        <v>5562</v>
      </c>
      <c r="J115" s="7" t="s">
        <v>3542</v>
      </c>
    </row>
    <row r="116" customFormat="false" ht="39" hidden="false" customHeight="true" outlineLevel="0" collapsed="false">
      <c r="A116" s="7" t="s">
        <v>5190</v>
      </c>
      <c r="B116" s="7" t="s">
        <v>5191</v>
      </c>
      <c r="C116" s="7" t="s">
        <v>4774</v>
      </c>
      <c r="D116" s="7" t="s">
        <v>5192</v>
      </c>
      <c r="E116" s="7" t="s">
        <v>5551</v>
      </c>
      <c r="F116" s="7" t="s">
        <v>7429</v>
      </c>
      <c r="G116" s="7" t="s">
        <v>7430</v>
      </c>
      <c r="H116" s="7" t="s">
        <v>7431</v>
      </c>
      <c r="I116" s="10" t="s">
        <v>5546</v>
      </c>
      <c r="J116" s="7" t="s">
        <v>629</v>
      </c>
    </row>
    <row r="117" customFormat="false" ht="39" hidden="false" customHeight="true" outlineLevel="0" collapsed="false">
      <c r="A117" s="7" t="s">
        <v>5195</v>
      </c>
      <c r="B117" s="7" t="s">
        <v>5196</v>
      </c>
      <c r="C117" s="7" t="s">
        <v>4774</v>
      </c>
      <c r="D117" s="7" t="s">
        <v>5197</v>
      </c>
      <c r="E117" s="7" t="s">
        <v>5551</v>
      </c>
      <c r="F117" s="7" t="s">
        <v>7432</v>
      </c>
      <c r="G117" s="7" t="s">
        <v>7433</v>
      </c>
      <c r="H117" s="7" t="s">
        <v>7434</v>
      </c>
      <c r="I117" s="11" t="s">
        <v>5555</v>
      </c>
      <c r="J117" s="7" t="s">
        <v>1621</v>
      </c>
    </row>
  </sheetData>
  <autoFilter ref="A27:J117"/>
  <mergeCells count="22">
    <mergeCell ref="A1:J1"/>
    <mergeCell ref="A2:J2"/>
    <mergeCell ref="A3:J3"/>
    <mergeCell ref="A4:J4"/>
    <mergeCell ref="A5:J5"/>
    <mergeCell ref="A7:J7"/>
    <mergeCell ref="A8:J8"/>
    <mergeCell ref="A9:J9"/>
    <mergeCell ref="A10:J10"/>
    <mergeCell ref="A11:J11"/>
    <mergeCell ref="A13:J13"/>
    <mergeCell ref="F14:J14"/>
    <mergeCell ref="F15:J15"/>
    <mergeCell ref="F16:J16"/>
    <mergeCell ref="F17:J17"/>
    <mergeCell ref="F18:J18"/>
    <mergeCell ref="F19:J19"/>
    <mergeCell ref="F20:J20"/>
    <mergeCell ref="F21:J21"/>
    <mergeCell ref="F22:J22"/>
    <mergeCell ref="F23:J23"/>
    <mergeCell ref="F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44"/>
    <col collapsed="false" customWidth="true" hidden="false" outlineLevel="0" max="5" min="5" style="1" width="15"/>
    <col collapsed="false" customWidth="true" hidden="false" outlineLevel="0" max="6" min="6" style="1" width="62"/>
    <col collapsed="false" customWidth="true" hidden="false" outlineLevel="0" max="7" min="7" style="1" width="58"/>
    <col collapsed="false" customWidth="true" hidden="false" outlineLevel="0" max="8" min="8" style="1" width="36"/>
    <col collapsed="false" customWidth="true" hidden="false" outlineLevel="0" max="9" min="9" style="1" width="18"/>
    <col collapsed="false" customWidth="true" hidden="false" outlineLevel="0" max="10" min="10" style="1" width="16"/>
  </cols>
  <sheetData>
    <row r="1" customFormat="false" ht="31.5" hidden="false" customHeight="true" outlineLevel="0" collapsed="false">
      <c r="A1" s="2" t="s">
        <v>7435</v>
      </c>
      <c r="B1" s="2"/>
      <c r="C1" s="2"/>
      <c r="D1" s="2"/>
      <c r="E1" s="2"/>
      <c r="F1" s="2"/>
      <c r="G1" s="2"/>
      <c r="H1" s="2"/>
      <c r="I1" s="2"/>
      <c r="J1" s="2"/>
    </row>
    <row r="2" customFormat="false" ht="45.75" hidden="false" customHeight="true" outlineLevel="0" collapsed="false">
      <c r="A2" s="3" t="s">
        <v>7436</v>
      </c>
      <c r="B2" s="3"/>
      <c r="C2" s="3"/>
      <c r="D2" s="3"/>
      <c r="E2" s="3"/>
      <c r="F2" s="3"/>
      <c r="G2" s="3"/>
      <c r="H2" s="3"/>
      <c r="I2" s="3"/>
      <c r="J2" s="3"/>
    </row>
    <row r="3" customFormat="false" ht="45.75" hidden="false" customHeight="true" outlineLevel="0" collapsed="false">
      <c r="A3" s="3" t="s">
        <v>7437</v>
      </c>
      <c r="B3" s="3"/>
      <c r="C3" s="3"/>
      <c r="D3" s="3"/>
      <c r="E3" s="3"/>
      <c r="F3" s="3"/>
      <c r="G3" s="3"/>
      <c r="H3" s="3"/>
      <c r="I3" s="3"/>
      <c r="J3" s="3"/>
    </row>
    <row r="4" customFormat="false" ht="45.75" hidden="false" customHeight="true" outlineLevel="0" collapsed="false">
      <c r="A4" s="3" t="s">
        <v>6781</v>
      </c>
      <c r="B4" s="3"/>
      <c r="C4" s="3"/>
      <c r="D4" s="3"/>
      <c r="E4" s="3"/>
      <c r="F4" s="3"/>
      <c r="G4" s="3"/>
      <c r="H4" s="3"/>
      <c r="I4" s="3"/>
      <c r="J4" s="3"/>
    </row>
    <row r="5" customFormat="false" ht="45.75" hidden="false" customHeight="true" outlineLevel="0" collapsed="false">
      <c r="A5" s="3" t="s">
        <v>7438</v>
      </c>
      <c r="B5" s="3"/>
      <c r="C5" s="3"/>
      <c r="D5" s="3"/>
      <c r="E5" s="3"/>
      <c r="F5" s="3"/>
      <c r="G5" s="3"/>
      <c r="H5" s="3"/>
      <c r="I5" s="3"/>
      <c r="J5" s="3"/>
    </row>
    <row r="6" customFormat="false" ht="17.25" hidden="false" customHeight="true" outlineLevel="0" collapsed="false"/>
    <row r="7" customFormat="false" ht="18" hidden="false" customHeight="true" outlineLevel="0" collapsed="false">
      <c r="A7" s="26" t="s">
        <v>5514</v>
      </c>
      <c r="B7" s="26"/>
      <c r="C7" s="26"/>
      <c r="D7" s="26"/>
      <c r="E7" s="26"/>
      <c r="F7" s="26"/>
      <c r="G7" s="26"/>
      <c r="H7" s="26"/>
      <c r="I7" s="26"/>
      <c r="J7" s="26"/>
    </row>
    <row r="8" customFormat="false" ht="24" hidden="false" customHeight="true" outlineLevel="0" collapsed="false">
      <c r="A8" s="3" t="s">
        <v>5515</v>
      </c>
      <c r="B8" s="3"/>
      <c r="C8" s="3"/>
      <c r="D8" s="3"/>
      <c r="E8" s="3"/>
      <c r="F8" s="3"/>
      <c r="G8" s="3"/>
      <c r="H8" s="3"/>
      <c r="I8" s="3"/>
      <c r="J8" s="3"/>
    </row>
    <row r="9" customFormat="false" ht="24" hidden="false" customHeight="true" outlineLevel="0" collapsed="false">
      <c r="A9" s="3" t="s">
        <v>5516</v>
      </c>
      <c r="B9" s="3"/>
      <c r="C9" s="3"/>
      <c r="D9" s="3"/>
      <c r="E9" s="3"/>
      <c r="F9" s="3"/>
      <c r="G9" s="3"/>
      <c r="H9" s="3"/>
      <c r="I9" s="3"/>
      <c r="J9" s="3"/>
    </row>
    <row r="10" customFormat="false" ht="24" hidden="false" customHeight="true" outlineLevel="0" collapsed="false">
      <c r="A10" s="3" t="s">
        <v>5517</v>
      </c>
      <c r="B10" s="3"/>
      <c r="C10" s="3"/>
      <c r="D10" s="3"/>
      <c r="E10" s="3"/>
      <c r="F10" s="3"/>
      <c r="G10" s="3"/>
      <c r="H10" s="3"/>
      <c r="I10" s="3"/>
      <c r="J10" s="3"/>
    </row>
    <row r="11" customFormat="false" ht="24" hidden="false" customHeight="true" outlineLevel="0" collapsed="false">
      <c r="A11" s="3" t="s">
        <v>5518</v>
      </c>
      <c r="B11" s="3"/>
      <c r="C11" s="3"/>
      <c r="D11" s="3"/>
      <c r="E11" s="3"/>
      <c r="F11" s="3"/>
      <c r="G11" s="3"/>
      <c r="H11" s="3"/>
      <c r="I11" s="3"/>
      <c r="J11" s="3"/>
    </row>
    <row r="12" customFormat="false" ht="17.25" hidden="false" customHeight="true" outlineLevel="0" collapsed="false"/>
    <row r="13" customFormat="false" ht="27.75" hidden="false" customHeight="true" outlineLevel="0" collapsed="false">
      <c r="A13" s="5" t="s">
        <v>5519</v>
      </c>
      <c r="B13" s="5"/>
      <c r="C13" s="5"/>
      <c r="D13" s="5"/>
      <c r="E13" s="5"/>
      <c r="F13" s="5"/>
      <c r="G13" s="5"/>
      <c r="H13" s="5"/>
      <c r="I13" s="5"/>
      <c r="J13" s="5"/>
    </row>
    <row r="14" customFormat="false" ht="18" hidden="false" customHeight="true" outlineLevel="0" collapsed="false">
      <c r="A14" s="6" t="s">
        <v>5520</v>
      </c>
      <c r="B14" s="6" t="s">
        <v>5521</v>
      </c>
      <c r="C14" s="6" t="s">
        <v>132</v>
      </c>
      <c r="D14" s="6" t="s">
        <v>138</v>
      </c>
      <c r="E14" s="6" t="s">
        <v>144</v>
      </c>
      <c r="F14" s="6" t="s">
        <v>5522</v>
      </c>
      <c r="G14" s="6"/>
      <c r="H14" s="6"/>
      <c r="I14" s="6"/>
      <c r="J14" s="6"/>
    </row>
    <row r="15" customFormat="false" ht="45.75" hidden="false" customHeight="true" outlineLevel="0" collapsed="false">
      <c r="A15" s="7" t="s">
        <v>1665</v>
      </c>
      <c r="B15" s="7" t="n">
        <f aca="false">COUNTIF($C$19:$C$33,$A15)</f>
        <v>15</v>
      </c>
      <c r="C15" s="7" t="n">
        <f aca="false">COUNTIFS($C$19:$C$33,$A15,$I$19:$I$33,"Level 1*")</f>
        <v>3</v>
      </c>
      <c r="D15" s="7" t="n">
        <f aca="false">COUNTIFS($C$19:$C$33,$A15,$I$19:$I$33,"Level 2*")</f>
        <v>7</v>
      </c>
      <c r="E15" s="7" t="n">
        <f aca="false">COUNTIFS($C$19:$C$33,$A15,$I$19:$I$33,"Level 3*")</f>
        <v>5</v>
      </c>
      <c r="F15" s="7" t="s">
        <v>7439</v>
      </c>
      <c r="G15" s="7"/>
      <c r="H15" s="7"/>
      <c r="I15" s="7"/>
      <c r="J15" s="7"/>
    </row>
    <row r="16" customFormat="false" ht="18" hidden="false" customHeight="true" outlineLevel="0" collapsed="false">
      <c r="A16" s="22" t="s">
        <v>5446</v>
      </c>
      <c r="B16" s="22" t="n">
        <f aca="false">SUM(B15:B15)</f>
        <v>15</v>
      </c>
      <c r="C16" s="22" t="n">
        <f aca="false">SUM(C15:C15)</f>
        <v>3</v>
      </c>
      <c r="D16" s="22" t="n">
        <f aca="false">SUM(D15:D15)</f>
        <v>7</v>
      </c>
      <c r="E16" s="22" t="n">
        <f aca="false">SUM(E15:E15)</f>
        <v>5</v>
      </c>
    </row>
    <row r="17" customFormat="false" ht="17.25" hidden="false" customHeight="true" outlineLevel="0" collapsed="false"/>
    <row r="18" customFormat="false" ht="39.75" hidden="false" customHeight="true" outlineLevel="0" collapsed="false">
      <c r="A18" s="8" t="s">
        <v>150</v>
      </c>
      <c r="B18" s="8" t="s">
        <v>151</v>
      </c>
      <c r="C18" s="8" t="s">
        <v>10</v>
      </c>
      <c r="D18" s="8" t="s">
        <v>152</v>
      </c>
      <c r="E18" s="8" t="s">
        <v>5534</v>
      </c>
      <c r="F18" s="8" t="s">
        <v>5535</v>
      </c>
      <c r="G18" s="8" t="s">
        <v>5536</v>
      </c>
      <c r="H18" s="8" t="s">
        <v>5537</v>
      </c>
      <c r="I18" s="8" t="s">
        <v>126</v>
      </c>
      <c r="J18" s="8" t="s">
        <v>154</v>
      </c>
    </row>
    <row r="19" customFormat="false" ht="58.5" hidden="false" customHeight="true" outlineLevel="0" collapsed="false">
      <c r="A19" s="7" t="s">
        <v>1668</v>
      </c>
      <c r="B19" s="7" t="s">
        <v>1669</v>
      </c>
      <c r="C19" s="7" t="s">
        <v>1665</v>
      </c>
      <c r="D19" s="7" t="s">
        <v>1670</v>
      </c>
      <c r="E19" s="7" t="s">
        <v>5542</v>
      </c>
      <c r="F19" s="7" t="s">
        <v>7440</v>
      </c>
      <c r="G19" s="7" t="s">
        <v>7441</v>
      </c>
      <c r="H19" s="7" t="s">
        <v>7442</v>
      </c>
      <c r="I19" s="10" t="s">
        <v>5546</v>
      </c>
      <c r="J19" s="7" t="s">
        <v>1671</v>
      </c>
    </row>
    <row r="20" customFormat="false" ht="39" hidden="false" customHeight="true" outlineLevel="0" collapsed="false">
      <c r="A20" s="7" t="s">
        <v>1727</v>
      </c>
      <c r="B20" s="7" t="s">
        <v>1728</v>
      </c>
      <c r="C20" s="7" t="s">
        <v>1665</v>
      </c>
      <c r="D20" s="7" t="s">
        <v>1729</v>
      </c>
      <c r="E20" s="7" t="s">
        <v>5542</v>
      </c>
      <c r="F20" s="7" t="s">
        <v>7443</v>
      </c>
      <c r="G20" s="7" t="s">
        <v>7444</v>
      </c>
      <c r="H20" s="7" t="s">
        <v>7445</v>
      </c>
      <c r="I20" s="10" t="s">
        <v>5546</v>
      </c>
      <c r="J20" s="7" t="s">
        <v>1730</v>
      </c>
    </row>
    <row r="21" customFormat="false" ht="39" hidden="false" customHeight="true" outlineLevel="0" collapsed="false">
      <c r="A21" s="7" t="s">
        <v>1759</v>
      </c>
      <c r="B21" s="7" t="s">
        <v>1760</v>
      </c>
      <c r="C21" s="7" t="s">
        <v>1665</v>
      </c>
      <c r="D21" s="7" t="s">
        <v>1761</v>
      </c>
      <c r="E21" s="7" t="s">
        <v>5551</v>
      </c>
      <c r="F21" s="7" t="s">
        <v>7446</v>
      </c>
      <c r="G21" s="7" t="s">
        <v>7447</v>
      </c>
      <c r="H21" s="7" t="s">
        <v>7448</v>
      </c>
      <c r="I21" s="12" t="s">
        <v>5562</v>
      </c>
      <c r="J21" s="7" t="s">
        <v>1671</v>
      </c>
    </row>
    <row r="22" customFormat="false" ht="39" hidden="false" customHeight="true" outlineLevel="0" collapsed="false">
      <c r="A22" s="7" t="s">
        <v>1764</v>
      </c>
      <c r="B22" s="7" t="s">
        <v>1765</v>
      </c>
      <c r="C22" s="7" t="s">
        <v>1665</v>
      </c>
      <c r="D22" s="7" t="s">
        <v>1766</v>
      </c>
      <c r="E22" s="7" t="s">
        <v>5551</v>
      </c>
      <c r="F22" s="7" t="s">
        <v>7449</v>
      </c>
      <c r="G22" s="7" t="s">
        <v>7450</v>
      </c>
      <c r="H22" s="7" t="s">
        <v>7451</v>
      </c>
      <c r="I22" s="10" t="s">
        <v>5546</v>
      </c>
      <c r="J22" s="7" t="s">
        <v>1671</v>
      </c>
    </row>
    <row r="23" customFormat="false" ht="39" hidden="false" customHeight="true" outlineLevel="0" collapsed="false">
      <c r="A23" s="7" t="s">
        <v>1769</v>
      </c>
      <c r="B23" s="7" t="s">
        <v>1770</v>
      </c>
      <c r="C23" s="7" t="s">
        <v>1665</v>
      </c>
      <c r="D23" s="7" t="s">
        <v>1771</v>
      </c>
      <c r="E23" s="7" t="s">
        <v>5551</v>
      </c>
      <c r="F23" s="7" t="s">
        <v>7452</v>
      </c>
      <c r="G23" s="7" t="s">
        <v>7453</v>
      </c>
      <c r="H23" s="7" t="s">
        <v>7454</v>
      </c>
      <c r="I23" s="10" t="s">
        <v>5546</v>
      </c>
      <c r="J23" s="7" t="s">
        <v>1671</v>
      </c>
    </row>
    <row r="24" customFormat="false" ht="39" hidden="false" customHeight="true" outlineLevel="0" collapsed="false">
      <c r="A24" s="7" t="s">
        <v>1839</v>
      </c>
      <c r="B24" s="7" t="s">
        <v>1840</v>
      </c>
      <c r="C24" s="7" t="s">
        <v>1665</v>
      </c>
      <c r="D24" s="7" t="s">
        <v>1841</v>
      </c>
      <c r="E24" s="7" t="s">
        <v>5551</v>
      </c>
      <c r="F24" s="7" t="s">
        <v>7455</v>
      </c>
      <c r="G24" s="7" t="s">
        <v>7456</v>
      </c>
      <c r="H24" s="7" t="s">
        <v>7457</v>
      </c>
      <c r="I24" s="11" t="s">
        <v>5555</v>
      </c>
      <c r="J24" s="7" t="s">
        <v>1134</v>
      </c>
    </row>
    <row r="25" customFormat="false" ht="39" hidden="false" customHeight="true" outlineLevel="0" collapsed="false">
      <c r="A25" s="7" t="s">
        <v>1845</v>
      </c>
      <c r="B25" s="7" t="s">
        <v>1846</v>
      </c>
      <c r="C25" s="7" t="s">
        <v>1665</v>
      </c>
      <c r="D25" s="7" t="s">
        <v>1847</v>
      </c>
      <c r="E25" s="7" t="s">
        <v>5573</v>
      </c>
      <c r="F25" s="7" t="s">
        <v>7458</v>
      </c>
      <c r="G25" s="7" t="s">
        <v>7459</v>
      </c>
      <c r="H25" s="7" t="s">
        <v>7460</v>
      </c>
      <c r="I25" s="11" t="s">
        <v>5555</v>
      </c>
      <c r="J25" s="7" t="s">
        <v>1134</v>
      </c>
    </row>
    <row r="26" customFormat="false" ht="39" hidden="false" customHeight="true" outlineLevel="0" collapsed="false">
      <c r="A26" s="7" t="s">
        <v>1850</v>
      </c>
      <c r="B26" s="7" t="s">
        <v>1851</v>
      </c>
      <c r="C26" s="7" t="s">
        <v>1665</v>
      </c>
      <c r="D26" s="7" t="s">
        <v>1852</v>
      </c>
      <c r="E26" s="7" t="s">
        <v>5542</v>
      </c>
      <c r="F26" s="7" t="s">
        <v>7461</v>
      </c>
      <c r="G26" s="7" t="s">
        <v>7462</v>
      </c>
      <c r="H26" s="7" t="s">
        <v>7463</v>
      </c>
      <c r="I26" s="12" t="s">
        <v>5562</v>
      </c>
      <c r="J26" s="7" t="s">
        <v>1134</v>
      </c>
    </row>
    <row r="27" customFormat="false" ht="39" hidden="false" customHeight="true" outlineLevel="0" collapsed="false">
      <c r="A27" s="7" t="s">
        <v>1855</v>
      </c>
      <c r="B27" s="7" t="s">
        <v>1856</v>
      </c>
      <c r="C27" s="7" t="s">
        <v>1665</v>
      </c>
      <c r="D27" s="7" t="s">
        <v>1857</v>
      </c>
      <c r="E27" s="7" t="s">
        <v>5551</v>
      </c>
      <c r="F27" s="7" t="s">
        <v>7464</v>
      </c>
      <c r="G27" s="7" t="s">
        <v>7465</v>
      </c>
      <c r="H27" s="7" t="s">
        <v>7466</v>
      </c>
      <c r="I27" s="12" t="s">
        <v>5562</v>
      </c>
      <c r="J27" s="7" t="s">
        <v>1134</v>
      </c>
    </row>
    <row r="28" customFormat="false" ht="39" hidden="false" customHeight="true" outlineLevel="0" collapsed="false">
      <c r="A28" s="7" t="s">
        <v>1860</v>
      </c>
      <c r="B28" s="7" t="s">
        <v>1861</v>
      </c>
      <c r="C28" s="7" t="s">
        <v>1665</v>
      </c>
      <c r="D28" s="7" t="s">
        <v>1862</v>
      </c>
      <c r="E28" s="7" t="s">
        <v>5551</v>
      </c>
      <c r="F28" s="7" t="s">
        <v>7467</v>
      </c>
      <c r="G28" s="7" t="s">
        <v>7468</v>
      </c>
      <c r="H28" s="7" t="s">
        <v>7469</v>
      </c>
      <c r="I28" s="12" t="s">
        <v>5562</v>
      </c>
      <c r="J28" s="7" t="s">
        <v>1134</v>
      </c>
    </row>
    <row r="29" customFormat="false" ht="39" hidden="false" customHeight="true" outlineLevel="0" collapsed="false">
      <c r="A29" s="7" t="s">
        <v>1865</v>
      </c>
      <c r="B29" s="7" t="s">
        <v>1866</v>
      </c>
      <c r="C29" s="7" t="s">
        <v>1665</v>
      </c>
      <c r="D29" s="7" t="s">
        <v>1867</v>
      </c>
      <c r="E29" s="7" t="s">
        <v>5542</v>
      </c>
      <c r="F29" s="7" t="s">
        <v>7470</v>
      </c>
      <c r="G29" s="7" t="s">
        <v>7471</v>
      </c>
      <c r="H29" s="7" t="s">
        <v>7472</v>
      </c>
      <c r="I29" s="12" t="s">
        <v>5562</v>
      </c>
      <c r="J29" s="7" t="s">
        <v>1134</v>
      </c>
    </row>
    <row r="30" customFormat="false" ht="39" hidden="false" customHeight="true" outlineLevel="0" collapsed="false">
      <c r="A30" s="7" t="s">
        <v>1870</v>
      </c>
      <c r="B30" s="7" t="s">
        <v>1871</v>
      </c>
      <c r="C30" s="7" t="s">
        <v>1665</v>
      </c>
      <c r="D30" s="7" t="s">
        <v>1872</v>
      </c>
      <c r="E30" s="7" t="s">
        <v>5551</v>
      </c>
      <c r="F30" s="7" t="s">
        <v>7473</v>
      </c>
      <c r="G30" s="7" t="s">
        <v>7474</v>
      </c>
      <c r="H30" s="7" t="s">
        <v>7475</v>
      </c>
      <c r="I30" s="12" t="s">
        <v>5562</v>
      </c>
      <c r="J30" s="7" t="s">
        <v>1134</v>
      </c>
    </row>
    <row r="31" customFormat="false" ht="39" hidden="false" customHeight="true" outlineLevel="0" collapsed="false">
      <c r="A31" s="7" t="s">
        <v>1875</v>
      </c>
      <c r="B31" s="7" t="s">
        <v>1876</v>
      </c>
      <c r="C31" s="7" t="s">
        <v>1665</v>
      </c>
      <c r="D31" s="7" t="s">
        <v>1877</v>
      </c>
      <c r="E31" s="7" t="s">
        <v>5551</v>
      </c>
      <c r="F31" s="7" t="s">
        <v>7476</v>
      </c>
      <c r="G31" s="7" t="s">
        <v>7477</v>
      </c>
      <c r="H31" s="7" t="s">
        <v>7478</v>
      </c>
      <c r="I31" s="11" t="s">
        <v>5555</v>
      </c>
      <c r="J31" s="7" t="s">
        <v>1134</v>
      </c>
    </row>
    <row r="32" customFormat="false" ht="39" hidden="false" customHeight="true" outlineLevel="0" collapsed="false">
      <c r="A32" s="7" t="s">
        <v>1880</v>
      </c>
      <c r="B32" s="7" t="s">
        <v>1881</v>
      </c>
      <c r="C32" s="7" t="s">
        <v>1665</v>
      </c>
      <c r="D32" s="7" t="s">
        <v>1882</v>
      </c>
      <c r="E32" s="7" t="s">
        <v>5542</v>
      </c>
      <c r="F32" s="7" t="s">
        <v>7479</v>
      </c>
      <c r="G32" s="7" t="s">
        <v>7480</v>
      </c>
      <c r="H32" s="7" t="s">
        <v>7275</v>
      </c>
      <c r="I32" s="12" t="s">
        <v>5562</v>
      </c>
      <c r="J32" s="7" t="s">
        <v>1884</v>
      </c>
    </row>
    <row r="33" customFormat="false" ht="39" hidden="false" customHeight="true" outlineLevel="0" collapsed="false">
      <c r="A33" s="7" t="s">
        <v>1893</v>
      </c>
      <c r="B33" s="7" t="s">
        <v>1894</v>
      </c>
      <c r="C33" s="7" t="s">
        <v>1665</v>
      </c>
      <c r="D33" s="7" t="s">
        <v>1895</v>
      </c>
      <c r="E33" s="7" t="s">
        <v>5542</v>
      </c>
      <c r="F33" s="7" t="s">
        <v>7481</v>
      </c>
      <c r="G33" s="7" t="s">
        <v>7482</v>
      </c>
      <c r="H33" s="7" t="s">
        <v>7483</v>
      </c>
      <c r="I33" s="10" t="s">
        <v>5546</v>
      </c>
      <c r="J33" s="7" t="s">
        <v>1884</v>
      </c>
    </row>
  </sheetData>
  <autoFilter ref="A18:J33"/>
  <mergeCells count="13">
    <mergeCell ref="A1:J1"/>
    <mergeCell ref="A2:J2"/>
    <mergeCell ref="A3:J3"/>
    <mergeCell ref="A4:J4"/>
    <mergeCell ref="A5:J5"/>
    <mergeCell ref="A7:J7"/>
    <mergeCell ref="A8:J8"/>
    <mergeCell ref="A9:J9"/>
    <mergeCell ref="A10:J10"/>
    <mergeCell ref="A11:J11"/>
    <mergeCell ref="A13:J13"/>
    <mergeCell ref="F14:J14"/>
    <mergeCell ref="F15:J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44"/>
    <col collapsed="false" customWidth="true" hidden="false" outlineLevel="0" max="5" min="5" style="1" width="15"/>
    <col collapsed="false" customWidth="true" hidden="false" outlineLevel="0" max="6" min="6" style="1" width="62"/>
    <col collapsed="false" customWidth="true" hidden="false" outlineLevel="0" max="7" min="7" style="1" width="58"/>
    <col collapsed="false" customWidth="true" hidden="false" outlineLevel="0" max="8" min="8" style="1" width="36"/>
    <col collapsed="false" customWidth="true" hidden="false" outlineLevel="0" max="9" min="9" style="1" width="18"/>
    <col collapsed="false" customWidth="true" hidden="false" outlineLevel="0" max="10" min="10" style="1" width="16"/>
  </cols>
  <sheetData>
    <row r="1" customFormat="false" ht="31.5" hidden="false" customHeight="true" outlineLevel="0" collapsed="false">
      <c r="A1" s="2" t="s">
        <v>7484</v>
      </c>
      <c r="B1" s="2"/>
      <c r="C1" s="2"/>
      <c r="D1" s="2"/>
      <c r="E1" s="2"/>
      <c r="F1" s="2"/>
      <c r="G1" s="2"/>
      <c r="H1" s="2"/>
      <c r="I1" s="2"/>
      <c r="J1" s="2"/>
    </row>
    <row r="2" customFormat="false" ht="45.75" hidden="false" customHeight="true" outlineLevel="0" collapsed="false">
      <c r="A2" s="3" t="s">
        <v>7485</v>
      </c>
      <c r="B2" s="3"/>
      <c r="C2" s="3"/>
      <c r="D2" s="3"/>
      <c r="E2" s="3"/>
      <c r="F2" s="3"/>
      <c r="G2" s="3"/>
      <c r="H2" s="3"/>
      <c r="I2" s="3"/>
      <c r="J2" s="3"/>
    </row>
    <row r="3" customFormat="false" ht="45.75" hidden="false" customHeight="true" outlineLevel="0" collapsed="false">
      <c r="A3" s="3" t="s">
        <v>7486</v>
      </c>
      <c r="B3" s="3"/>
      <c r="C3" s="3"/>
      <c r="D3" s="3"/>
      <c r="E3" s="3"/>
      <c r="F3" s="3"/>
      <c r="G3" s="3"/>
      <c r="H3" s="3"/>
      <c r="I3" s="3"/>
      <c r="J3" s="3"/>
    </row>
    <row r="4" customFormat="false" ht="45.75" hidden="false" customHeight="true" outlineLevel="0" collapsed="false">
      <c r="A4" s="3" t="s">
        <v>6781</v>
      </c>
      <c r="B4" s="3"/>
      <c r="C4" s="3"/>
      <c r="D4" s="3"/>
      <c r="E4" s="3"/>
      <c r="F4" s="3"/>
      <c r="G4" s="3"/>
      <c r="H4" s="3"/>
      <c r="I4" s="3"/>
      <c r="J4" s="3"/>
    </row>
    <row r="5" customFormat="false" ht="45.75" hidden="false" customHeight="true" outlineLevel="0" collapsed="false">
      <c r="A5" s="3" t="s">
        <v>7487</v>
      </c>
      <c r="B5" s="3"/>
      <c r="C5" s="3"/>
      <c r="D5" s="3"/>
      <c r="E5" s="3"/>
      <c r="F5" s="3"/>
      <c r="G5" s="3"/>
      <c r="H5" s="3"/>
      <c r="I5" s="3"/>
      <c r="J5" s="3"/>
    </row>
    <row r="6" customFormat="false" ht="17.25" hidden="false" customHeight="true" outlineLevel="0" collapsed="false"/>
    <row r="7" customFormat="false" ht="18" hidden="false" customHeight="true" outlineLevel="0" collapsed="false">
      <c r="A7" s="26" t="s">
        <v>5514</v>
      </c>
      <c r="B7" s="26"/>
      <c r="C7" s="26"/>
      <c r="D7" s="26"/>
      <c r="E7" s="26"/>
      <c r="F7" s="26"/>
      <c r="G7" s="26"/>
      <c r="H7" s="26"/>
      <c r="I7" s="26"/>
      <c r="J7" s="26"/>
    </row>
    <row r="8" customFormat="false" ht="24" hidden="false" customHeight="true" outlineLevel="0" collapsed="false">
      <c r="A8" s="3" t="s">
        <v>5515</v>
      </c>
      <c r="B8" s="3"/>
      <c r="C8" s="3"/>
      <c r="D8" s="3"/>
      <c r="E8" s="3"/>
      <c r="F8" s="3"/>
      <c r="G8" s="3"/>
      <c r="H8" s="3"/>
      <c r="I8" s="3"/>
      <c r="J8" s="3"/>
    </row>
    <row r="9" customFormat="false" ht="24" hidden="false" customHeight="true" outlineLevel="0" collapsed="false">
      <c r="A9" s="3" t="s">
        <v>5516</v>
      </c>
      <c r="B9" s="3"/>
      <c r="C9" s="3"/>
      <c r="D9" s="3"/>
      <c r="E9" s="3"/>
      <c r="F9" s="3"/>
      <c r="G9" s="3"/>
      <c r="H9" s="3"/>
      <c r="I9" s="3"/>
      <c r="J9" s="3"/>
    </row>
    <row r="10" customFormat="false" ht="24" hidden="false" customHeight="true" outlineLevel="0" collapsed="false">
      <c r="A10" s="3" t="s">
        <v>5517</v>
      </c>
      <c r="B10" s="3"/>
      <c r="C10" s="3"/>
      <c r="D10" s="3"/>
      <c r="E10" s="3"/>
      <c r="F10" s="3"/>
      <c r="G10" s="3"/>
      <c r="H10" s="3"/>
      <c r="I10" s="3"/>
      <c r="J10" s="3"/>
    </row>
    <row r="11" customFormat="false" ht="24" hidden="false" customHeight="true" outlineLevel="0" collapsed="false">
      <c r="A11" s="3" t="s">
        <v>5518</v>
      </c>
      <c r="B11" s="3"/>
      <c r="C11" s="3"/>
      <c r="D11" s="3"/>
      <c r="E11" s="3"/>
      <c r="F11" s="3"/>
      <c r="G11" s="3"/>
      <c r="H11" s="3"/>
      <c r="I11" s="3"/>
      <c r="J11" s="3"/>
    </row>
    <row r="12" customFormat="false" ht="17.25" hidden="false" customHeight="true" outlineLevel="0" collapsed="false"/>
    <row r="13" customFormat="false" ht="27.75" hidden="false" customHeight="true" outlineLevel="0" collapsed="false">
      <c r="A13" s="5" t="s">
        <v>5519</v>
      </c>
      <c r="B13" s="5"/>
      <c r="C13" s="5"/>
      <c r="D13" s="5"/>
      <c r="E13" s="5"/>
      <c r="F13" s="5"/>
      <c r="G13" s="5"/>
      <c r="H13" s="5"/>
      <c r="I13" s="5"/>
      <c r="J13" s="5"/>
    </row>
    <row r="14" customFormat="false" ht="18" hidden="false" customHeight="true" outlineLevel="0" collapsed="false">
      <c r="A14" s="6" t="s">
        <v>5520</v>
      </c>
      <c r="B14" s="6" t="s">
        <v>5521</v>
      </c>
      <c r="C14" s="6" t="s">
        <v>132</v>
      </c>
      <c r="D14" s="6" t="s">
        <v>138</v>
      </c>
      <c r="E14" s="6" t="s">
        <v>144</v>
      </c>
      <c r="F14" s="6" t="s">
        <v>5522</v>
      </c>
      <c r="G14" s="6"/>
      <c r="H14" s="6"/>
      <c r="I14" s="6"/>
      <c r="J14" s="6"/>
    </row>
    <row r="15" customFormat="false" ht="31.5" hidden="false" customHeight="true" outlineLevel="0" collapsed="false">
      <c r="A15" s="7" t="s">
        <v>162</v>
      </c>
      <c r="B15" s="7" t="n">
        <f aca="false">COUNTIF($C$37:$C$78,$A15)</f>
        <v>1</v>
      </c>
      <c r="C15" s="7" t="n">
        <f aca="false">COUNTIFS($C$37:$C$78,$A15,$I$37:$I$78,"Level 1*")</f>
        <v>0</v>
      </c>
      <c r="D15" s="7" t="n">
        <f aca="false">COUNTIFS($C$37:$C$78,$A15,$I$37:$I$78,"Level 2*")</f>
        <v>0</v>
      </c>
      <c r="E15" s="7" t="n">
        <f aca="false">COUNTIFS($C$37:$C$78,$A15,$I$37:$I$78,"Level 3*")</f>
        <v>1</v>
      </c>
      <c r="F15" s="7" t="s">
        <v>7488</v>
      </c>
      <c r="G15" s="7"/>
      <c r="H15" s="7"/>
      <c r="I15" s="7"/>
      <c r="J15" s="7"/>
    </row>
    <row r="16" customFormat="false" ht="31.5" hidden="false" customHeight="true" outlineLevel="0" collapsed="false">
      <c r="A16" s="7" t="s">
        <v>838</v>
      </c>
      <c r="B16" s="7" t="n">
        <f aca="false">COUNTIF($C$37:$C$78,$A16)</f>
        <v>4</v>
      </c>
      <c r="C16" s="7" t="n">
        <f aca="false">COUNTIFS($C$37:$C$78,$A16,$I$37:$I$78,"Level 1*")</f>
        <v>0</v>
      </c>
      <c r="D16" s="7" t="n">
        <f aca="false">COUNTIFS($C$37:$C$78,$A16,$I$37:$I$78,"Level 2*")</f>
        <v>0</v>
      </c>
      <c r="E16" s="7" t="n">
        <f aca="false">COUNTIFS($C$37:$C$78,$A16,$I$37:$I$78,"Level 3*")</f>
        <v>4</v>
      </c>
      <c r="F16" s="7" t="s">
        <v>7489</v>
      </c>
      <c r="G16" s="7"/>
      <c r="H16" s="7"/>
      <c r="I16" s="7"/>
      <c r="J16" s="7"/>
    </row>
    <row r="17" customFormat="false" ht="31.5" hidden="false" customHeight="true" outlineLevel="0" collapsed="false">
      <c r="A17" s="7" t="s">
        <v>923</v>
      </c>
      <c r="B17" s="7" t="n">
        <f aca="false">COUNTIF($C$37:$C$78,$A17)</f>
        <v>2</v>
      </c>
      <c r="C17" s="7" t="n">
        <f aca="false">COUNTIFS($C$37:$C$78,$A17,$I$37:$I$78,"Level 1*")</f>
        <v>0</v>
      </c>
      <c r="D17" s="7" t="n">
        <f aca="false">COUNTIFS($C$37:$C$78,$A17,$I$37:$I$78,"Level 2*")</f>
        <v>1</v>
      </c>
      <c r="E17" s="7" t="n">
        <f aca="false">COUNTIFS($C$37:$C$78,$A17,$I$37:$I$78,"Level 3*")</f>
        <v>1</v>
      </c>
      <c r="F17" s="7" t="s">
        <v>7490</v>
      </c>
      <c r="G17" s="7"/>
      <c r="H17" s="7"/>
      <c r="I17" s="7"/>
      <c r="J17" s="7"/>
    </row>
    <row r="18" customFormat="false" ht="31.5" hidden="false" customHeight="true" outlineLevel="0" collapsed="false">
      <c r="A18" s="7" t="s">
        <v>1229</v>
      </c>
      <c r="B18" s="7" t="n">
        <f aca="false">COUNTIF($C$37:$C$78,$A18)</f>
        <v>4</v>
      </c>
      <c r="C18" s="7" t="n">
        <f aca="false">COUNTIFS($C$37:$C$78,$A18,$I$37:$I$78,"Level 1*")</f>
        <v>0</v>
      </c>
      <c r="D18" s="7" t="n">
        <f aca="false">COUNTIFS($C$37:$C$78,$A18,$I$37:$I$78,"Level 2*")</f>
        <v>0</v>
      </c>
      <c r="E18" s="7" t="n">
        <f aca="false">COUNTIFS($C$37:$C$78,$A18,$I$37:$I$78,"Level 3*")</f>
        <v>4</v>
      </c>
      <c r="F18" s="7" t="s">
        <v>7491</v>
      </c>
      <c r="G18" s="7"/>
      <c r="H18" s="7"/>
      <c r="I18" s="7"/>
      <c r="J18" s="7"/>
    </row>
    <row r="19" customFormat="false" ht="31.5" hidden="false" customHeight="true" outlineLevel="0" collapsed="false">
      <c r="A19" s="7" t="s">
        <v>1367</v>
      </c>
      <c r="B19" s="7" t="n">
        <f aca="false">COUNTIF($C$37:$C$78,$A19)</f>
        <v>1</v>
      </c>
      <c r="C19" s="7" t="n">
        <f aca="false">COUNTIFS($C$37:$C$78,$A19,$I$37:$I$78,"Level 1*")</f>
        <v>0</v>
      </c>
      <c r="D19" s="7" t="n">
        <f aca="false">COUNTIFS($C$37:$C$78,$A19,$I$37:$I$78,"Level 2*")</f>
        <v>0</v>
      </c>
      <c r="E19" s="7" t="n">
        <f aca="false">COUNTIFS($C$37:$C$78,$A19,$I$37:$I$78,"Level 3*")</f>
        <v>1</v>
      </c>
      <c r="F19" s="7" t="s">
        <v>7488</v>
      </c>
      <c r="G19" s="7"/>
      <c r="H19" s="7"/>
      <c r="I19" s="7"/>
      <c r="J19" s="7"/>
    </row>
    <row r="20" customFormat="false" ht="31.5" hidden="false" customHeight="true" outlineLevel="0" collapsed="false">
      <c r="A20" s="7" t="s">
        <v>1665</v>
      </c>
      <c r="B20" s="7" t="n">
        <f aca="false">COUNTIF($C$37:$C$78,$A20)</f>
        <v>1</v>
      </c>
      <c r="C20" s="7" t="n">
        <f aca="false">COUNTIFS($C$37:$C$78,$A20,$I$37:$I$78,"Level 1*")</f>
        <v>0</v>
      </c>
      <c r="D20" s="7" t="n">
        <f aca="false">COUNTIFS($C$37:$C$78,$A20,$I$37:$I$78,"Level 2*")</f>
        <v>0</v>
      </c>
      <c r="E20" s="7" t="n">
        <f aca="false">COUNTIFS($C$37:$C$78,$A20,$I$37:$I$78,"Level 3*")</f>
        <v>1</v>
      </c>
      <c r="F20" s="7" t="s">
        <v>7488</v>
      </c>
      <c r="G20" s="7"/>
      <c r="H20" s="7"/>
      <c r="I20" s="7"/>
      <c r="J20" s="7"/>
    </row>
    <row r="21" customFormat="false" ht="31.5" hidden="false" customHeight="true" outlineLevel="0" collapsed="false">
      <c r="A21" s="7" t="s">
        <v>1920</v>
      </c>
      <c r="B21" s="7" t="n">
        <f aca="false">COUNTIF($C$37:$C$78,$A21)</f>
        <v>1</v>
      </c>
      <c r="C21" s="7" t="n">
        <f aca="false">COUNTIFS($C$37:$C$78,$A21,$I$37:$I$78,"Level 1*")</f>
        <v>0</v>
      </c>
      <c r="D21" s="7" t="n">
        <f aca="false">COUNTIFS($C$37:$C$78,$A21,$I$37:$I$78,"Level 2*")</f>
        <v>0</v>
      </c>
      <c r="E21" s="7" t="n">
        <f aca="false">COUNTIFS($C$37:$C$78,$A21,$I$37:$I$78,"Level 3*")</f>
        <v>1</v>
      </c>
      <c r="F21" s="7" t="s">
        <v>7488</v>
      </c>
      <c r="G21" s="7"/>
      <c r="H21" s="7"/>
      <c r="I21" s="7"/>
      <c r="J21" s="7"/>
    </row>
    <row r="22" customFormat="false" ht="45.75" hidden="false" customHeight="true" outlineLevel="0" collapsed="false">
      <c r="A22" s="7" t="s">
        <v>2231</v>
      </c>
      <c r="B22" s="7" t="n">
        <f aca="false">COUNTIF($C$37:$C$78,$A22)</f>
        <v>6</v>
      </c>
      <c r="C22" s="7" t="n">
        <f aca="false">COUNTIFS($C$37:$C$78,$A22,$I$37:$I$78,"Level 1*")</f>
        <v>0</v>
      </c>
      <c r="D22" s="7" t="n">
        <f aca="false">COUNTIFS($C$37:$C$78,$A22,$I$37:$I$78,"Level 2*")</f>
        <v>1</v>
      </c>
      <c r="E22" s="7" t="n">
        <f aca="false">COUNTIFS($C$37:$C$78,$A22,$I$37:$I$78,"Level 3*")</f>
        <v>5</v>
      </c>
      <c r="F22" s="7" t="s">
        <v>7492</v>
      </c>
      <c r="G22" s="7"/>
      <c r="H22" s="7"/>
      <c r="I22" s="7"/>
      <c r="J22" s="7"/>
    </row>
    <row r="23" customFormat="false" ht="31.5" hidden="false" customHeight="true" outlineLevel="0" collapsed="false">
      <c r="A23" s="7" t="s">
        <v>2441</v>
      </c>
      <c r="B23" s="7" t="n">
        <f aca="false">COUNTIF($C$37:$C$78,$A23)</f>
        <v>1</v>
      </c>
      <c r="C23" s="7" t="n">
        <f aca="false">COUNTIFS($C$37:$C$78,$A23,$I$37:$I$78,"Level 1*")</f>
        <v>0</v>
      </c>
      <c r="D23" s="7" t="n">
        <f aca="false">COUNTIFS($C$37:$C$78,$A23,$I$37:$I$78,"Level 2*")</f>
        <v>0</v>
      </c>
      <c r="E23" s="7" t="n">
        <f aca="false">COUNTIFS($C$37:$C$78,$A23,$I$37:$I$78,"Level 3*")</f>
        <v>1</v>
      </c>
      <c r="F23" s="7" t="s">
        <v>7488</v>
      </c>
      <c r="G23" s="7"/>
      <c r="H23" s="7"/>
      <c r="I23" s="7"/>
      <c r="J23" s="7"/>
    </row>
    <row r="24" customFormat="false" ht="31.5" hidden="false" customHeight="true" outlineLevel="0" collapsed="false">
      <c r="A24" s="7" t="s">
        <v>2688</v>
      </c>
      <c r="B24" s="7" t="n">
        <f aca="false">COUNTIF($C$37:$C$78,$A24)</f>
        <v>1</v>
      </c>
      <c r="C24" s="7" t="n">
        <f aca="false">COUNTIFS($C$37:$C$78,$A24,$I$37:$I$78,"Level 1*")</f>
        <v>0</v>
      </c>
      <c r="D24" s="7" t="n">
        <f aca="false">COUNTIFS($C$37:$C$78,$A24,$I$37:$I$78,"Level 2*")</f>
        <v>0</v>
      </c>
      <c r="E24" s="7" t="n">
        <f aca="false">COUNTIFS($C$37:$C$78,$A24,$I$37:$I$78,"Level 3*")</f>
        <v>1</v>
      </c>
      <c r="F24" s="7" t="s">
        <v>7488</v>
      </c>
      <c r="G24" s="7"/>
      <c r="H24" s="7"/>
      <c r="I24" s="7"/>
      <c r="J24" s="7"/>
    </row>
    <row r="25" customFormat="false" ht="31.5" hidden="false" customHeight="true" outlineLevel="0" collapsed="false">
      <c r="A25" s="7" t="s">
        <v>2947</v>
      </c>
      <c r="B25" s="7" t="n">
        <f aca="false">COUNTIF($C$37:$C$78,$A25)</f>
        <v>3</v>
      </c>
      <c r="C25" s="7" t="n">
        <f aca="false">COUNTIFS($C$37:$C$78,$A25,$I$37:$I$78,"Level 1*")</f>
        <v>0</v>
      </c>
      <c r="D25" s="7" t="n">
        <f aca="false">COUNTIFS($C$37:$C$78,$A25,$I$37:$I$78,"Level 2*")</f>
        <v>0</v>
      </c>
      <c r="E25" s="7" t="n">
        <f aca="false">COUNTIFS($C$37:$C$78,$A25,$I$37:$I$78,"Level 3*")</f>
        <v>3</v>
      </c>
      <c r="F25" s="7" t="s">
        <v>7493</v>
      </c>
      <c r="G25" s="7"/>
      <c r="H25" s="7"/>
      <c r="I25" s="7"/>
      <c r="J25" s="7"/>
    </row>
    <row r="26" customFormat="false" ht="31.5" hidden="false" customHeight="true" outlineLevel="0" collapsed="false">
      <c r="A26" s="7" t="s">
        <v>3003</v>
      </c>
      <c r="B26" s="7" t="n">
        <f aca="false">COUNTIF($C$37:$C$78,$A26)</f>
        <v>3</v>
      </c>
      <c r="C26" s="7" t="n">
        <f aca="false">COUNTIFS($C$37:$C$78,$A26,$I$37:$I$78,"Level 1*")</f>
        <v>0</v>
      </c>
      <c r="D26" s="7" t="n">
        <f aca="false">COUNTIFS($C$37:$C$78,$A26,$I$37:$I$78,"Level 2*")</f>
        <v>0</v>
      </c>
      <c r="E26" s="7" t="n">
        <f aca="false">COUNTIFS($C$37:$C$78,$A26,$I$37:$I$78,"Level 3*")</f>
        <v>3</v>
      </c>
      <c r="F26" s="7" t="s">
        <v>7494</v>
      </c>
      <c r="G26" s="7"/>
      <c r="H26" s="7"/>
      <c r="I26" s="7"/>
      <c r="J26" s="7"/>
    </row>
    <row r="27" customFormat="false" ht="31.5" hidden="false" customHeight="true" outlineLevel="0" collapsed="false">
      <c r="A27" s="7" t="s">
        <v>3225</v>
      </c>
      <c r="B27" s="7" t="n">
        <f aca="false">COUNTIF($C$37:$C$78,$A27)</f>
        <v>3</v>
      </c>
      <c r="C27" s="7" t="n">
        <f aca="false">COUNTIFS($C$37:$C$78,$A27,$I$37:$I$78,"Level 1*")</f>
        <v>0</v>
      </c>
      <c r="D27" s="7" t="n">
        <f aca="false">COUNTIFS($C$37:$C$78,$A27,$I$37:$I$78,"Level 2*")</f>
        <v>0</v>
      </c>
      <c r="E27" s="7" t="n">
        <f aca="false">COUNTIFS($C$37:$C$78,$A27,$I$37:$I$78,"Level 3*")</f>
        <v>3</v>
      </c>
      <c r="F27" s="7" t="s">
        <v>7495</v>
      </c>
      <c r="G27" s="7"/>
      <c r="H27" s="7"/>
      <c r="I27" s="7"/>
      <c r="J27" s="7"/>
    </row>
    <row r="28" customFormat="false" ht="31.5" hidden="false" customHeight="true" outlineLevel="0" collapsed="false">
      <c r="A28" s="7" t="s">
        <v>3310</v>
      </c>
      <c r="B28" s="7" t="n">
        <f aca="false">COUNTIF($C$37:$C$78,$A28)</f>
        <v>2</v>
      </c>
      <c r="C28" s="7" t="n">
        <f aca="false">COUNTIFS($C$37:$C$78,$A28,$I$37:$I$78,"Level 1*")</f>
        <v>0</v>
      </c>
      <c r="D28" s="7" t="n">
        <f aca="false">COUNTIFS($C$37:$C$78,$A28,$I$37:$I$78,"Level 2*")</f>
        <v>0</v>
      </c>
      <c r="E28" s="7" t="n">
        <f aca="false">COUNTIFS($C$37:$C$78,$A28,$I$37:$I$78,"Level 3*")</f>
        <v>2</v>
      </c>
      <c r="F28" s="7" t="s">
        <v>7496</v>
      </c>
      <c r="G28" s="7"/>
      <c r="H28" s="7"/>
      <c r="I28" s="7"/>
      <c r="J28" s="7"/>
    </row>
    <row r="29" customFormat="false" ht="31.5" hidden="false" customHeight="true" outlineLevel="0" collapsed="false">
      <c r="A29" s="7" t="s">
        <v>3415</v>
      </c>
      <c r="B29" s="7" t="n">
        <f aca="false">COUNTIF($C$37:$C$78,$A29)</f>
        <v>4</v>
      </c>
      <c r="C29" s="7" t="n">
        <f aca="false">COUNTIFS($C$37:$C$78,$A29,$I$37:$I$78,"Level 1*")</f>
        <v>0</v>
      </c>
      <c r="D29" s="7" t="n">
        <f aca="false">COUNTIFS($C$37:$C$78,$A29,$I$37:$I$78,"Level 2*")</f>
        <v>0</v>
      </c>
      <c r="E29" s="7" t="n">
        <f aca="false">COUNTIFS($C$37:$C$78,$A29,$I$37:$I$78,"Level 3*")</f>
        <v>4</v>
      </c>
      <c r="F29" s="7" t="s">
        <v>7497</v>
      </c>
      <c r="G29" s="7"/>
      <c r="H29" s="7"/>
      <c r="I29" s="7"/>
      <c r="J29" s="7"/>
    </row>
    <row r="30" customFormat="false" ht="31.5" hidden="false" customHeight="true" outlineLevel="0" collapsed="false">
      <c r="A30" s="7" t="s">
        <v>3531</v>
      </c>
      <c r="B30" s="7" t="n">
        <f aca="false">COUNTIF($C$37:$C$78,$A30)</f>
        <v>1</v>
      </c>
      <c r="C30" s="7" t="n">
        <f aca="false">COUNTIFS($C$37:$C$78,$A30,$I$37:$I$78,"Level 1*")</f>
        <v>0</v>
      </c>
      <c r="D30" s="7" t="n">
        <f aca="false">COUNTIFS($C$37:$C$78,$A30,$I$37:$I$78,"Level 2*")</f>
        <v>0</v>
      </c>
      <c r="E30" s="7" t="n">
        <f aca="false">COUNTIFS($C$37:$C$78,$A30,$I$37:$I$78,"Level 3*")</f>
        <v>1</v>
      </c>
      <c r="F30" s="7" t="s">
        <v>7488</v>
      </c>
      <c r="G30" s="7"/>
      <c r="H30" s="7"/>
      <c r="I30" s="7"/>
      <c r="J30" s="7"/>
    </row>
    <row r="31" customFormat="false" ht="31.5" hidden="false" customHeight="true" outlineLevel="0" collapsed="false">
      <c r="A31" s="7" t="s">
        <v>4081</v>
      </c>
      <c r="B31" s="7" t="n">
        <f aca="false">COUNTIF($C$37:$C$78,$A31)</f>
        <v>1</v>
      </c>
      <c r="C31" s="7" t="n">
        <f aca="false">COUNTIFS($C$37:$C$78,$A31,$I$37:$I$78,"Level 1*")</f>
        <v>0</v>
      </c>
      <c r="D31" s="7" t="n">
        <f aca="false">COUNTIFS($C$37:$C$78,$A31,$I$37:$I$78,"Level 2*")</f>
        <v>0</v>
      </c>
      <c r="E31" s="7" t="n">
        <f aca="false">COUNTIFS($C$37:$C$78,$A31,$I$37:$I$78,"Level 3*")</f>
        <v>1</v>
      </c>
      <c r="F31" s="7" t="s">
        <v>7488</v>
      </c>
      <c r="G31" s="7"/>
      <c r="H31" s="7"/>
      <c r="I31" s="7"/>
      <c r="J31" s="7"/>
    </row>
    <row r="32" customFormat="false" ht="31.5" hidden="false" customHeight="true" outlineLevel="0" collapsed="false">
      <c r="A32" s="7" t="s">
        <v>4774</v>
      </c>
      <c r="B32" s="7" t="n">
        <f aca="false">COUNTIF($C$37:$C$78,$A32)</f>
        <v>2</v>
      </c>
      <c r="C32" s="7" t="n">
        <f aca="false">COUNTIFS($C$37:$C$78,$A32,$I$37:$I$78,"Level 1*")</f>
        <v>0</v>
      </c>
      <c r="D32" s="7" t="n">
        <f aca="false">COUNTIFS($C$37:$C$78,$A32,$I$37:$I$78,"Level 2*")</f>
        <v>1</v>
      </c>
      <c r="E32" s="7" t="n">
        <f aca="false">COUNTIFS($C$37:$C$78,$A32,$I$37:$I$78,"Level 3*")</f>
        <v>1</v>
      </c>
      <c r="F32" s="7" t="s">
        <v>7498</v>
      </c>
      <c r="G32" s="7"/>
      <c r="H32" s="7"/>
      <c r="I32" s="7"/>
      <c r="J32" s="7"/>
    </row>
    <row r="33" customFormat="false" ht="31.5" hidden="false" customHeight="true" outlineLevel="0" collapsed="false">
      <c r="A33" s="7" t="s">
        <v>5303</v>
      </c>
      <c r="B33" s="7" t="n">
        <f aca="false">COUNTIF($C$37:$C$78,$A33)</f>
        <v>1</v>
      </c>
      <c r="C33" s="7" t="n">
        <f aca="false">COUNTIFS($C$37:$C$78,$A33,$I$37:$I$78,"Level 1*")</f>
        <v>0</v>
      </c>
      <c r="D33" s="7" t="n">
        <f aca="false">COUNTIFS($C$37:$C$78,$A33,$I$37:$I$78,"Level 2*")</f>
        <v>0</v>
      </c>
      <c r="E33" s="7" t="n">
        <f aca="false">COUNTIFS($C$37:$C$78,$A33,$I$37:$I$78,"Level 3*")</f>
        <v>1</v>
      </c>
      <c r="F33" s="7" t="s">
        <v>7488</v>
      </c>
      <c r="G33" s="7"/>
      <c r="H33" s="7"/>
      <c r="I33" s="7"/>
      <c r="J33" s="7"/>
    </row>
    <row r="34" customFormat="false" ht="18" hidden="false" customHeight="true" outlineLevel="0" collapsed="false">
      <c r="A34" s="22" t="s">
        <v>5446</v>
      </c>
      <c r="B34" s="22" t="n">
        <f aca="false">SUM(B15:B33)</f>
        <v>42</v>
      </c>
      <c r="C34" s="22" t="n">
        <f aca="false">SUM(C15:C33)</f>
        <v>0</v>
      </c>
      <c r="D34" s="22" t="n">
        <f aca="false">SUM(D15:D33)</f>
        <v>3</v>
      </c>
      <c r="E34" s="22" t="n">
        <f aca="false">SUM(E15:E33)</f>
        <v>39</v>
      </c>
    </row>
    <row r="35" customFormat="false" ht="17.25" hidden="false" customHeight="true" outlineLevel="0" collapsed="false"/>
    <row r="36" customFormat="false" ht="39.75" hidden="false" customHeight="true" outlineLevel="0" collapsed="false">
      <c r="A36" s="8" t="s">
        <v>150</v>
      </c>
      <c r="B36" s="8" t="s">
        <v>151</v>
      </c>
      <c r="C36" s="8" t="s">
        <v>10</v>
      </c>
      <c r="D36" s="8" t="s">
        <v>152</v>
      </c>
      <c r="E36" s="8" t="s">
        <v>5534</v>
      </c>
      <c r="F36" s="8" t="s">
        <v>5535</v>
      </c>
      <c r="G36" s="8" t="s">
        <v>5536</v>
      </c>
      <c r="H36" s="8" t="s">
        <v>5537</v>
      </c>
      <c r="I36" s="8" t="s">
        <v>126</v>
      </c>
      <c r="J36" s="8" t="s">
        <v>154</v>
      </c>
    </row>
    <row r="37" customFormat="false" ht="58.5" hidden="false" customHeight="true" outlineLevel="0" collapsed="false">
      <c r="A37" s="7" t="s">
        <v>160</v>
      </c>
      <c r="B37" s="7" t="s">
        <v>161</v>
      </c>
      <c r="C37" s="7" t="s">
        <v>162</v>
      </c>
      <c r="D37" s="7" t="s">
        <v>163</v>
      </c>
      <c r="E37" s="7" t="s">
        <v>5542</v>
      </c>
      <c r="F37" s="7" t="s">
        <v>7499</v>
      </c>
      <c r="G37" s="7" t="s">
        <v>7500</v>
      </c>
      <c r="H37" s="7" t="s">
        <v>7501</v>
      </c>
      <c r="I37" s="10" t="s">
        <v>5546</v>
      </c>
      <c r="J37" s="7" t="s">
        <v>165</v>
      </c>
    </row>
    <row r="38" customFormat="false" ht="58.5" hidden="false" customHeight="true" outlineLevel="0" collapsed="false">
      <c r="A38" s="7" t="s">
        <v>836</v>
      </c>
      <c r="B38" s="7" t="s">
        <v>837</v>
      </c>
      <c r="C38" s="7" t="s">
        <v>838</v>
      </c>
      <c r="D38" s="7" t="s">
        <v>163</v>
      </c>
      <c r="E38" s="7" t="s">
        <v>5542</v>
      </c>
      <c r="F38" s="7" t="s">
        <v>7502</v>
      </c>
      <c r="G38" s="7" t="s">
        <v>7503</v>
      </c>
      <c r="H38" s="7" t="s">
        <v>7501</v>
      </c>
      <c r="I38" s="10" t="s">
        <v>5546</v>
      </c>
      <c r="J38" s="7" t="s">
        <v>165</v>
      </c>
    </row>
    <row r="39" customFormat="false" ht="58.5" hidden="false" customHeight="true" outlineLevel="0" collapsed="false">
      <c r="A39" s="7" t="s">
        <v>841</v>
      </c>
      <c r="B39" s="7" t="s">
        <v>842</v>
      </c>
      <c r="C39" s="7" t="s">
        <v>838</v>
      </c>
      <c r="D39" s="7" t="s">
        <v>843</v>
      </c>
      <c r="E39" s="7" t="s">
        <v>5542</v>
      </c>
      <c r="F39" s="7" t="s">
        <v>7504</v>
      </c>
      <c r="G39" s="7" t="s">
        <v>7505</v>
      </c>
      <c r="H39" s="7" t="s">
        <v>7506</v>
      </c>
      <c r="I39" s="10" t="s">
        <v>5546</v>
      </c>
      <c r="J39" s="7" t="s">
        <v>845</v>
      </c>
    </row>
    <row r="40" customFormat="false" ht="39" hidden="false" customHeight="true" outlineLevel="0" collapsed="false">
      <c r="A40" s="7" t="s">
        <v>879</v>
      </c>
      <c r="B40" s="7" t="s">
        <v>880</v>
      </c>
      <c r="C40" s="7" t="s">
        <v>838</v>
      </c>
      <c r="D40" s="7" t="s">
        <v>881</v>
      </c>
      <c r="E40" s="7" t="s">
        <v>5542</v>
      </c>
      <c r="F40" s="7" t="s">
        <v>7507</v>
      </c>
      <c r="G40" s="7" t="s">
        <v>7508</v>
      </c>
      <c r="H40" s="7" t="s">
        <v>7509</v>
      </c>
      <c r="I40" s="10" t="s">
        <v>5546</v>
      </c>
      <c r="J40" s="7" t="s">
        <v>882</v>
      </c>
    </row>
    <row r="41" customFormat="false" ht="39" hidden="false" customHeight="true" outlineLevel="0" collapsed="false">
      <c r="A41" s="7" t="s">
        <v>911</v>
      </c>
      <c r="B41" s="7" t="s">
        <v>912</v>
      </c>
      <c r="C41" s="7" t="s">
        <v>838</v>
      </c>
      <c r="D41" s="7" t="s">
        <v>913</v>
      </c>
      <c r="E41" s="7" t="s">
        <v>5542</v>
      </c>
      <c r="F41" s="7" t="s">
        <v>7510</v>
      </c>
      <c r="G41" s="7" t="s">
        <v>7511</v>
      </c>
      <c r="H41" s="7" t="s">
        <v>7512</v>
      </c>
      <c r="I41" s="10" t="s">
        <v>5546</v>
      </c>
      <c r="J41" s="7" t="s">
        <v>845</v>
      </c>
    </row>
    <row r="42" customFormat="false" ht="58.5" hidden="false" customHeight="true" outlineLevel="0" collapsed="false">
      <c r="A42" s="7" t="s">
        <v>921</v>
      </c>
      <c r="B42" s="7" t="s">
        <v>922</v>
      </c>
      <c r="C42" s="7" t="s">
        <v>923</v>
      </c>
      <c r="D42" s="7" t="s">
        <v>163</v>
      </c>
      <c r="E42" s="7" t="s">
        <v>5542</v>
      </c>
      <c r="F42" s="7" t="s">
        <v>7513</v>
      </c>
      <c r="G42" s="7" t="s">
        <v>7514</v>
      </c>
      <c r="H42" s="7" t="s">
        <v>7501</v>
      </c>
      <c r="I42" s="10" t="s">
        <v>5546</v>
      </c>
      <c r="J42" s="7" t="s">
        <v>165</v>
      </c>
    </row>
    <row r="43" customFormat="false" ht="39" hidden="false" customHeight="true" outlineLevel="0" collapsed="false">
      <c r="A43" s="7" t="s">
        <v>998</v>
      </c>
      <c r="B43" s="7" t="s">
        <v>999</v>
      </c>
      <c r="C43" s="7" t="s">
        <v>923</v>
      </c>
      <c r="D43" s="7" t="s">
        <v>1000</v>
      </c>
      <c r="E43" s="7" t="s">
        <v>5542</v>
      </c>
      <c r="F43" s="7" t="s">
        <v>7515</v>
      </c>
      <c r="G43" s="7" t="s">
        <v>7516</v>
      </c>
      <c r="H43" s="7" t="s">
        <v>7517</v>
      </c>
      <c r="I43" s="12" t="s">
        <v>5562</v>
      </c>
      <c r="J43" s="7" t="s">
        <v>1002</v>
      </c>
    </row>
    <row r="44" customFormat="false" ht="58.5" hidden="false" customHeight="true" outlineLevel="0" collapsed="false">
      <c r="A44" s="7" t="s">
        <v>1227</v>
      </c>
      <c r="B44" s="7" t="s">
        <v>1228</v>
      </c>
      <c r="C44" s="7" t="s">
        <v>1229</v>
      </c>
      <c r="D44" s="7" t="s">
        <v>163</v>
      </c>
      <c r="E44" s="7" t="s">
        <v>5542</v>
      </c>
      <c r="F44" s="7" t="s">
        <v>7518</v>
      </c>
      <c r="G44" s="7" t="s">
        <v>7519</v>
      </c>
      <c r="H44" s="7" t="s">
        <v>7501</v>
      </c>
      <c r="I44" s="10" t="s">
        <v>5546</v>
      </c>
      <c r="J44" s="7" t="s">
        <v>165</v>
      </c>
    </row>
    <row r="45" customFormat="false" ht="58.5" hidden="false" customHeight="true" outlineLevel="0" collapsed="false">
      <c r="A45" s="7" t="s">
        <v>1232</v>
      </c>
      <c r="B45" s="7" t="s">
        <v>1233</v>
      </c>
      <c r="C45" s="7" t="s">
        <v>1229</v>
      </c>
      <c r="D45" s="7" t="s">
        <v>1234</v>
      </c>
      <c r="E45" s="7" t="s">
        <v>5542</v>
      </c>
      <c r="F45" s="7" t="s">
        <v>7520</v>
      </c>
      <c r="G45" s="7" t="s">
        <v>7521</v>
      </c>
      <c r="H45" s="7" t="s">
        <v>5868</v>
      </c>
      <c r="I45" s="10" t="s">
        <v>5546</v>
      </c>
      <c r="J45" s="7" t="s">
        <v>1236</v>
      </c>
    </row>
    <row r="46" customFormat="false" ht="39" hidden="false" customHeight="true" outlineLevel="0" collapsed="false">
      <c r="A46" s="7" t="s">
        <v>1271</v>
      </c>
      <c r="B46" s="7" t="s">
        <v>1272</v>
      </c>
      <c r="C46" s="7" t="s">
        <v>1229</v>
      </c>
      <c r="D46" s="7" t="s">
        <v>1273</v>
      </c>
      <c r="E46" s="7" t="s">
        <v>5542</v>
      </c>
      <c r="F46" s="7" t="s">
        <v>7522</v>
      </c>
      <c r="G46" s="7" t="s">
        <v>7523</v>
      </c>
      <c r="H46" s="7" t="s">
        <v>7524</v>
      </c>
      <c r="I46" s="10" t="s">
        <v>5546</v>
      </c>
      <c r="J46" s="7" t="s">
        <v>1275</v>
      </c>
    </row>
    <row r="47" customFormat="false" ht="39" hidden="false" customHeight="true" outlineLevel="0" collapsed="false">
      <c r="A47" s="7" t="s">
        <v>1333</v>
      </c>
      <c r="B47" s="7" t="s">
        <v>1334</v>
      </c>
      <c r="C47" s="7" t="s">
        <v>1229</v>
      </c>
      <c r="D47" s="7" t="s">
        <v>1335</v>
      </c>
      <c r="E47" s="7" t="s">
        <v>5542</v>
      </c>
      <c r="F47" s="7" t="s">
        <v>7525</v>
      </c>
      <c r="G47" s="7" t="s">
        <v>7526</v>
      </c>
      <c r="H47" s="7" t="s">
        <v>7527</v>
      </c>
      <c r="I47" s="10" t="s">
        <v>5546</v>
      </c>
      <c r="J47" s="7" t="s">
        <v>1336</v>
      </c>
    </row>
    <row r="48" customFormat="false" ht="58.5" hidden="false" customHeight="true" outlineLevel="0" collapsed="false">
      <c r="A48" s="7" t="s">
        <v>1365</v>
      </c>
      <c r="B48" s="7" t="s">
        <v>1366</v>
      </c>
      <c r="C48" s="7" t="s">
        <v>1367</v>
      </c>
      <c r="D48" s="7" t="s">
        <v>163</v>
      </c>
      <c r="E48" s="7" t="s">
        <v>5542</v>
      </c>
      <c r="F48" s="7" t="s">
        <v>7528</v>
      </c>
      <c r="G48" s="7" t="s">
        <v>7529</v>
      </c>
      <c r="H48" s="7" t="s">
        <v>7501</v>
      </c>
      <c r="I48" s="10" t="s">
        <v>5546</v>
      </c>
      <c r="J48" s="7" t="s">
        <v>165</v>
      </c>
    </row>
    <row r="49" customFormat="false" ht="58.5" hidden="false" customHeight="true" outlineLevel="0" collapsed="false">
      <c r="A49" s="7" t="s">
        <v>1663</v>
      </c>
      <c r="B49" s="7" t="s">
        <v>1664</v>
      </c>
      <c r="C49" s="7" t="s">
        <v>1665</v>
      </c>
      <c r="D49" s="7" t="s">
        <v>163</v>
      </c>
      <c r="E49" s="7" t="s">
        <v>5542</v>
      </c>
      <c r="F49" s="7" t="s">
        <v>7530</v>
      </c>
      <c r="G49" s="7" t="s">
        <v>7531</v>
      </c>
      <c r="H49" s="7" t="s">
        <v>7501</v>
      </c>
      <c r="I49" s="10" t="s">
        <v>5546</v>
      </c>
      <c r="J49" s="7" t="s">
        <v>165</v>
      </c>
    </row>
    <row r="50" customFormat="false" ht="58.5" hidden="false" customHeight="true" outlineLevel="0" collapsed="false">
      <c r="A50" s="7" t="s">
        <v>1918</v>
      </c>
      <c r="B50" s="7" t="s">
        <v>1919</v>
      </c>
      <c r="C50" s="7" t="s">
        <v>1920</v>
      </c>
      <c r="D50" s="7" t="s">
        <v>163</v>
      </c>
      <c r="E50" s="7" t="s">
        <v>5542</v>
      </c>
      <c r="F50" s="7" t="s">
        <v>7532</v>
      </c>
      <c r="G50" s="7" t="s">
        <v>7533</v>
      </c>
      <c r="H50" s="7" t="s">
        <v>7501</v>
      </c>
      <c r="I50" s="10" t="s">
        <v>5546</v>
      </c>
      <c r="J50" s="7" t="s">
        <v>165</v>
      </c>
    </row>
    <row r="51" customFormat="false" ht="58.5" hidden="false" customHeight="true" outlineLevel="0" collapsed="false">
      <c r="A51" s="7" t="s">
        <v>2229</v>
      </c>
      <c r="B51" s="7" t="s">
        <v>2230</v>
      </c>
      <c r="C51" s="7" t="s">
        <v>2231</v>
      </c>
      <c r="D51" s="7" t="s">
        <v>163</v>
      </c>
      <c r="E51" s="7" t="s">
        <v>5542</v>
      </c>
      <c r="F51" s="7" t="s">
        <v>7534</v>
      </c>
      <c r="G51" s="7" t="s">
        <v>7535</v>
      </c>
      <c r="H51" s="7" t="s">
        <v>7501</v>
      </c>
      <c r="I51" s="10" t="s">
        <v>5546</v>
      </c>
      <c r="J51" s="7" t="s">
        <v>165</v>
      </c>
    </row>
    <row r="52" customFormat="false" ht="39" hidden="false" customHeight="true" outlineLevel="0" collapsed="false">
      <c r="A52" s="7" t="s">
        <v>2234</v>
      </c>
      <c r="B52" s="7" t="s">
        <v>2235</v>
      </c>
      <c r="C52" s="7" t="s">
        <v>2231</v>
      </c>
      <c r="D52" s="7" t="s">
        <v>2236</v>
      </c>
      <c r="E52" s="7" t="s">
        <v>5542</v>
      </c>
      <c r="F52" s="7" t="s">
        <v>7536</v>
      </c>
      <c r="G52" s="7" t="s">
        <v>7537</v>
      </c>
      <c r="H52" s="7" t="s">
        <v>6076</v>
      </c>
      <c r="I52" s="10" t="s">
        <v>5546</v>
      </c>
      <c r="J52" s="7" t="s">
        <v>882</v>
      </c>
    </row>
    <row r="53" customFormat="false" ht="39" hidden="false" customHeight="true" outlineLevel="0" collapsed="false">
      <c r="A53" s="7" t="s">
        <v>2254</v>
      </c>
      <c r="B53" s="7" t="s">
        <v>2255</v>
      </c>
      <c r="C53" s="7" t="s">
        <v>2231</v>
      </c>
      <c r="D53" s="7" t="s">
        <v>2256</v>
      </c>
      <c r="E53" s="7" t="s">
        <v>5542</v>
      </c>
      <c r="F53" s="7" t="s">
        <v>7538</v>
      </c>
      <c r="G53" s="7" t="s">
        <v>7539</v>
      </c>
      <c r="H53" s="7" t="s">
        <v>6080</v>
      </c>
      <c r="I53" s="10" t="s">
        <v>5546</v>
      </c>
      <c r="J53" s="7" t="s">
        <v>1730</v>
      </c>
    </row>
    <row r="54" customFormat="false" ht="58.5" hidden="false" customHeight="true" outlineLevel="0" collapsed="false">
      <c r="A54" s="7" t="s">
        <v>2274</v>
      </c>
      <c r="B54" s="7" t="s">
        <v>2275</v>
      </c>
      <c r="C54" s="7" t="s">
        <v>2231</v>
      </c>
      <c r="D54" s="7" t="s">
        <v>2276</v>
      </c>
      <c r="E54" s="7" t="s">
        <v>5542</v>
      </c>
      <c r="F54" s="7" t="s">
        <v>7540</v>
      </c>
      <c r="G54" s="7" t="s">
        <v>7541</v>
      </c>
      <c r="H54" s="7" t="s">
        <v>7542</v>
      </c>
      <c r="I54" s="12" t="s">
        <v>5562</v>
      </c>
      <c r="J54" s="7" t="s">
        <v>2278</v>
      </c>
    </row>
    <row r="55" customFormat="false" ht="58.5" hidden="false" customHeight="true" outlineLevel="0" collapsed="false">
      <c r="A55" s="7" t="s">
        <v>2369</v>
      </c>
      <c r="B55" s="7" t="s">
        <v>2370</v>
      </c>
      <c r="C55" s="7" t="s">
        <v>2231</v>
      </c>
      <c r="D55" s="7" t="s">
        <v>2371</v>
      </c>
      <c r="E55" s="7" t="s">
        <v>5542</v>
      </c>
      <c r="F55" s="7" t="s">
        <v>7543</v>
      </c>
      <c r="G55" s="7" t="s">
        <v>7544</v>
      </c>
      <c r="H55" s="7" t="s">
        <v>7545</v>
      </c>
      <c r="I55" s="10" t="s">
        <v>5546</v>
      </c>
      <c r="J55" s="7" t="s">
        <v>2373</v>
      </c>
    </row>
    <row r="56" customFormat="false" ht="39" hidden="false" customHeight="true" outlineLevel="0" collapsed="false">
      <c r="A56" s="7" t="s">
        <v>2404</v>
      </c>
      <c r="B56" s="7" t="s">
        <v>2405</v>
      </c>
      <c r="C56" s="7" t="s">
        <v>2231</v>
      </c>
      <c r="D56" s="7" t="s">
        <v>2406</v>
      </c>
      <c r="E56" s="7" t="s">
        <v>5542</v>
      </c>
      <c r="F56" s="7" t="s">
        <v>7546</v>
      </c>
      <c r="G56" s="7" t="s">
        <v>7547</v>
      </c>
      <c r="H56" s="7" t="s">
        <v>7548</v>
      </c>
      <c r="I56" s="10" t="s">
        <v>5546</v>
      </c>
      <c r="J56" s="7" t="s">
        <v>2407</v>
      </c>
    </row>
    <row r="57" customFormat="false" ht="58.5" hidden="false" customHeight="true" outlineLevel="0" collapsed="false">
      <c r="A57" s="7" t="s">
        <v>2439</v>
      </c>
      <c r="B57" s="7" t="s">
        <v>2440</v>
      </c>
      <c r="C57" s="7" t="s">
        <v>2441</v>
      </c>
      <c r="D57" s="7" t="s">
        <v>163</v>
      </c>
      <c r="E57" s="7" t="s">
        <v>5542</v>
      </c>
      <c r="F57" s="7" t="s">
        <v>7549</v>
      </c>
      <c r="G57" s="7" t="s">
        <v>7550</v>
      </c>
      <c r="H57" s="7" t="s">
        <v>7501</v>
      </c>
      <c r="I57" s="10" t="s">
        <v>5546</v>
      </c>
      <c r="J57" s="7" t="s">
        <v>165</v>
      </c>
    </row>
    <row r="58" customFormat="false" ht="58.5" hidden="false" customHeight="true" outlineLevel="0" collapsed="false">
      <c r="A58" s="7" t="s">
        <v>2686</v>
      </c>
      <c r="B58" s="7" t="s">
        <v>2687</v>
      </c>
      <c r="C58" s="7" t="s">
        <v>2688</v>
      </c>
      <c r="D58" s="7" t="s">
        <v>163</v>
      </c>
      <c r="E58" s="7" t="s">
        <v>5542</v>
      </c>
      <c r="F58" s="7" t="s">
        <v>7551</v>
      </c>
      <c r="G58" s="7" t="s">
        <v>7552</v>
      </c>
      <c r="H58" s="7" t="s">
        <v>7501</v>
      </c>
      <c r="I58" s="10" t="s">
        <v>5546</v>
      </c>
      <c r="J58" s="7" t="s">
        <v>165</v>
      </c>
    </row>
    <row r="59" customFormat="false" ht="58.5" hidden="false" customHeight="true" outlineLevel="0" collapsed="false">
      <c r="A59" s="7" t="s">
        <v>2945</v>
      </c>
      <c r="B59" s="7" t="s">
        <v>2946</v>
      </c>
      <c r="C59" s="7" t="s">
        <v>2947</v>
      </c>
      <c r="D59" s="7" t="s">
        <v>163</v>
      </c>
      <c r="E59" s="7" t="s">
        <v>5542</v>
      </c>
      <c r="F59" s="7" t="s">
        <v>7553</v>
      </c>
      <c r="G59" s="7" t="s">
        <v>7554</v>
      </c>
      <c r="H59" s="7" t="s">
        <v>7501</v>
      </c>
      <c r="I59" s="10" t="s">
        <v>5546</v>
      </c>
      <c r="J59" s="7" t="s">
        <v>165</v>
      </c>
    </row>
    <row r="60" customFormat="false" ht="39" hidden="false" customHeight="true" outlineLevel="0" collapsed="false">
      <c r="A60" s="7" t="s">
        <v>2950</v>
      </c>
      <c r="B60" s="7" t="s">
        <v>2951</v>
      </c>
      <c r="C60" s="7" t="s">
        <v>2947</v>
      </c>
      <c r="D60" s="7" t="s">
        <v>2952</v>
      </c>
      <c r="E60" s="7" t="s">
        <v>5542</v>
      </c>
      <c r="F60" s="7" t="s">
        <v>7555</v>
      </c>
      <c r="G60" s="7" t="s">
        <v>7556</v>
      </c>
      <c r="H60" s="7" t="s">
        <v>7557</v>
      </c>
      <c r="I60" s="10" t="s">
        <v>5546</v>
      </c>
      <c r="J60" s="7" t="s">
        <v>165</v>
      </c>
    </row>
    <row r="61" customFormat="false" ht="39" hidden="false" customHeight="true" outlineLevel="0" collapsed="false">
      <c r="A61" s="7" t="s">
        <v>2955</v>
      </c>
      <c r="B61" s="7" t="s">
        <v>2956</v>
      </c>
      <c r="C61" s="7" t="s">
        <v>2947</v>
      </c>
      <c r="D61" s="7" t="s">
        <v>2957</v>
      </c>
      <c r="E61" s="7" t="s">
        <v>5542</v>
      </c>
      <c r="F61" s="7" t="s">
        <v>7558</v>
      </c>
      <c r="G61" s="7" t="s">
        <v>7559</v>
      </c>
      <c r="H61" s="7" t="s">
        <v>7560</v>
      </c>
      <c r="I61" s="10" t="s">
        <v>5546</v>
      </c>
      <c r="J61" s="7" t="s">
        <v>845</v>
      </c>
    </row>
    <row r="62" customFormat="false" ht="39" hidden="false" customHeight="true" outlineLevel="0" collapsed="false">
      <c r="A62" s="7" t="s">
        <v>3001</v>
      </c>
      <c r="B62" s="7" t="s">
        <v>3002</v>
      </c>
      <c r="C62" s="7" t="s">
        <v>3003</v>
      </c>
      <c r="D62" s="7" t="s">
        <v>3004</v>
      </c>
      <c r="E62" s="7" t="s">
        <v>5542</v>
      </c>
      <c r="F62" s="7" t="s">
        <v>7561</v>
      </c>
      <c r="G62" s="7" t="s">
        <v>7562</v>
      </c>
      <c r="H62" s="7" t="s">
        <v>7563</v>
      </c>
      <c r="I62" s="10" t="s">
        <v>5546</v>
      </c>
      <c r="J62" s="7" t="s">
        <v>165</v>
      </c>
    </row>
    <row r="63" customFormat="false" ht="39" hidden="false" customHeight="true" outlineLevel="0" collapsed="false">
      <c r="A63" s="7" t="s">
        <v>3027</v>
      </c>
      <c r="B63" s="7" t="s">
        <v>3028</v>
      </c>
      <c r="C63" s="7" t="s">
        <v>3003</v>
      </c>
      <c r="D63" s="7" t="s">
        <v>3029</v>
      </c>
      <c r="E63" s="7" t="s">
        <v>5542</v>
      </c>
      <c r="F63" s="7" t="s">
        <v>7564</v>
      </c>
      <c r="G63" s="7" t="s">
        <v>7565</v>
      </c>
      <c r="H63" s="7" t="s">
        <v>7566</v>
      </c>
      <c r="I63" s="10" t="s">
        <v>5546</v>
      </c>
      <c r="J63" s="7" t="s">
        <v>3030</v>
      </c>
    </row>
    <row r="64" customFormat="false" ht="39" hidden="false" customHeight="true" outlineLevel="0" collapsed="false">
      <c r="A64" s="7" t="s">
        <v>3067</v>
      </c>
      <c r="B64" s="7" t="s">
        <v>3068</v>
      </c>
      <c r="C64" s="7" t="s">
        <v>3003</v>
      </c>
      <c r="D64" s="7" t="s">
        <v>3069</v>
      </c>
      <c r="E64" s="7" t="s">
        <v>5542</v>
      </c>
      <c r="F64" s="7" t="s">
        <v>7567</v>
      </c>
      <c r="G64" s="7" t="s">
        <v>7568</v>
      </c>
      <c r="H64" s="7" t="s">
        <v>7569</v>
      </c>
      <c r="I64" s="10" t="s">
        <v>5546</v>
      </c>
      <c r="J64" s="7" t="s">
        <v>3070</v>
      </c>
    </row>
    <row r="65" customFormat="false" ht="58.5" hidden="false" customHeight="true" outlineLevel="0" collapsed="false">
      <c r="A65" s="7" t="s">
        <v>3223</v>
      </c>
      <c r="B65" s="7" t="s">
        <v>3224</v>
      </c>
      <c r="C65" s="7" t="s">
        <v>3225</v>
      </c>
      <c r="D65" s="7" t="s">
        <v>163</v>
      </c>
      <c r="E65" s="7" t="s">
        <v>5542</v>
      </c>
      <c r="F65" s="7" t="s">
        <v>7570</v>
      </c>
      <c r="G65" s="7" t="s">
        <v>7571</v>
      </c>
      <c r="H65" s="7" t="s">
        <v>7501</v>
      </c>
      <c r="I65" s="10" t="s">
        <v>5546</v>
      </c>
      <c r="J65" s="7" t="s">
        <v>165</v>
      </c>
    </row>
    <row r="66" customFormat="false" ht="39" hidden="false" customHeight="true" outlineLevel="0" collapsed="false">
      <c r="A66" s="7" t="s">
        <v>3233</v>
      </c>
      <c r="B66" s="7" t="s">
        <v>3234</v>
      </c>
      <c r="C66" s="7" t="s">
        <v>3225</v>
      </c>
      <c r="D66" s="7" t="s">
        <v>3235</v>
      </c>
      <c r="E66" s="7" t="s">
        <v>5542</v>
      </c>
      <c r="F66" s="7" t="s">
        <v>7572</v>
      </c>
      <c r="G66" s="7" t="s">
        <v>7573</v>
      </c>
      <c r="H66" s="7" t="s">
        <v>6266</v>
      </c>
      <c r="I66" s="10" t="s">
        <v>5546</v>
      </c>
      <c r="J66" s="7" t="s">
        <v>3091</v>
      </c>
    </row>
    <row r="67" customFormat="false" ht="39" hidden="false" customHeight="true" outlineLevel="0" collapsed="false">
      <c r="A67" s="7" t="s">
        <v>3278</v>
      </c>
      <c r="B67" s="7" t="s">
        <v>3279</v>
      </c>
      <c r="C67" s="7" t="s">
        <v>3225</v>
      </c>
      <c r="D67" s="7" t="s">
        <v>3280</v>
      </c>
      <c r="E67" s="7" t="s">
        <v>5542</v>
      </c>
      <c r="F67" s="7" t="s">
        <v>7574</v>
      </c>
      <c r="G67" s="7" t="s">
        <v>7575</v>
      </c>
      <c r="H67" s="7" t="s">
        <v>7576</v>
      </c>
      <c r="I67" s="10" t="s">
        <v>5546</v>
      </c>
      <c r="J67" s="7" t="s">
        <v>3091</v>
      </c>
    </row>
    <row r="68" customFormat="false" ht="58.5" hidden="false" customHeight="true" outlineLevel="0" collapsed="false">
      <c r="A68" s="7" t="s">
        <v>3308</v>
      </c>
      <c r="B68" s="7" t="s">
        <v>3309</v>
      </c>
      <c r="C68" s="7" t="s">
        <v>3310</v>
      </c>
      <c r="D68" s="7" t="s">
        <v>163</v>
      </c>
      <c r="E68" s="7" t="s">
        <v>5542</v>
      </c>
      <c r="F68" s="7" t="s">
        <v>7577</v>
      </c>
      <c r="G68" s="7" t="s">
        <v>7578</v>
      </c>
      <c r="H68" s="7" t="s">
        <v>7501</v>
      </c>
      <c r="I68" s="10" t="s">
        <v>5546</v>
      </c>
      <c r="J68" s="7" t="s">
        <v>165</v>
      </c>
    </row>
    <row r="69" customFormat="false" ht="39" hidden="false" customHeight="true" outlineLevel="0" collapsed="false">
      <c r="A69" s="7" t="s">
        <v>3313</v>
      </c>
      <c r="B69" s="7" t="s">
        <v>3314</v>
      </c>
      <c r="C69" s="7" t="s">
        <v>3310</v>
      </c>
      <c r="D69" s="7" t="s">
        <v>3315</v>
      </c>
      <c r="E69" s="7" t="s">
        <v>5542</v>
      </c>
      <c r="F69" s="7" t="s">
        <v>7579</v>
      </c>
      <c r="G69" s="7" t="s">
        <v>7580</v>
      </c>
      <c r="H69" s="7" t="s">
        <v>7581</v>
      </c>
      <c r="I69" s="10" t="s">
        <v>5546</v>
      </c>
      <c r="J69" s="7" t="s">
        <v>3153</v>
      </c>
    </row>
    <row r="70" customFormat="false" ht="58.5" hidden="false" customHeight="true" outlineLevel="0" collapsed="false">
      <c r="A70" s="7" t="s">
        <v>3413</v>
      </c>
      <c r="B70" s="7" t="s">
        <v>3414</v>
      </c>
      <c r="C70" s="7" t="s">
        <v>3415</v>
      </c>
      <c r="D70" s="7" t="s">
        <v>163</v>
      </c>
      <c r="E70" s="7" t="s">
        <v>5542</v>
      </c>
      <c r="F70" s="7" t="s">
        <v>7582</v>
      </c>
      <c r="G70" s="7" t="s">
        <v>7583</v>
      </c>
      <c r="H70" s="7" t="s">
        <v>7501</v>
      </c>
      <c r="I70" s="10" t="s">
        <v>5546</v>
      </c>
      <c r="J70" s="7" t="s">
        <v>165</v>
      </c>
    </row>
    <row r="71" customFormat="false" ht="39" hidden="false" customHeight="true" outlineLevel="0" collapsed="false">
      <c r="A71" s="7" t="s">
        <v>3418</v>
      </c>
      <c r="B71" s="7" t="s">
        <v>3419</v>
      </c>
      <c r="C71" s="7" t="s">
        <v>3415</v>
      </c>
      <c r="D71" s="7" t="s">
        <v>3420</v>
      </c>
      <c r="E71" s="7" t="s">
        <v>5542</v>
      </c>
      <c r="F71" s="7" t="s">
        <v>7584</v>
      </c>
      <c r="G71" s="7" t="s">
        <v>7585</v>
      </c>
      <c r="H71" s="7" t="s">
        <v>7586</v>
      </c>
      <c r="I71" s="10" t="s">
        <v>5546</v>
      </c>
      <c r="J71" s="7" t="s">
        <v>3421</v>
      </c>
    </row>
    <row r="72" customFormat="false" ht="39" hidden="false" customHeight="true" outlineLevel="0" collapsed="false">
      <c r="A72" s="7" t="s">
        <v>3430</v>
      </c>
      <c r="B72" s="7" t="s">
        <v>3431</v>
      </c>
      <c r="C72" s="7" t="s">
        <v>3415</v>
      </c>
      <c r="D72" s="7" t="s">
        <v>3432</v>
      </c>
      <c r="E72" s="7" t="s">
        <v>5542</v>
      </c>
      <c r="F72" s="7" t="s">
        <v>7587</v>
      </c>
      <c r="G72" s="7" t="s">
        <v>7588</v>
      </c>
      <c r="H72" s="7" t="s">
        <v>6137</v>
      </c>
      <c r="I72" s="10" t="s">
        <v>5546</v>
      </c>
      <c r="J72" s="7" t="s">
        <v>3433</v>
      </c>
    </row>
    <row r="73" customFormat="false" ht="39" hidden="false" customHeight="true" outlineLevel="0" collapsed="false">
      <c r="A73" s="7" t="s">
        <v>3512</v>
      </c>
      <c r="B73" s="7" t="s">
        <v>3513</v>
      </c>
      <c r="C73" s="7" t="s">
        <v>3415</v>
      </c>
      <c r="D73" s="7" t="s">
        <v>3514</v>
      </c>
      <c r="E73" s="7" t="s">
        <v>5542</v>
      </c>
      <c r="F73" s="7" t="s">
        <v>7589</v>
      </c>
      <c r="G73" s="7" t="s">
        <v>6167</v>
      </c>
      <c r="H73" s="7" t="s">
        <v>7590</v>
      </c>
      <c r="I73" s="10" t="s">
        <v>5546</v>
      </c>
      <c r="J73" s="7" t="s">
        <v>3515</v>
      </c>
    </row>
    <row r="74" customFormat="false" ht="58.5" hidden="false" customHeight="true" outlineLevel="0" collapsed="false">
      <c r="A74" s="7" t="s">
        <v>3529</v>
      </c>
      <c r="B74" s="7" t="s">
        <v>3530</v>
      </c>
      <c r="C74" s="7" t="s">
        <v>3531</v>
      </c>
      <c r="D74" s="7" t="s">
        <v>163</v>
      </c>
      <c r="E74" s="7" t="s">
        <v>5542</v>
      </c>
      <c r="F74" s="7" t="s">
        <v>7591</v>
      </c>
      <c r="G74" s="7" t="s">
        <v>7592</v>
      </c>
      <c r="H74" s="7" t="s">
        <v>7501</v>
      </c>
      <c r="I74" s="10" t="s">
        <v>5546</v>
      </c>
      <c r="J74" s="7" t="s">
        <v>165</v>
      </c>
    </row>
    <row r="75" customFormat="false" ht="58.5" hidden="false" customHeight="true" outlineLevel="0" collapsed="false">
      <c r="A75" s="7" t="s">
        <v>4079</v>
      </c>
      <c r="B75" s="7" t="s">
        <v>4080</v>
      </c>
      <c r="C75" s="7" t="s">
        <v>4081</v>
      </c>
      <c r="D75" s="7" t="s">
        <v>163</v>
      </c>
      <c r="E75" s="7" t="s">
        <v>5542</v>
      </c>
      <c r="F75" s="7" t="s">
        <v>7593</v>
      </c>
      <c r="G75" s="7" t="s">
        <v>7594</v>
      </c>
      <c r="H75" s="7" t="s">
        <v>7501</v>
      </c>
      <c r="I75" s="10" t="s">
        <v>5546</v>
      </c>
      <c r="J75" s="7" t="s">
        <v>165</v>
      </c>
    </row>
    <row r="76" customFormat="false" ht="58.5" hidden="false" customHeight="true" outlineLevel="0" collapsed="false">
      <c r="A76" s="7" t="s">
        <v>4772</v>
      </c>
      <c r="B76" s="7" t="s">
        <v>4773</v>
      </c>
      <c r="C76" s="7" t="s">
        <v>4774</v>
      </c>
      <c r="D76" s="7" t="s">
        <v>163</v>
      </c>
      <c r="E76" s="7" t="s">
        <v>5542</v>
      </c>
      <c r="F76" s="7" t="s">
        <v>7595</v>
      </c>
      <c r="G76" s="7" t="s">
        <v>7596</v>
      </c>
      <c r="H76" s="7" t="s">
        <v>7501</v>
      </c>
      <c r="I76" s="10" t="s">
        <v>5546</v>
      </c>
      <c r="J76" s="7" t="s">
        <v>165</v>
      </c>
    </row>
    <row r="77" customFormat="false" ht="39" hidden="false" customHeight="true" outlineLevel="0" collapsed="false">
      <c r="A77" s="7" t="s">
        <v>4954</v>
      </c>
      <c r="B77" s="7" t="s">
        <v>4955</v>
      </c>
      <c r="C77" s="7" t="s">
        <v>4774</v>
      </c>
      <c r="D77" s="7" t="s">
        <v>4956</v>
      </c>
      <c r="E77" s="7" t="s">
        <v>5542</v>
      </c>
      <c r="F77" s="7" t="s">
        <v>7597</v>
      </c>
      <c r="G77" s="7" t="s">
        <v>7598</v>
      </c>
      <c r="H77" s="7" t="s">
        <v>7404</v>
      </c>
      <c r="I77" s="12" t="s">
        <v>5562</v>
      </c>
      <c r="J77" s="7" t="s">
        <v>3108</v>
      </c>
    </row>
    <row r="78" customFormat="false" ht="58.5" hidden="false" customHeight="true" outlineLevel="0" collapsed="false">
      <c r="A78" s="7" t="s">
        <v>5301</v>
      </c>
      <c r="B78" s="7" t="s">
        <v>5302</v>
      </c>
      <c r="C78" s="7" t="s">
        <v>5303</v>
      </c>
      <c r="D78" s="7" t="s">
        <v>163</v>
      </c>
      <c r="E78" s="7" t="s">
        <v>5542</v>
      </c>
      <c r="F78" s="7" t="s">
        <v>7599</v>
      </c>
      <c r="G78" s="7" t="s">
        <v>7600</v>
      </c>
      <c r="H78" s="7" t="s">
        <v>7501</v>
      </c>
      <c r="I78" s="10" t="s">
        <v>5546</v>
      </c>
      <c r="J78" s="7" t="s">
        <v>165</v>
      </c>
    </row>
  </sheetData>
  <autoFilter ref="A36:J78"/>
  <mergeCells count="31">
    <mergeCell ref="A1:J1"/>
    <mergeCell ref="A2:J2"/>
    <mergeCell ref="A3:J3"/>
    <mergeCell ref="A4:J4"/>
    <mergeCell ref="A5:J5"/>
    <mergeCell ref="A7:J7"/>
    <mergeCell ref="A8:J8"/>
    <mergeCell ref="A9:J9"/>
    <mergeCell ref="A10:J10"/>
    <mergeCell ref="A11:J11"/>
    <mergeCell ref="A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44"/>
    <col collapsed="false" customWidth="true" hidden="false" outlineLevel="0" max="5" min="5" style="1" width="15"/>
    <col collapsed="false" customWidth="true" hidden="false" outlineLevel="0" max="6" min="6" style="1" width="62"/>
    <col collapsed="false" customWidth="true" hidden="false" outlineLevel="0" max="7" min="7" style="1" width="58"/>
    <col collapsed="false" customWidth="true" hidden="false" outlineLevel="0" max="8" min="8" style="1" width="36"/>
    <col collapsed="false" customWidth="true" hidden="false" outlineLevel="0" max="9" min="9" style="1" width="18"/>
    <col collapsed="false" customWidth="true" hidden="false" outlineLevel="0" max="10" min="10" style="1" width="16"/>
  </cols>
  <sheetData>
    <row r="1" customFormat="false" ht="31.5" hidden="false" customHeight="true" outlineLevel="0" collapsed="false">
      <c r="A1" s="2" t="s">
        <v>7601</v>
      </c>
      <c r="B1" s="2"/>
      <c r="C1" s="2"/>
      <c r="D1" s="2"/>
      <c r="E1" s="2"/>
      <c r="F1" s="2"/>
      <c r="G1" s="2"/>
      <c r="H1" s="2"/>
      <c r="I1" s="2"/>
      <c r="J1" s="2"/>
    </row>
    <row r="2" customFormat="false" ht="45.75" hidden="false" customHeight="true" outlineLevel="0" collapsed="false">
      <c r="A2" s="3" t="s">
        <v>7602</v>
      </c>
      <c r="B2" s="3"/>
      <c r="C2" s="3"/>
      <c r="D2" s="3"/>
      <c r="E2" s="3"/>
      <c r="F2" s="3"/>
      <c r="G2" s="3"/>
      <c r="H2" s="3"/>
      <c r="I2" s="3"/>
      <c r="J2" s="3"/>
    </row>
    <row r="3" customFormat="false" ht="45.75" hidden="false" customHeight="true" outlineLevel="0" collapsed="false">
      <c r="A3" s="3" t="s">
        <v>7603</v>
      </c>
      <c r="B3" s="3"/>
      <c r="C3" s="3"/>
      <c r="D3" s="3"/>
      <c r="E3" s="3"/>
      <c r="F3" s="3"/>
      <c r="G3" s="3"/>
      <c r="H3" s="3"/>
      <c r="I3" s="3"/>
      <c r="J3" s="3"/>
    </row>
    <row r="4" customFormat="false" ht="45.75" hidden="false" customHeight="true" outlineLevel="0" collapsed="false">
      <c r="A4" s="3" t="s">
        <v>6781</v>
      </c>
      <c r="B4" s="3"/>
      <c r="C4" s="3"/>
      <c r="D4" s="3"/>
      <c r="E4" s="3"/>
      <c r="F4" s="3"/>
      <c r="G4" s="3"/>
      <c r="H4" s="3"/>
      <c r="I4" s="3"/>
      <c r="J4" s="3"/>
    </row>
    <row r="5" customFormat="false" ht="45.75" hidden="false" customHeight="true" outlineLevel="0" collapsed="false">
      <c r="A5" s="3" t="s">
        <v>7604</v>
      </c>
      <c r="B5" s="3"/>
      <c r="C5" s="3"/>
      <c r="D5" s="3"/>
      <c r="E5" s="3"/>
      <c r="F5" s="3"/>
      <c r="G5" s="3"/>
      <c r="H5" s="3"/>
      <c r="I5" s="3"/>
      <c r="J5" s="3"/>
    </row>
    <row r="6" customFormat="false" ht="17.25" hidden="false" customHeight="true" outlineLevel="0" collapsed="false"/>
    <row r="7" customFormat="false" ht="18" hidden="false" customHeight="true" outlineLevel="0" collapsed="false">
      <c r="A7" s="26" t="s">
        <v>5514</v>
      </c>
      <c r="B7" s="26"/>
      <c r="C7" s="26"/>
      <c r="D7" s="26"/>
      <c r="E7" s="26"/>
      <c r="F7" s="26"/>
      <c r="G7" s="26"/>
      <c r="H7" s="26"/>
      <c r="I7" s="26"/>
      <c r="J7" s="26"/>
    </row>
    <row r="8" customFormat="false" ht="24" hidden="false" customHeight="true" outlineLevel="0" collapsed="false">
      <c r="A8" s="3" t="s">
        <v>5515</v>
      </c>
      <c r="B8" s="3"/>
      <c r="C8" s="3"/>
      <c r="D8" s="3"/>
      <c r="E8" s="3"/>
      <c r="F8" s="3"/>
      <c r="G8" s="3"/>
      <c r="H8" s="3"/>
      <c r="I8" s="3"/>
      <c r="J8" s="3"/>
    </row>
    <row r="9" customFormat="false" ht="24" hidden="false" customHeight="true" outlineLevel="0" collapsed="false">
      <c r="A9" s="3" t="s">
        <v>5516</v>
      </c>
      <c r="B9" s="3"/>
      <c r="C9" s="3"/>
      <c r="D9" s="3"/>
      <c r="E9" s="3"/>
      <c r="F9" s="3"/>
      <c r="G9" s="3"/>
      <c r="H9" s="3"/>
      <c r="I9" s="3"/>
      <c r="J9" s="3"/>
    </row>
    <row r="10" customFormat="false" ht="24" hidden="false" customHeight="true" outlineLevel="0" collapsed="false">
      <c r="A10" s="3" t="s">
        <v>5517</v>
      </c>
      <c r="B10" s="3"/>
      <c r="C10" s="3"/>
      <c r="D10" s="3"/>
      <c r="E10" s="3"/>
      <c r="F10" s="3"/>
      <c r="G10" s="3"/>
      <c r="H10" s="3"/>
      <c r="I10" s="3"/>
      <c r="J10" s="3"/>
    </row>
    <row r="11" customFormat="false" ht="24" hidden="false" customHeight="true" outlineLevel="0" collapsed="false">
      <c r="A11" s="3" t="s">
        <v>5518</v>
      </c>
      <c r="B11" s="3"/>
      <c r="C11" s="3"/>
      <c r="D11" s="3"/>
      <c r="E11" s="3"/>
      <c r="F11" s="3"/>
      <c r="G11" s="3"/>
      <c r="H11" s="3"/>
      <c r="I11" s="3"/>
      <c r="J11" s="3"/>
    </row>
    <row r="12" customFormat="false" ht="17.25" hidden="false" customHeight="true" outlineLevel="0" collapsed="false"/>
    <row r="13" customFormat="false" ht="27.75" hidden="false" customHeight="true" outlineLevel="0" collapsed="false">
      <c r="A13" s="5" t="s">
        <v>5519</v>
      </c>
      <c r="B13" s="5"/>
      <c r="C13" s="5"/>
      <c r="D13" s="5"/>
      <c r="E13" s="5"/>
      <c r="F13" s="5"/>
      <c r="G13" s="5"/>
      <c r="H13" s="5"/>
      <c r="I13" s="5"/>
      <c r="J13" s="5"/>
    </row>
    <row r="14" customFormat="false" ht="18" hidden="false" customHeight="true" outlineLevel="0" collapsed="false">
      <c r="A14" s="6" t="s">
        <v>5520</v>
      </c>
      <c r="B14" s="6" t="s">
        <v>5521</v>
      </c>
      <c r="C14" s="6" t="s">
        <v>132</v>
      </c>
      <c r="D14" s="6" t="s">
        <v>138</v>
      </c>
      <c r="E14" s="6" t="s">
        <v>144</v>
      </c>
      <c r="F14" s="6" t="s">
        <v>5522</v>
      </c>
      <c r="G14" s="6"/>
      <c r="H14" s="6"/>
      <c r="I14" s="6"/>
      <c r="J14" s="6"/>
    </row>
    <row r="15" customFormat="false" ht="31.5" hidden="false" customHeight="true" outlineLevel="0" collapsed="false">
      <c r="A15" s="7" t="s">
        <v>2441</v>
      </c>
      <c r="B15" s="7" t="n">
        <f aca="false">COUNTIF($C$22:$C$47,$A15)</f>
        <v>6</v>
      </c>
      <c r="C15" s="7" t="n">
        <f aca="false">COUNTIFS($C$22:$C$47,$A15,$I$22:$I$47,"Level 1*")</f>
        <v>3</v>
      </c>
      <c r="D15" s="7" t="n">
        <f aca="false">COUNTIFS($C$22:$C$47,$A15,$I$22:$I$47,"Level 2*")</f>
        <v>1</v>
      </c>
      <c r="E15" s="7" t="n">
        <f aca="false">COUNTIFS($C$22:$C$47,$A15,$I$22:$I$47,"Level 3*")</f>
        <v>2</v>
      </c>
      <c r="F15" s="7" t="s">
        <v>7605</v>
      </c>
      <c r="G15" s="7"/>
      <c r="H15" s="7"/>
      <c r="I15" s="7"/>
      <c r="J15" s="7"/>
    </row>
    <row r="16" customFormat="false" ht="31.5" hidden="false" customHeight="true" outlineLevel="0" collapsed="false">
      <c r="A16" s="7" t="s">
        <v>2585</v>
      </c>
      <c r="B16" s="7" t="n">
        <f aca="false">COUNTIF($C$22:$C$47,$A16)</f>
        <v>6</v>
      </c>
      <c r="C16" s="7" t="n">
        <f aca="false">COUNTIFS($C$22:$C$47,$A16,$I$22:$I$47,"Level 1*")</f>
        <v>0</v>
      </c>
      <c r="D16" s="7" t="n">
        <f aca="false">COUNTIFS($C$22:$C$47,$A16,$I$22:$I$47,"Level 2*")</f>
        <v>6</v>
      </c>
      <c r="E16" s="7" t="n">
        <f aca="false">COUNTIFS($C$22:$C$47,$A16,$I$22:$I$47,"Level 3*")</f>
        <v>0</v>
      </c>
      <c r="F16" s="7" t="s">
        <v>7606</v>
      </c>
      <c r="G16" s="7"/>
      <c r="H16" s="7"/>
      <c r="I16" s="7"/>
      <c r="J16" s="7"/>
    </row>
    <row r="17" customFormat="false" ht="45.75" hidden="false" customHeight="true" outlineLevel="0" collapsed="false">
      <c r="A17" s="7" t="s">
        <v>2688</v>
      </c>
      <c r="B17" s="7" t="n">
        <f aca="false">COUNTIF($C$22:$C$47,$A17)</f>
        <v>12</v>
      </c>
      <c r="C17" s="7" t="n">
        <f aca="false">COUNTIFS($C$22:$C$47,$A17,$I$22:$I$47,"Level 1*")</f>
        <v>0</v>
      </c>
      <c r="D17" s="7" t="n">
        <f aca="false">COUNTIFS($C$22:$C$47,$A17,$I$22:$I$47,"Level 2*")</f>
        <v>0</v>
      </c>
      <c r="E17" s="7" t="n">
        <f aca="false">COUNTIFS($C$22:$C$47,$A17,$I$22:$I$47,"Level 3*")</f>
        <v>12</v>
      </c>
      <c r="F17" s="7" t="s">
        <v>7607</v>
      </c>
      <c r="G17" s="7"/>
      <c r="H17" s="7"/>
      <c r="I17" s="7"/>
      <c r="J17" s="7"/>
    </row>
    <row r="18" customFormat="false" ht="31.5" hidden="false" customHeight="true" outlineLevel="0" collapsed="false">
      <c r="A18" s="7" t="s">
        <v>5303</v>
      </c>
      <c r="B18" s="7" t="n">
        <f aca="false">COUNTIF($C$22:$C$47,$A18)</f>
        <v>2</v>
      </c>
      <c r="C18" s="7" t="n">
        <f aca="false">COUNTIFS($C$22:$C$47,$A18,$I$22:$I$47,"Level 1*")</f>
        <v>0</v>
      </c>
      <c r="D18" s="7" t="n">
        <f aca="false">COUNTIFS($C$22:$C$47,$A18,$I$22:$I$47,"Level 2*")</f>
        <v>0</v>
      </c>
      <c r="E18" s="7" t="n">
        <f aca="false">COUNTIFS($C$22:$C$47,$A18,$I$22:$I$47,"Level 3*")</f>
        <v>2</v>
      </c>
      <c r="F18" s="7" t="s">
        <v>7608</v>
      </c>
      <c r="G18" s="7"/>
      <c r="H18" s="7"/>
      <c r="I18" s="7"/>
      <c r="J18" s="7"/>
    </row>
    <row r="19" customFormat="false" ht="18" hidden="false" customHeight="true" outlineLevel="0" collapsed="false">
      <c r="A19" s="22" t="s">
        <v>5446</v>
      </c>
      <c r="B19" s="22" t="n">
        <f aca="false">SUM(B15:B18)</f>
        <v>26</v>
      </c>
      <c r="C19" s="22" t="n">
        <f aca="false">SUM(C15:C18)</f>
        <v>3</v>
      </c>
      <c r="D19" s="22" t="n">
        <f aca="false">SUM(D15:D18)</f>
        <v>7</v>
      </c>
      <c r="E19" s="22" t="n">
        <f aca="false">SUM(E15:E18)</f>
        <v>16</v>
      </c>
    </row>
    <row r="20" customFormat="false" ht="17.25" hidden="false" customHeight="true" outlineLevel="0" collapsed="false"/>
    <row r="21" customFormat="false" ht="39.75" hidden="false" customHeight="true" outlineLevel="0" collapsed="false">
      <c r="A21" s="8" t="s">
        <v>150</v>
      </c>
      <c r="B21" s="8" t="s">
        <v>151</v>
      </c>
      <c r="C21" s="8" t="s">
        <v>10</v>
      </c>
      <c r="D21" s="8" t="s">
        <v>152</v>
      </c>
      <c r="E21" s="8" t="s">
        <v>5534</v>
      </c>
      <c r="F21" s="8" t="s">
        <v>5535</v>
      </c>
      <c r="G21" s="8" t="s">
        <v>5536</v>
      </c>
      <c r="H21" s="8" t="s">
        <v>5537</v>
      </c>
      <c r="I21" s="8" t="s">
        <v>126</v>
      </c>
      <c r="J21" s="8" t="s">
        <v>154</v>
      </c>
    </row>
    <row r="22" customFormat="false" ht="58.5" hidden="false" customHeight="true" outlineLevel="0" collapsed="false">
      <c r="A22" s="7" t="s">
        <v>2444</v>
      </c>
      <c r="B22" s="7" t="s">
        <v>2445</v>
      </c>
      <c r="C22" s="7" t="s">
        <v>2441</v>
      </c>
      <c r="D22" s="7" t="s">
        <v>2446</v>
      </c>
      <c r="E22" s="7" t="s">
        <v>5542</v>
      </c>
      <c r="F22" s="7" t="s">
        <v>7609</v>
      </c>
      <c r="G22" s="7" t="s">
        <v>7610</v>
      </c>
      <c r="H22" s="7" t="s">
        <v>7611</v>
      </c>
      <c r="I22" s="10" t="s">
        <v>5546</v>
      </c>
      <c r="J22" s="7" t="s">
        <v>2447</v>
      </c>
    </row>
    <row r="23" customFormat="false" ht="58.5" hidden="false" customHeight="true" outlineLevel="0" collapsed="false">
      <c r="A23" s="7" t="s">
        <v>2492</v>
      </c>
      <c r="B23" s="7" t="s">
        <v>2493</v>
      </c>
      <c r="C23" s="7" t="s">
        <v>2441</v>
      </c>
      <c r="D23" s="7" t="s">
        <v>2494</v>
      </c>
      <c r="E23" s="7" t="s">
        <v>5551</v>
      </c>
      <c r="F23" s="7" t="s">
        <v>7612</v>
      </c>
      <c r="G23" s="7" t="s">
        <v>7613</v>
      </c>
      <c r="H23" s="7" t="s">
        <v>7614</v>
      </c>
      <c r="I23" s="11" t="s">
        <v>5555</v>
      </c>
      <c r="J23" s="7" t="s">
        <v>245</v>
      </c>
    </row>
    <row r="24" customFormat="false" ht="39" hidden="false" customHeight="true" outlineLevel="0" collapsed="false">
      <c r="A24" s="7" t="s">
        <v>2498</v>
      </c>
      <c r="B24" s="7" t="s">
        <v>2499</v>
      </c>
      <c r="C24" s="7" t="s">
        <v>2441</v>
      </c>
      <c r="D24" s="7" t="s">
        <v>2500</v>
      </c>
      <c r="E24" s="7" t="s">
        <v>5573</v>
      </c>
      <c r="F24" s="7" t="s">
        <v>7615</v>
      </c>
      <c r="G24" s="7" t="s">
        <v>7616</v>
      </c>
      <c r="H24" s="7" t="s">
        <v>7617</v>
      </c>
      <c r="I24" s="11" t="s">
        <v>5555</v>
      </c>
      <c r="J24" s="7" t="s">
        <v>245</v>
      </c>
    </row>
    <row r="25" customFormat="false" ht="58.5" hidden="false" customHeight="true" outlineLevel="0" collapsed="false">
      <c r="A25" s="7" t="s">
        <v>2508</v>
      </c>
      <c r="B25" s="7" t="s">
        <v>2509</v>
      </c>
      <c r="C25" s="7" t="s">
        <v>2441</v>
      </c>
      <c r="D25" s="7" t="s">
        <v>2510</v>
      </c>
      <c r="E25" s="7" t="s">
        <v>5551</v>
      </c>
      <c r="F25" s="7" t="s">
        <v>7618</v>
      </c>
      <c r="G25" s="7" t="s">
        <v>7619</v>
      </c>
      <c r="H25" s="7" t="s">
        <v>7620</v>
      </c>
      <c r="I25" s="12" t="s">
        <v>5562</v>
      </c>
      <c r="J25" s="7" t="s">
        <v>245</v>
      </c>
    </row>
    <row r="26" customFormat="false" ht="39" hidden="false" customHeight="true" outlineLevel="0" collapsed="false">
      <c r="A26" s="7" t="s">
        <v>2518</v>
      </c>
      <c r="B26" s="7" t="s">
        <v>2519</v>
      </c>
      <c r="C26" s="7" t="s">
        <v>2441</v>
      </c>
      <c r="D26" s="7" t="s">
        <v>2520</v>
      </c>
      <c r="E26" s="7" t="s">
        <v>5551</v>
      </c>
      <c r="F26" s="7" t="s">
        <v>7621</v>
      </c>
      <c r="G26" s="7" t="s">
        <v>7622</v>
      </c>
      <c r="H26" s="7" t="s">
        <v>7623</v>
      </c>
      <c r="I26" s="11" t="s">
        <v>5555</v>
      </c>
      <c r="J26" s="7" t="s">
        <v>245</v>
      </c>
    </row>
    <row r="27" customFormat="false" ht="39" hidden="false" customHeight="true" outlineLevel="0" collapsed="false">
      <c r="A27" s="7" t="s">
        <v>2528</v>
      </c>
      <c r="B27" s="7" t="s">
        <v>2529</v>
      </c>
      <c r="C27" s="7" t="s">
        <v>2441</v>
      </c>
      <c r="D27" s="7" t="s">
        <v>2530</v>
      </c>
      <c r="E27" s="7" t="s">
        <v>5542</v>
      </c>
      <c r="F27" s="7" t="s">
        <v>7624</v>
      </c>
      <c r="G27" s="7" t="s">
        <v>7625</v>
      </c>
      <c r="H27" s="7" t="s">
        <v>7626</v>
      </c>
      <c r="I27" s="10" t="s">
        <v>5546</v>
      </c>
      <c r="J27" s="7" t="s">
        <v>245</v>
      </c>
    </row>
    <row r="28" customFormat="false" ht="39" hidden="false" customHeight="true" outlineLevel="0" collapsed="false">
      <c r="A28" s="7" t="s">
        <v>2588</v>
      </c>
      <c r="B28" s="7" t="s">
        <v>2589</v>
      </c>
      <c r="C28" s="7" t="s">
        <v>2585</v>
      </c>
      <c r="D28" s="7" t="s">
        <v>2590</v>
      </c>
      <c r="E28" s="7" t="s">
        <v>5551</v>
      </c>
      <c r="F28" s="7" t="s">
        <v>7627</v>
      </c>
      <c r="G28" s="7" t="s">
        <v>7628</v>
      </c>
      <c r="H28" s="7" t="s">
        <v>7629</v>
      </c>
      <c r="I28" s="12" t="s">
        <v>5562</v>
      </c>
      <c r="J28" s="7" t="s">
        <v>629</v>
      </c>
    </row>
    <row r="29" customFormat="false" ht="39" hidden="false" customHeight="true" outlineLevel="0" collapsed="false">
      <c r="A29" s="7" t="s">
        <v>2598</v>
      </c>
      <c r="B29" s="7" t="s">
        <v>2599</v>
      </c>
      <c r="C29" s="7" t="s">
        <v>2585</v>
      </c>
      <c r="D29" s="7" t="s">
        <v>2600</v>
      </c>
      <c r="E29" s="7" t="s">
        <v>5551</v>
      </c>
      <c r="F29" s="7" t="s">
        <v>7630</v>
      </c>
      <c r="G29" s="7" t="s">
        <v>7631</v>
      </c>
      <c r="H29" s="7" t="s">
        <v>7632</v>
      </c>
      <c r="I29" s="12" t="s">
        <v>5562</v>
      </c>
      <c r="J29" s="7" t="s">
        <v>629</v>
      </c>
    </row>
    <row r="30" customFormat="false" ht="39" hidden="false" customHeight="true" outlineLevel="0" collapsed="false">
      <c r="A30" s="7" t="s">
        <v>2608</v>
      </c>
      <c r="B30" s="7" t="s">
        <v>2609</v>
      </c>
      <c r="C30" s="7" t="s">
        <v>2585</v>
      </c>
      <c r="D30" s="7" t="s">
        <v>2610</v>
      </c>
      <c r="E30" s="7" t="s">
        <v>5542</v>
      </c>
      <c r="F30" s="7" t="s">
        <v>7633</v>
      </c>
      <c r="G30" s="7" t="s">
        <v>7634</v>
      </c>
      <c r="H30" s="7" t="s">
        <v>7635</v>
      </c>
      <c r="I30" s="12" t="s">
        <v>5562</v>
      </c>
      <c r="J30" s="7" t="s">
        <v>2611</v>
      </c>
    </row>
    <row r="31" customFormat="false" ht="39" hidden="false" customHeight="true" outlineLevel="0" collapsed="false">
      <c r="A31" s="7" t="s">
        <v>2620</v>
      </c>
      <c r="B31" s="7" t="s">
        <v>2621</v>
      </c>
      <c r="C31" s="7" t="s">
        <v>2585</v>
      </c>
      <c r="D31" s="7" t="s">
        <v>2622</v>
      </c>
      <c r="E31" s="7" t="s">
        <v>5551</v>
      </c>
      <c r="F31" s="7" t="s">
        <v>7636</v>
      </c>
      <c r="G31" s="7" t="s">
        <v>7637</v>
      </c>
      <c r="H31" s="7" t="s">
        <v>7638</v>
      </c>
      <c r="I31" s="12" t="s">
        <v>5562</v>
      </c>
      <c r="J31" s="7" t="s">
        <v>2611</v>
      </c>
    </row>
    <row r="32" customFormat="false" ht="58.5" hidden="false" customHeight="true" outlineLevel="0" collapsed="false">
      <c r="A32" s="7" t="s">
        <v>2625</v>
      </c>
      <c r="B32" s="7" t="s">
        <v>2626</v>
      </c>
      <c r="C32" s="7" t="s">
        <v>2585</v>
      </c>
      <c r="D32" s="7" t="s">
        <v>2627</v>
      </c>
      <c r="E32" s="7" t="s">
        <v>5542</v>
      </c>
      <c r="F32" s="7" t="s">
        <v>7639</v>
      </c>
      <c r="G32" s="7" t="s">
        <v>7640</v>
      </c>
      <c r="H32" s="7" t="s">
        <v>7641</v>
      </c>
      <c r="I32" s="12" t="s">
        <v>5562</v>
      </c>
      <c r="J32" s="7" t="s">
        <v>2447</v>
      </c>
    </row>
    <row r="33" customFormat="false" ht="39" hidden="false" customHeight="true" outlineLevel="0" collapsed="false">
      <c r="A33" s="7" t="s">
        <v>2656</v>
      </c>
      <c r="B33" s="7" t="s">
        <v>2657</v>
      </c>
      <c r="C33" s="7" t="s">
        <v>2585</v>
      </c>
      <c r="D33" s="7" t="s">
        <v>2658</v>
      </c>
      <c r="E33" s="7" t="s">
        <v>5551</v>
      </c>
      <c r="F33" s="7" t="s">
        <v>7642</v>
      </c>
      <c r="G33" s="7" t="s">
        <v>7643</v>
      </c>
      <c r="H33" s="7" t="s">
        <v>7644</v>
      </c>
      <c r="I33" s="12" t="s">
        <v>5562</v>
      </c>
      <c r="J33" s="7" t="s">
        <v>1621</v>
      </c>
    </row>
    <row r="34" customFormat="false" ht="39" hidden="false" customHeight="true" outlineLevel="0" collapsed="false">
      <c r="A34" s="7" t="s">
        <v>2691</v>
      </c>
      <c r="B34" s="7" t="s">
        <v>2692</v>
      </c>
      <c r="C34" s="7" t="s">
        <v>2688</v>
      </c>
      <c r="D34" s="7" t="s">
        <v>2693</v>
      </c>
      <c r="E34" s="7" t="s">
        <v>5542</v>
      </c>
      <c r="F34" s="7" t="s">
        <v>7645</v>
      </c>
      <c r="G34" s="7" t="s">
        <v>7646</v>
      </c>
      <c r="H34" s="7" t="s">
        <v>7647</v>
      </c>
      <c r="I34" s="10" t="s">
        <v>5546</v>
      </c>
      <c r="J34" s="7" t="s">
        <v>2694</v>
      </c>
    </row>
    <row r="35" customFormat="false" ht="39" hidden="false" customHeight="true" outlineLevel="0" collapsed="false">
      <c r="A35" s="7" t="s">
        <v>2713</v>
      </c>
      <c r="B35" s="7" t="s">
        <v>2714</v>
      </c>
      <c r="C35" s="7" t="s">
        <v>2688</v>
      </c>
      <c r="D35" s="7" t="s">
        <v>2715</v>
      </c>
      <c r="E35" s="7" t="s">
        <v>5551</v>
      </c>
      <c r="F35" s="7" t="s">
        <v>7648</v>
      </c>
      <c r="G35" s="7" t="s">
        <v>7649</v>
      </c>
      <c r="H35" s="7" t="s">
        <v>7650</v>
      </c>
      <c r="I35" s="10" t="s">
        <v>5546</v>
      </c>
      <c r="J35" s="7" t="s">
        <v>2694</v>
      </c>
    </row>
    <row r="36" customFormat="false" ht="39" hidden="false" customHeight="true" outlineLevel="0" collapsed="false">
      <c r="A36" s="7" t="s">
        <v>2763</v>
      </c>
      <c r="B36" s="7" t="s">
        <v>2764</v>
      </c>
      <c r="C36" s="7" t="s">
        <v>2688</v>
      </c>
      <c r="D36" s="7" t="s">
        <v>2765</v>
      </c>
      <c r="E36" s="7" t="s">
        <v>5573</v>
      </c>
      <c r="F36" s="7" t="s">
        <v>7651</v>
      </c>
      <c r="G36" s="7" t="s">
        <v>7652</v>
      </c>
      <c r="H36" s="7" t="s">
        <v>7653</v>
      </c>
      <c r="I36" s="10" t="s">
        <v>5546</v>
      </c>
      <c r="J36" s="7" t="s">
        <v>2766</v>
      </c>
    </row>
    <row r="37" customFormat="false" ht="58.5" hidden="false" customHeight="true" outlineLevel="0" collapsed="false">
      <c r="A37" s="7" t="s">
        <v>2790</v>
      </c>
      <c r="B37" s="7" t="s">
        <v>2791</v>
      </c>
      <c r="C37" s="7" t="s">
        <v>2688</v>
      </c>
      <c r="D37" s="7" t="s">
        <v>2792</v>
      </c>
      <c r="E37" s="7" t="s">
        <v>5542</v>
      </c>
      <c r="F37" s="7" t="s">
        <v>7654</v>
      </c>
      <c r="G37" s="7" t="s">
        <v>7655</v>
      </c>
      <c r="H37" s="7" t="s">
        <v>7656</v>
      </c>
      <c r="I37" s="10" t="s">
        <v>5546</v>
      </c>
      <c r="J37" s="7" t="s">
        <v>2694</v>
      </c>
    </row>
    <row r="38" customFormat="false" ht="39" hidden="false" customHeight="true" outlineLevel="0" collapsed="false">
      <c r="A38" s="7" t="s">
        <v>2805</v>
      </c>
      <c r="B38" s="7" t="s">
        <v>2806</v>
      </c>
      <c r="C38" s="7" t="s">
        <v>2688</v>
      </c>
      <c r="D38" s="7" t="s">
        <v>2807</v>
      </c>
      <c r="E38" s="7" t="s">
        <v>5551</v>
      </c>
      <c r="F38" s="7" t="s">
        <v>7657</v>
      </c>
      <c r="G38" s="7" t="s">
        <v>7658</v>
      </c>
      <c r="H38" s="7" t="s">
        <v>7659</v>
      </c>
      <c r="I38" s="10" t="s">
        <v>5546</v>
      </c>
      <c r="J38" s="7" t="s">
        <v>2808</v>
      </c>
    </row>
    <row r="39" customFormat="false" ht="39" hidden="false" customHeight="true" outlineLevel="0" collapsed="false">
      <c r="A39" s="7" t="s">
        <v>2822</v>
      </c>
      <c r="B39" s="7" t="s">
        <v>2823</v>
      </c>
      <c r="C39" s="7" t="s">
        <v>2688</v>
      </c>
      <c r="D39" s="7" t="s">
        <v>2824</v>
      </c>
      <c r="E39" s="7" t="s">
        <v>5551</v>
      </c>
      <c r="F39" s="7" t="s">
        <v>7660</v>
      </c>
      <c r="G39" s="7" t="s">
        <v>7661</v>
      </c>
      <c r="H39" s="7" t="s">
        <v>7662</v>
      </c>
      <c r="I39" s="10" t="s">
        <v>5546</v>
      </c>
      <c r="J39" s="7" t="s">
        <v>2808</v>
      </c>
    </row>
    <row r="40" customFormat="false" ht="39" hidden="false" customHeight="true" outlineLevel="0" collapsed="false">
      <c r="A40" s="7" t="s">
        <v>2827</v>
      </c>
      <c r="B40" s="7" t="s">
        <v>2828</v>
      </c>
      <c r="C40" s="7" t="s">
        <v>2688</v>
      </c>
      <c r="D40" s="7" t="s">
        <v>2829</v>
      </c>
      <c r="E40" s="7" t="s">
        <v>5551</v>
      </c>
      <c r="F40" s="7" t="s">
        <v>7663</v>
      </c>
      <c r="G40" s="7" t="s">
        <v>7664</v>
      </c>
      <c r="H40" s="7" t="s">
        <v>7665</v>
      </c>
      <c r="I40" s="10" t="s">
        <v>5546</v>
      </c>
      <c r="J40" s="7" t="s">
        <v>2808</v>
      </c>
    </row>
    <row r="41" customFormat="false" ht="39" hidden="false" customHeight="true" outlineLevel="0" collapsed="false">
      <c r="A41" s="7" t="s">
        <v>2852</v>
      </c>
      <c r="B41" s="7" t="s">
        <v>2853</v>
      </c>
      <c r="C41" s="7" t="s">
        <v>2688</v>
      </c>
      <c r="D41" s="7" t="s">
        <v>2854</v>
      </c>
      <c r="E41" s="7" t="s">
        <v>5551</v>
      </c>
      <c r="F41" s="7" t="s">
        <v>7666</v>
      </c>
      <c r="G41" s="7" t="s">
        <v>7667</v>
      </c>
      <c r="H41" s="7" t="s">
        <v>7668</v>
      </c>
      <c r="I41" s="10" t="s">
        <v>5546</v>
      </c>
      <c r="J41" s="7" t="s">
        <v>2808</v>
      </c>
    </row>
    <row r="42" customFormat="false" ht="39" hidden="false" customHeight="true" outlineLevel="0" collapsed="false">
      <c r="A42" s="7" t="s">
        <v>2867</v>
      </c>
      <c r="B42" s="7" t="s">
        <v>2868</v>
      </c>
      <c r="C42" s="7" t="s">
        <v>2688</v>
      </c>
      <c r="D42" s="7" t="s">
        <v>2869</v>
      </c>
      <c r="E42" s="7" t="s">
        <v>5551</v>
      </c>
      <c r="F42" s="7" t="s">
        <v>7669</v>
      </c>
      <c r="G42" s="7" t="s">
        <v>7670</v>
      </c>
      <c r="H42" s="7" t="s">
        <v>7671</v>
      </c>
      <c r="I42" s="10" t="s">
        <v>5546</v>
      </c>
      <c r="J42" s="7" t="s">
        <v>2808</v>
      </c>
    </row>
    <row r="43" customFormat="false" ht="39" hidden="false" customHeight="true" outlineLevel="0" collapsed="false">
      <c r="A43" s="7" t="s">
        <v>2882</v>
      </c>
      <c r="B43" s="7" t="s">
        <v>2883</v>
      </c>
      <c r="C43" s="7" t="s">
        <v>2688</v>
      </c>
      <c r="D43" s="7" t="s">
        <v>2884</v>
      </c>
      <c r="E43" s="7" t="s">
        <v>5551</v>
      </c>
      <c r="F43" s="7" t="s">
        <v>7672</v>
      </c>
      <c r="G43" s="7" t="s">
        <v>7673</v>
      </c>
      <c r="H43" s="7" t="s">
        <v>7674</v>
      </c>
      <c r="I43" s="10" t="s">
        <v>5546</v>
      </c>
      <c r="J43" s="7" t="s">
        <v>2808</v>
      </c>
    </row>
    <row r="44" customFormat="false" ht="39" hidden="false" customHeight="true" outlineLevel="0" collapsed="false">
      <c r="A44" s="7" t="s">
        <v>2892</v>
      </c>
      <c r="B44" s="7" t="s">
        <v>2893</v>
      </c>
      <c r="C44" s="7" t="s">
        <v>2688</v>
      </c>
      <c r="D44" s="7" t="s">
        <v>2894</v>
      </c>
      <c r="E44" s="7" t="s">
        <v>5542</v>
      </c>
      <c r="F44" s="7" t="s">
        <v>7675</v>
      </c>
      <c r="G44" s="7" t="s">
        <v>7676</v>
      </c>
      <c r="H44" s="7" t="s">
        <v>7677</v>
      </c>
      <c r="I44" s="10" t="s">
        <v>5546</v>
      </c>
      <c r="J44" s="7" t="s">
        <v>2694</v>
      </c>
    </row>
    <row r="45" customFormat="false" ht="39" hidden="false" customHeight="true" outlineLevel="0" collapsed="false">
      <c r="A45" s="7" t="s">
        <v>2922</v>
      </c>
      <c r="B45" s="7" t="s">
        <v>2923</v>
      </c>
      <c r="C45" s="7" t="s">
        <v>2688</v>
      </c>
      <c r="D45" s="7" t="s">
        <v>2924</v>
      </c>
      <c r="E45" s="7" t="s">
        <v>5573</v>
      </c>
      <c r="F45" s="7" t="s">
        <v>7678</v>
      </c>
      <c r="G45" s="7" t="s">
        <v>7679</v>
      </c>
      <c r="H45" s="7" t="s">
        <v>7680</v>
      </c>
      <c r="I45" s="10" t="s">
        <v>5546</v>
      </c>
      <c r="J45" s="7" t="s">
        <v>2925</v>
      </c>
    </row>
    <row r="46" customFormat="false" ht="58.5" hidden="false" customHeight="true" outlineLevel="0" collapsed="false">
      <c r="A46" s="7" t="s">
        <v>5405</v>
      </c>
      <c r="B46" s="7" t="s">
        <v>5406</v>
      </c>
      <c r="C46" s="7" t="s">
        <v>5303</v>
      </c>
      <c r="D46" s="7" t="s">
        <v>5407</v>
      </c>
      <c r="E46" s="7" t="s">
        <v>5551</v>
      </c>
      <c r="F46" s="7" t="s">
        <v>7681</v>
      </c>
      <c r="G46" s="7" t="s">
        <v>7682</v>
      </c>
      <c r="H46" s="7" t="s">
        <v>7683</v>
      </c>
      <c r="I46" s="10" t="s">
        <v>5546</v>
      </c>
      <c r="J46" s="7" t="s">
        <v>5341</v>
      </c>
    </row>
    <row r="47" customFormat="false" ht="39" hidden="false" customHeight="true" outlineLevel="0" collapsed="false">
      <c r="A47" s="7" t="s">
        <v>5441</v>
      </c>
      <c r="B47" s="7" t="s">
        <v>5442</v>
      </c>
      <c r="C47" s="7" t="s">
        <v>5303</v>
      </c>
      <c r="D47" s="7" t="s">
        <v>5443</v>
      </c>
      <c r="E47" s="7" t="s">
        <v>5542</v>
      </c>
      <c r="F47" s="7" t="s">
        <v>7684</v>
      </c>
      <c r="G47" s="7" t="s">
        <v>7685</v>
      </c>
      <c r="H47" s="7" t="s">
        <v>7686</v>
      </c>
      <c r="I47" s="10" t="s">
        <v>5546</v>
      </c>
      <c r="J47" s="7" t="s">
        <v>2447</v>
      </c>
    </row>
  </sheetData>
  <autoFilter ref="A21:J47"/>
  <mergeCells count="16">
    <mergeCell ref="A1:J1"/>
    <mergeCell ref="A2:J2"/>
    <mergeCell ref="A3:J3"/>
    <mergeCell ref="A4:J4"/>
    <mergeCell ref="A5:J5"/>
    <mergeCell ref="A7:J7"/>
    <mergeCell ref="A8:J8"/>
    <mergeCell ref="A9:J9"/>
    <mergeCell ref="A10:J10"/>
    <mergeCell ref="A11:J11"/>
    <mergeCell ref="A13:J13"/>
    <mergeCell ref="F14:J14"/>
    <mergeCell ref="F15:J15"/>
    <mergeCell ref="F16:J16"/>
    <mergeCell ref="F17:J17"/>
    <mergeCell ref="F18:J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44"/>
    <col collapsed="false" customWidth="true" hidden="false" outlineLevel="0" max="5" min="5" style="1" width="15"/>
    <col collapsed="false" customWidth="true" hidden="false" outlineLevel="0" max="6" min="6" style="1" width="62"/>
    <col collapsed="false" customWidth="true" hidden="false" outlineLevel="0" max="7" min="7" style="1" width="58"/>
    <col collapsed="false" customWidth="true" hidden="false" outlineLevel="0" max="8" min="8" style="1" width="36"/>
    <col collapsed="false" customWidth="true" hidden="false" outlineLevel="0" max="9" min="9" style="1" width="18"/>
    <col collapsed="false" customWidth="true" hidden="false" outlineLevel="0" max="10" min="10" style="1" width="16"/>
  </cols>
  <sheetData>
    <row r="1" customFormat="false" ht="31.5" hidden="false" customHeight="true" outlineLevel="0" collapsed="false">
      <c r="A1" s="2" t="s">
        <v>7687</v>
      </c>
      <c r="B1" s="2"/>
      <c r="C1" s="2"/>
      <c r="D1" s="2"/>
      <c r="E1" s="2"/>
      <c r="F1" s="2"/>
      <c r="G1" s="2"/>
      <c r="H1" s="2"/>
      <c r="I1" s="2"/>
      <c r="J1" s="2"/>
    </row>
    <row r="2" customFormat="false" ht="45.75" hidden="false" customHeight="true" outlineLevel="0" collapsed="false">
      <c r="A2" s="3" t="s">
        <v>7688</v>
      </c>
      <c r="B2" s="3"/>
      <c r="C2" s="3"/>
      <c r="D2" s="3"/>
      <c r="E2" s="3"/>
      <c r="F2" s="3"/>
      <c r="G2" s="3"/>
      <c r="H2" s="3"/>
      <c r="I2" s="3"/>
      <c r="J2" s="3"/>
    </row>
    <row r="3" customFormat="false" ht="45.75" hidden="false" customHeight="true" outlineLevel="0" collapsed="false">
      <c r="A3" s="3" t="s">
        <v>7689</v>
      </c>
      <c r="B3" s="3"/>
      <c r="C3" s="3"/>
      <c r="D3" s="3"/>
      <c r="E3" s="3"/>
      <c r="F3" s="3"/>
      <c r="G3" s="3"/>
      <c r="H3" s="3"/>
      <c r="I3" s="3"/>
      <c r="J3" s="3"/>
    </row>
    <row r="4" customFormat="false" ht="45.75" hidden="false" customHeight="true" outlineLevel="0" collapsed="false">
      <c r="A4" s="3" t="s">
        <v>6781</v>
      </c>
      <c r="B4" s="3"/>
      <c r="C4" s="3"/>
      <c r="D4" s="3"/>
      <c r="E4" s="3"/>
      <c r="F4" s="3"/>
      <c r="G4" s="3"/>
      <c r="H4" s="3"/>
      <c r="I4" s="3"/>
      <c r="J4" s="3"/>
    </row>
    <row r="5" customFormat="false" ht="45.75" hidden="false" customHeight="true" outlineLevel="0" collapsed="false">
      <c r="A5" s="3" t="s">
        <v>7690</v>
      </c>
      <c r="B5" s="3"/>
      <c r="C5" s="3"/>
      <c r="D5" s="3"/>
      <c r="E5" s="3"/>
      <c r="F5" s="3"/>
      <c r="G5" s="3"/>
      <c r="H5" s="3"/>
      <c r="I5" s="3"/>
      <c r="J5" s="3"/>
    </row>
    <row r="6" customFormat="false" ht="17.25" hidden="false" customHeight="true" outlineLevel="0" collapsed="false"/>
    <row r="7" customFormat="false" ht="18" hidden="false" customHeight="true" outlineLevel="0" collapsed="false">
      <c r="A7" s="26" t="s">
        <v>5514</v>
      </c>
      <c r="B7" s="26"/>
      <c r="C7" s="26"/>
      <c r="D7" s="26"/>
      <c r="E7" s="26"/>
      <c r="F7" s="26"/>
      <c r="G7" s="26"/>
      <c r="H7" s="26"/>
      <c r="I7" s="26"/>
      <c r="J7" s="26"/>
    </row>
    <row r="8" customFormat="false" ht="24" hidden="false" customHeight="true" outlineLevel="0" collapsed="false">
      <c r="A8" s="3" t="s">
        <v>5515</v>
      </c>
      <c r="B8" s="3"/>
      <c r="C8" s="3"/>
      <c r="D8" s="3"/>
      <c r="E8" s="3"/>
      <c r="F8" s="3"/>
      <c r="G8" s="3"/>
      <c r="H8" s="3"/>
      <c r="I8" s="3"/>
      <c r="J8" s="3"/>
    </row>
    <row r="9" customFormat="false" ht="24" hidden="false" customHeight="true" outlineLevel="0" collapsed="false">
      <c r="A9" s="3" t="s">
        <v>5516</v>
      </c>
      <c r="B9" s="3"/>
      <c r="C9" s="3"/>
      <c r="D9" s="3"/>
      <c r="E9" s="3"/>
      <c r="F9" s="3"/>
      <c r="G9" s="3"/>
      <c r="H9" s="3"/>
      <c r="I9" s="3"/>
      <c r="J9" s="3"/>
    </row>
    <row r="10" customFormat="false" ht="24" hidden="false" customHeight="true" outlineLevel="0" collapsed="false">
      <c r="A10" s="3" t="s">
        <v>5517</v>
      </c>
      <c r="B10" s="3"/>
      <c r="C10" s="3"/>
      <c r="D10" s="3"/>
      <c r="E10" s="3"/>
      <c r="F10" s="3"/>
      <c r="G10" s="3"/>
      <c r="H10" s="3"/>
      <c r="I10" s="3"/>
      <c r="J10" s="3"/>
    </row>
    <row r="11" customFormat="false" ht="24" hidden="false" customHeight="true" outlineLevel="0" collapsed="false">
      <c r="A11" s="3" t="s">
        <v>5518</v>
      </c>
      <c r="B11" s="3"/>
      <c r="C11" s="3"/>
      <c r="D11" s="3"/>
      <c r="E11" s="3"/>
      <c r="F11" s="3"/>
      <c r="G11" s="3"/>
      <c r="H11" s="3"/>
      <c r="I11" s="3"/>
      <c r="J11" s="3"/>
    </row>
    <row r="12" customFormat="false" ht="17.25" hidden="false" customHeight="true" outlineLevel="0" collapsed="false"/>
    <row r="13" customFormat="false" ht="27.75" hidden="false" customHeight="true" outlineLevel="0" collapsed="false">
      <c r="A13" s="5" t="s">
        <v>5519</v>
      </c>
      <c r="B13" s="5"/>
      <c r="C13" s="5"/>
      <c r="D13" s="5"/>
      <c r="E13" s="5"/>
      <c r="F13" s="5"/>
      <c r="G13" s="5"/>
      <c r="H13" s="5"/>
      <c r="I13" s="5"/>
      <c r="J13" s="5"/>
    </row>
    <row r="14" customFormat="false" ht="18" hidden="false" customHeight="true" outlineLevel="0" collapsed="false">
      <c r="A14" s="6" t="s">
        <v>5520</v>
      </c>
      <c r="B14" s="6" t="s">
        <v>5521</v>
      </c>
      <c r="C14" s="6" t="s">
        <v>132</v>
      </c>
      <c r="D14" s="6" t="s">
        <v>138</v>
      </c>
      <c r="E14" s="6" t="s">
        <v>144</v>
      </c>
      <c r="F14" s="6" t="s">
        <v>5522</v>
      </c>
      <c r="G14" s="6"/>
      <c r="H14" s="6"/>
      <c r="I14" s="6"/>
      <c r="J14" s="6"/>
    </row>
    <row r="15" customFormat="false" ht="31.5" hidden="false" customHeight="true" outlineLevel="0" collapsed="false">
      <c r="A15" s="7" t="s">
        <v>3531</v>
      </c>
      <c r="B15" s="7" t="n">
        <f aca="false">COUNTIF($C$20:$C$33,$A15)</f>
        <v>6</v>
      </c>
      <c r="C15" s="7" t="n">
        <f aca="false">COUNTIFS($C$20:$C$33,$A15,$I$20:$I$33,"Level 1*")</f>
        <v>0</v>
      </c>
      <c r="D15" s="7" t="n">
        <f aca="false">COUNTIFS($C$20:$C$33,$A15,$I$20:$I$33,"Level 2*")</f>
        <v>3</v>
      </c>
      <c r="E15" s="7" t="n">
        <f aca="false">COUNTIFS($C$20:$C$33,$A15,$I$20:$I$33,"Level 3*")</f>
        <v>3</v>
      </c>
      <c r="F15" s="7" t="s">
        <v>7691</v>
      </c>
      <c r="G15" s="7"/>
      <c r="H15" s="7"/>
      <c r="I15" s="7"/>
      <c r="J15" s="7"/>
    </row>
    <row r="16" customFormat="false" ht="45.75" hidden="false" customHeight="true" outlineLevel="0" collapsed="false">
      <c r="A16" s="7" t="s">
        <v>5303</v>
      </c>
      <c r="B16" s="7" t="n">
        <f aca="false">COUNTIF($C$20:$C$33,$A16)</f>
        <v>8</v>
      </c>
      <c r="C16" s="7" t="n">
        <f aca="false">COUNTIFS($C$20:$C$33,$A16,$I$20:$I$33,"Level 1*")</f>
        <v>0</v>
      </c>
      <c r="D16" s="7" t="n">
        <f aca="false">COUNTIFS($C$20:$C$33,$A16,$I$20:$I$33,"Level 2*")</f>
        <v>0</v>
      </c>
      <c r="E16" s="7" t="n">
        <f aca="false">COUNTIFS($C$20:$C$33,$A16,$I$20:$I$33,"Level 3*")</f>
        <v>8</v>
      </c>
      <c r="F16" s="7" t="s">
        <v>7692</v>
      </c>
      <c r="G16" s="7"/>
      <c r="H16" s="7"/>
      <c r="I16" s="7"/>
      <c r="J16" s="7"/>
    </row>
    <row r="17" customFormat="false" ht="18" hidden="false" customHeight="true" outlineLevel="0" collapsed="false">
      <c r="A17" s="22" t="s">
        <v>5446</v>
      </c>
      <c r="B17" s="22" t="n">
        <f aca="false">SUM(B15:B16)</f>
        <v>14</v>
      </c>
      <c r="C17" s="22" t="n">
        <f aca="false">SUM(C15:C16)</f>
        <v>0</v>
      </c>
      <c r="D17" s="22" t="n">
        <f aca="false">SUM(D15:D16)</f>
        <v>3</v>
      </c>
      <c r="E17" s="22" t="n">
        <f aca="false">SUM(E15:E16)</f>
        <v>11</v>
      </c>
    </row>
    <row r="18" customFormat="false" ht="17.25" hidden="false" customHeight="true" outlineLevel="0" collapsed="false"/>
    <row r="19" customFormat="false" ht="39.75" hidden="false" customHeight="true" outlineLevel="0" collapsed="false">
      <c r="A19" s="8" t="s">
        <v>150</v>
      </c>
      <c r="B19" s="8" t="s">
        <v>151</v>
      </c>
      <c r="C19" s="8" t="s">
        <v>10</v>
      </c>
      <c r="D19" s="8" t="s">
        <v>152</v>
      </c>
      <c r="E19" s="8" t="s">
        <v>5534</v>
      </c>
      <c r="F19" s="8" t="s">
        <v>5535</v>
      </c>
      <c r="G19" s="8" t="s">
        <v>5536</v>
      </c>
      <c r="H19" s="8" t="s">
        <v>5537</v>
      </c>
      <c r="I19" s="8" t="s">
        <v>126</v>
      </c>
      <c r="J19" s="8" t="s">
        <v>154</v>
      </c>
    </row>
    <row r="20" customFormat="false" ht="58.5" hidden="false" customHeight="true" outlineLevel="0" collapsed="false">
      <c r="A20" s="7" t="s">
        <v>3796</v>
      </c>
      <c r="B20" s="7" t="s">
        <v>3797</v>
      </c>
      <c r="C20" s="7" t="s">
        <v>3531</v>
      </c>
      <c r="D20" s="7" t="s">
        <v>3798</v>
      </c>
      <c r="E20" s="7" t="s">
        <v>5551</v>
      </c>
      <c r="F20" s="7" t="s">
        <v>7693</v>
      </c>
      <c r="G20" s="7" t="s">
        <v>7694</v>
      </c>
      <c r="H20" s="7" t="s">
        <v>6185</v>
      </c>
      <c r="I20" s="12" t="s">
        <v>5562</v>
      </c>
      <c r="J20" s="7" t="s">
        <v>3799</v>
      </c>
    </row>
    <row r="21" customFormat="false" ht="58.5" hidden="false" customHeight="true" outlineLevel="0" collapsed="false">
      <c r="A21" s="7" t="s">
        <v>3804</v>
      </c>
      <c r="B21" s="7" t="s">
        <v>3805</v>
      </c>
      <c r="C21" s="7" t="s">
        <v>3531</v>
      </c>
      <c r="D21" s="7" t="s">
        <v>3806</v>
      </c>
      <c r="E21" s="7" t="s">
        <v>5542</v>
      </c>
      <c r="F21" s="7" t="s">
        <v>7695</v>
      </c>
      <c r="G21" s="7" t="s">
        <v>7696</v>
      </c>
      <c r="H21" s="7" t="s">
        <v>7697</v>
      </c>
      <c r="I21" s="10" t="s">
        <v>5546</v>
      </c>
      <c r="J21" s="7" t="s">
        <v>3799</v>
      </c>
    </row>
    <row r="22" customFormat="false" ht="58.5" hidden="false" customHeight="true" outlineLevel="0" collapsed="false">
      <c r="A22" s="7" t="s">
        <v>3809</v>
      </c>
      <c r="B22" s="7" t="s">
        <v>3810</v>
      </c>
      <c r="C22" s="7" t="s">
        <v>3531</v>
      </c>
      <c r="D22" s="7" t="s">
        <v>3811</v>
      </c>
      <c r="E22" s="7" t="s">
        <v>5542</v>
      </c>
      <c r="F22" s="7" t="s">
        <v>7698</v>
      </c>
      <c r="G22" s="7" t="s">
        <v>7699</v>
      </c>
      <c r="H22" s="7" t="s">
        <v>7700</v>
      </c>
      <c r="I22" s="10" t="s">
        <v>5546</v>
      </c>
      <c r="J22" s="7" t="s">
        <v>3799</v>
      </c>
    </row>
    <row r="23" customFormat="false" ht="39" hidden="false" customHeight="true" outlineLevel="0" collapsed="false">
      <c r="A23" s="7" t="s">
        <v>3824</v>
      </c>
      <c r="B23" s="7" t="s">
        <v>3825</v>
      </c>
      <c r="C23" s="7" t="s">
        <v>3531</v>
      </c>
      <c r="D23" s="7" t="s">
        <v>3826</v>
      </c>
      <c r="E23" s="7" t="s">
        <v>5551</v>
      </c>
      <c r="F23" s="7" t="s">
        <v>7701</v>
      </c>
      <c r="G23" s="7" t="s">
        <v>7702</v>
      </c>
      <c r="H23" s="7" t="s">
        <v>7703</v>
      </c>
      <c r="I23" s="10" t="s">
        <v>5546</v>
      </c>
      <c r="J23" s="7" t="s">
        <v>3799</v>
      </c>
    </row>
    <row r="24" customFormat="false" ht="58.5" hidden="false" customHeight="true" outlineLevel="0" collapsed="false">
      <c r="A24" s="7" t="s">
        <v>3829</v>
      </c>
      <c r="B24" s="7" t="s">
        <v>3830</v>
      </c>
      <c r="C24" s="7" t="s">
        <v>3531</v>
      </c>
      <c r="D24" s="7" t="s">
        <v>3831</v>
      </c>
      <c r="E24" s="7" t="s">
        <v>5551</v>
      </c>
      <c r="F24" s="7" t="s">
        <v>7704</v>
      </c>
      <c r="G24" s="7" t="s">
        <v>7705</v>
      </c>
      <c r="H24" s="7" t="s">
        <v>6374</v>
      </c>
      <c r="I24" s="12" t="s">
        <v>5562</v>
      </c>
      <c r="J24" s="7" t="s">
        <v>3799</v>
      </c>
    </row>
    <row r="25" customFormat="false" ht="58.5" hidden="false" customHeight="true" outlineLevel="0" collapsed="false">
      <c r="A25" s="7" t="s">
        <v>3834</v>
      </c>
      <c r="B25" s="7" t="s">
        <v>3835</v>
      </c>
      <c r="C25" s="7" t="s">
        <v>3531</v>
      </c>
      <c r="D25" s="7" t="s">
        <v>3836</v>
      </c>
      <c r="E25" s="7" t="s">
        <v>5551</v>
      </c>
      <c r="F25" s="7" t="s">
        <v>7706</v>
      </c>
      <c r="G25" s="7" t="s">
        <v>7707</v>
      </c>
      <c r="H25" s="7" t="s">
        <v>7708</v>
      </c>
      <c r="I25" s="12" t="s">
        <v>5562</v>
      </c>
      <c r="J25" s="7" t="s">
        <v>3799</v>
      </c>
    </row>
    <row r="26" customFormat="false" ht="39" hidden="false" customHeight="true" outlineLevel="0" collapsed="false">
      <c r="A26" s="7" t="s">
        <v>5306</v>
      </c>
      <c r="B26" s="7" t="s">
        <v>5307</v>
      </c>
      <c r="C26" s="7" t="s">
        <v>5303</v>
      </c>
      <c r="D26" s="7" t="s">
        <v>5308</v>
      </c>
      <c r="E26" s="7" t="s">
        <v>5542</v>
      </c>
      <c r="F26" s="7" t="s">
        <v>7709</v>
      </c>
      <c r="G26" s="7" t="s">
        <v>7710</v>
      </c>
      <c r="H26" s="7" t="s">
        <v>7711</v>
      </c>
      <c r="I26" s="10" t="s">
        <v>5546</v>
      </c>
      <c r="J26" s="7" t="s">
        <v>5309</v>
      </c>
    </row>
    <row r="27" customFormat="false" ht="58.5" hidden="false" customHeight="true" outlineLevel="0" collapsed="false">
      <c r="A27" s="7" t="s">
        <v>5318</v>
      </c>
      <c r="B27" s="7" t="s">
        <v>5319</v>
      </c>
      <c r="C27" s="7" t="s">
        <v>5303</v>
      </c>
      <c r="D27" s="7" t="s">
        <v>5320</v>
      </c>
      <c r="E27" s="7" t="s">
        <v>5542</v>
      </c>
      <c r="F27" s="7" t="s">
        <v>7712</v>
      </c>
      <c r="G27" s="7" t="s">
        <v>7713</v>
      </c>
      <c r="H27" s="7" t="s">
        <v>7714</v>
      </c>
      <c r="I27" s="10" t="s">
        <v>5546</v>
      </c>
      <c r="J27" s="7" t="s">
        <v>3126</v>
      </c>
    </row>
    <row r="28" customFormat="false" ht="39" hidden="false" customHeight="true" outlineLevel="0" collapsed="false">
      <c r="A28" s="7" t="s">
        <v>5338</v>
      </c>
      <c r="B28" s="7" t="s">
        <v>5339</v>
      </c>
      <c r="C28" s="7" t="s">
        <v>5303</v>
      </c>
      <c r="D28" s="7" t="s">
        <v>5340</v>
      </c>
      <c r="E28" s="7" t="s">
        <v>5542</v>
      </c>
      <c r="F28" s="7" t="s">
        <v>7715</v>
      </c>
      <c r="G28" s="7" t="s">
        <v>7716</v>
      </c>
      <c r="H28" s="7" t="s">
        <v>7717</v>
      </c>
      <c r="I28" s="10" t="s">
        <v>5546</v>
      </c>
      <c r="J28" s="7" t="s">
        <v>5341</v>
      </c>
    </row>
    <row r="29" customFormat="false" ht="58.5" hidden="false" customHeight="true" outlineLevel="0" collapsed="false">
      <c r="A29" s="7" t="s">
        <v>5366</v>
      </c>
      <c r="B29" s="7" t="s">
        <v>5367</v>
      </c>
      <c r="C29" s="7" t="s">
        <v>5303</v>
      </c>
      <c r="D29" s="7" t="s">
        <v>5368</v>
      </c>
      <c r="E29" s="7" t="s">
        <v>5542</v>
      </c>
      <c r="F29" s="7" t="s">
        <v>7718</v>
      </c>
      <c r="G29" s="7" t="s">
        <v>7719</v>
      </c>
      <c r="H29" s="7" t="s">
        <v>7720</v>
      </c>
      <c r="I29" s="10" t="s">
        <v>5546</v>
      </c>
      <c r="J29" s="7" t="s">
        <v>5369</v>
      </c>
    </row>
    <row r="30" customFormat="false" ht="39" hidden="false" customHeight="true" outlineLevel="0" collapsed="false">
      <c r="A30" s="7" t="s">
        <v>5383</v>
      </c>
      <c r="B30" s="7" t="s">
        <v>5384</v>
      </c>
      <c r="C30" s="7" t="s">
        <v>5303</v>
      </c>
      <c r="D30" s="7" t="s">
        <v>5385</v>
      </c>
      <c r="E30" s="7" t="s">
        <v>5542</v>
      </c>
      <c r="F30" s="7" t="s">
        <v>7721</v>
      </c>
      <c r="G30" s="7" t="s">
        <v>7722</v>
      </c>
      <c r="H30" s="7" t="s">
        <v>7723</v>
      </c>
      <c r="I30" s="10" t="s">
        <v>5546</v>
      </c>
      <c r="J30" s="7" t="s">
        <v>3799</v>
      </c>
    </row>
    <row r="31" customFormat="false" ht="39" hidden="false" customHeight="true" outlineLevel="0" collapsed="false">
      <c r="A31" s="7" t="s">
        <v>5398</v>
      </c>
      <c r="B31" s="7" t="s">
        <v>5399</v>
      </c>
      <c r="C31" s="7" t="s">
        <v>5303</v>
      </c>
      <c r="D31" s="7" t="s">
        <v>5400</v>
      </c>
      <c r="E31" s="7" t="s">
        <v>5542</v>
      </c>
      <c r="F31" s="7" t="s">
        <v>7724</v>
      </c>
      <c r="G31" s="7" t="s">
        <v>7725</v>
      </c>
      <c r="H31" s="7" t="s">
        <v>7726</v>
      </c>
      <c r="I31" s="10" t="s">
        <v>5546</v>
      </c>
      <c r="J31" s="7" t="s">
        <v>5401</v>
      </c>
    </row>
    <row r="32" customFormat="false" ht="39" hidden="false" customHeight="true" outlineLevel="0" collapsed="false">
      <c r="A32" s="7" t="s">
        <v>5415</v>
      </c>
      <c r="B32" s="7" t="s">
        <v>5416</v>
      </c>
      <c r="C32" s="7" t="s">
        <v>5303</v>
      </c>
      <c r="D32" s="7" t="s">
        <v>5417</v>
      </c>
      <c r="E32" s="7" t="s">
        <v>5542</v>
      </c>
      <c r="F32" s="7" t="s">
        <v>7727</v>
      </c>
      <c r="G32" s="7" t="s">
        <v>7728</v>
      </c>
      <c r="H32" s="7" t="s">
        <v>7729</v>
      </c>
      <c r="I32" s="10" t="s">
        <v>5546</v>
      </c>
      <c r="J32" s="7" t="s">
        <v>5341</v>
      </c>
    </row>
    <row r="33" customFormat="false" ht="39" hidden="false" customHeight="true" outlineLevel="0" collapsed="false">
      <c r="A33" s="7" t="s">
        <v>5420</v>
      </c>
      <c r="B33" s="7" t="s">
        <v>5421</v>
      </c>
      <c r="C33" s="7" t="s">
        <v>5303</v>
      </c>
      <c r="D33" s="7" t="s">
        <v>5422</v>
      </c>
      <c r="E33" s="7" t="s">
        <v>5542</v>
      </c>
      <c r="F33" s="7" t="s">
        <v>7730</v>
      </c>
      <c r="G33" s="7" t="s">
        <v>7731</v>
      </c>
      <c r="H33" s="7" t="s">
        <v>7732</v>
      </c>
      <c r="I33" s="10" t="s">
        <v>5546</v>
      </c>
      <c r="J33" s="7" t="s">
        <v>5341</v>
      </c>
    </row>
  </sheetData>
  <autoFilter ref="A19:J33"/>
  <mergeCells count="14">
    <mergeCell ref="A1:J1"/>
    <mergeCell ref="A2:J2"/>
    <mergeCell ref="A3:J3"/>
    <mergeCell ref="A4:J4"/>
    <mergeCell ref="A5:J5"/>
    <mergeCell ref="A7:J7"/>
    <mergeCell ref="A8:J8"/>
    <mergeCell ref="A9:J9"/>
    <mergeCell ref="A10:J10"/>
    <mergeCell ref="A11:J11"/>
    <mergeCell ref="A13:J13"/>
    <mergeCell ref="F14:J14"/>
    <mergeCell ref="F15:J15"/>
    <mergeCell ref="F16:J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1" width="30"/>
    <col collapsed="false" customWidth="true" hidden="false" outlineLevel="0" max="2" min="2" style="1" width="22"/>
    <col collapsed="false" customWidth="true" hidden="false" outlineLevel="0" max="3" min="3" style="1" width="20"/>
    <col collapsed="false" customWidth="true" hidden="false" outlineLevel="0" max="4" min="4" style="1" width="22"/>
    <col collapsed="false" customWidth="true" hidden="false" outlineLevel="0" max="5" min="5" style="1" width="18"/>
    <col collapsed="false" customWidth="true" hidden="false" outlineLevel="0" max="6" min="6" style="1" width="16"/>
    <col collapsed="false" customWidth="true" hidden="false" outlineLevel="0" max="7" min="7" style="1" width="20"/>
    <col collapsed="false" customWidth="true" hidden="false" outlineLevel="0" max="8" min="8" style="1" width="16"/>
    <col collapsed="false" customWidth="true" hidden="false" outlineLevel="0" max="9" min="9" style="1" width="20"/>
    <col collapsed="false" customWidth="true" hidden="false" outlineLevel="0" max="10" min="10" style="1" width="44"/>
    <col collapsed="false" customWidth="true" hidden="false" outlineLevel="0" max="11" min="11" style="1" width="16"/>
  </cols>
  <sheetData>
    <row r="1" customFormat="false" ht="17.25" hidden="false" customHeight="true" outlineLevel="0" collapsed="false">
      <c r="A1" s="17" t="s">
        <v>7733</v>
      </c>
    </row>
    <row r="2" customFormat="false" ht="48" hidden="false" customHeight="true" outlineLevel="0" collapsed="false">
      <c r="A2" s="27" t="s">
        <v>7734</v>
      </c>
      <c r="B2" s="27"/>
      <c r="C2" s="27"/>
      <c r="D2" s="27"/>
      <c r="E2" s="27"/>
      <c r="F2" s="27"/>
      <c r="G2" s="27"/>
      <c r="H2" s="27"/>
      <c r="I2" s="27"/>
      <c r="J2" s="27"/>
    </row>
    <row r="3" customFormat="false" ht="17.25" hidden="false" customHeight="true" outlineLevel="0" collapsed="false"/>
    <row r="4" customFormat="false" ht="17.25" hidden="false" customHeight="true" outlineLevel="0" collapsed="false">
      <c r="A4" s="28" t="s">
        <v>7735</v>
      </c>
      <c r="B4" s="28" t="s">
        <v>7736</v>
      </c>
      <c r="C4" s="28" t="s">
        <v>7737</v>
      </c>
    </row>
    <row r="5" customFormat="false" ht="17.25" hidden="false" customHeight="true" outlineLevel="0" collapsed="false">
      <c r="A5" s="29" t="s">
        <v>7738</v>
      </c>
      <c r="B5" s="30" t="n">
        <f aca="false">COUNTA('Cloud Config Baseline'!$B$30:$B$313)</f>
        <v>284</v>
      </c>
      <c r="C5" s="29"/>
    </row>
    <row r="6" customFormat="false" ht="29.25" hidden="false" customHeight="true" outlineLevel="0" collapsed="false">
      <c r="A6" s="29" t="s">
        <v>7739</v>
      </c>
      <c r="B6" s="30" t="n">
        <f aca="false">COUNTA($A$30:$A$155)</f>
        <v>126</v>
      </c>
      <c r="C6" s="29"/>
    </row>
    <row r="7" customFormat="false" ht="17.25" hidden="false" customHeight="true" outlineLevel="0" collapsed="false">
      <c r="A7" s="29" t="s">
        <v>7740</v>
      </c>
      <c r="B7" s="30" t="n">
        <f aca="false">COUNTIF($E$30:$E$155,"Yes")</f>
        <v>126</v>
      </c>
      <c r="C7" s="29" t="str">
        <f aca="false">IF(B7=B6,"All covered","Missing IDs")</f>
        <v>All covered</v>
      </c>
    </row>
    <row r="8" customFormat="false" ht="29.25" hidden="false" customHeight="true" outlineLevel="0" collapsed="false">
      <c r="A8" s="29" t="s">
        <v>7741</v>
      </c>
      <c r="B8" s="30" t="n">
        <f aca="false">B5-B6</f>
        <v>158</v>
      </c>
      <c r="C8" s="29" t="str">
        <f aca="false">IF(B5&gt;=B6,"Met","Not met")</f>
        <v>Met</v>
      </c>
    </row>
    <row r="9" customFormat="false" ht="17.25" hidden="false" customHeight="true" outlineLevel="0" collapsed="false">
      <c r="A9" s="29" t="s">
        <v>7742</v>
      </c>
      <c r="B9" s="30" t="n">
        <f aca="false">COUNTA($G$30:$G$193)</f>
        <v>164</v>
      </c>
      <c r="C9" s="29"/>
    </row>
    <row r="10" customFormat="false" ht="17.25" hidden="false" customHeight="true" outlineLevel="0" collapsed="false">
      <c r="A10" s="29" t="s">
        <v>7743</v>
      </c>
      <c r="B10" s="30" t="n">
        <f aca="false">COUNTIF($K$30:$K$193,"Yes")</f>
        <v>164</v>
      </c>
      <c r="C10" s="29" t="str">
        <f aca="false">IF(B10=B9,"All covered","Missing IDs")</f>
        <v>All covered</v>
      </c>
    </row>
    <row r="11" customFormat="false" ht="17.25" hidden="false" customHeight="true" outlineLevel="0" collapsed="false"/>
    <row r="12" customFormat="false" ht="17.25" hidden="false" customHeight="true" outlineLevel="0" collapsed="false"/>
    <row r="13" customFormat="false" ht="29.25" hidden="false" customHeight="true" outlineLevel="0" collapsed="false">
      <c r="A13" s="28" t="s">
        <v>5520</v>
      </c>
      <c r="B13" s="28" t="s">
        <v>7744</v>
      </c>
      <c r="C13" s="28" t="s">
        <v>7745</v>
      </c>
      <c r="D13" s="28" t="s">
        <v>7746</v>
      </c>
      <c r="E13" s="28" t="s">
        <v>7745</v>
      </c>
      <c r="F13" s="28" t="s">
        <v>7747</v>
      </c>
      <c r="G13" s="28" t="s">
        <v>7748</v>
      </c>
    </row>
    <row r="14" customFormat="false" ht="17.25" hidden="false" customHeight="true" outlineLevel="0" collapsed="false">
      <c r="A14" s="29" t="s">
        <v>5465</v>
      </c>
      <c r="B14" s="30" t="n">
        <f aca="false">COUNTIF($C$30:$C$155,$A14)</f>
        <v>28</v>
      </c>
      <c r="C14" s="30" t="n">
        <f aca="false">COUNTIFS($C$30:$C$155,$A14,$E$30:$E$155,"Yes")</f>
        <v>28</v>
      </c>
      <c r="D14" s="30" t="n">
        <f aca="false">COUNTIF($H$30:$H$193,$A14)</f>
        <v>40</v>
      </c>
      <c r="E14" s="30" t="n">
        <f aca="false">COUNTIFS($H$30:$H$193,$A14,$K$30:$K$193,"Yes")</f>
        <v>40</v>
      </c>
      <c r="F14" s="30" t="n">
        <f aca="false">COUNTIF('Cloud Config Baseline'!$C$30:$C$313,"*("&amp;$A14&amp;")")</f>
        <v>55</v>
      </c>
      <c r="G14" s="29" t="str">
        <f aca="false">IF(F14&gt;=B14,"Yes","No")</f>
        <v>Yes</v>
      </c>
    </row>
    <row r="15" customFormat="false" ht="17.25" hidden="false" customHeight="true" outlineLevel="0" collapsed="false">
      <c r="A15" s="29" t="s">
        <v>5467</v>
      </c>
      <c r="B15" s="30" t="n">
        <f aca="false">COUNTIF($C$30:$C$155,$A15)</f>
        <v>18</v>
      </c>
      <c r="C15" s="30" t="n">
        <f aca="false">COUNTIFS($C$30:$C$155,$A15,$E$30:$E$155,"Yes")</f>
        <v>18</v>
      </c>
      <c r="D15" s="30" t="n">
        <f aca="false">COUNTIF($H$30:$H$193,$A15)</f>
        <v>10</v>
      </c>
      <c r="E15" s="30" t="n">
        <f aca="false">COUNTIFS($H$30:$H$193,$A15,$K$30:$K$193,"Yes")</f>
        <v>10</v>
      </c>
      <c r="F15" s="30" t="n">
        <f aca="false">COUNTIF('Cloud Config Baseline'!$C$30:$C$313,"*("&amp;$A15&amp;")")</f>
        <v>29</v>
      </c>
      <c r="G15" s="29" t="str">
        <f aca="false">IF(F15&gt;=B15,"Yes","No")</f>
        <v>Yes</v>
      </c>
    </row>
    <row r="16" customFormat="false" ht="17.25" hidden="false" customHeight="true" outlineLevel="0" collapsed="false">
      <c r="A16" s="29" t="s">
        <v>5468</v>
      </c>
      <c r="B16" s="30" t="n">
        <f aca="false">COUNTIF($C$30:$C$155,$A16)</f>
        <v>2</v>
      </c>
      <c r="C16" s="30" t="n">
        <f aca="false">COUNTIFS($C$30:$C$155,$A16,$E$30:$E$155,"Yes")</f>
        <v>2</v>
      </c>
      <c r="D16" s="30" t="n">
        <f aca="false">COUNTIF($H$30:$H$193,$A16)</f>
        <v>6</v>
      </c>
      <c r="E16" s="30" t="n">
        <f aca="false">COUNTIFS($H$30:$H$193,$A16,$K$30:$K$193,"Yes")</f>
        <v>6</v>
      </c>
      <c r="F16" s="30" t="n">
        <f aca="false">COUNTIF('Cloud Config Baseline'!$C$30:$C$313,"*("&amp;$A16&amp;")")</f>
        <v>9</v>
      </c>
      <c r="G16" s="29" t="str">
        <f aca="false">IF(F16&gt;=B16,"Yes","No")</f>
        <v>Yes</v>
      </c>
    </row>
    <row r="17" customFormat="false" ht="17.25" hidden="false" customHeight="true" outlineLevel="0" collapsed="false">
      <c r="A17" s="29" t="s">
        <v>5469</v>
      </c>
      <c r="B17" s="30" t="n">
        <f aca="false">COUNTIF($C$30:$C$155,$A17)</f>
        <v>10</v>
      </c>
      <c r="C17" s="30" t="n">
        <f aca="false">COUNTIFS($C$30:$C$155,$A17,$E$30:$E$155,"Yes")</f>
        <v>10</v>
      </c>
      <c r="D17" s="30" t="n">
        <f aca="false">COUNTIF($H$30:$H$193,$A17)</f>
        <v>8</v>
      </c>
      <c r="E17" s="30" t="n">
        <f aca="false">COUNTIFS($H$30:$H$193,$A17,$K$30:$K$193,"Yes")</f>
        <v>8</v>
      </c>
      <c r="F17" s="30" t="n">
        <f aca="false">COUNTIF('Cloud Config Baseline'!$C$30:$C$313,"*("&amp;$A17&amp;")")</f>
        <v>19</v>
      </c>
      <c r="G17" s="29" t="str">
        <f aca="false">IF(F17&gt;=B17,"Yes","No")</f>
        <v>Yes</v>
      </c>
    </row>
    <row r="18" customFormat="false" ht="17.25" hidden="false" customHeight="true" outlineLevel="0" collapsed="false">
      <c r="A18" s="29" t="s">
        <v>5470</v>
      </c>
      <c r="B18" s="30" t="n">
        <f aca="false">COUNTIF($C$30:$C$155,$A18)</f>
        <v>7</v>
      </c>
      <c r="C18" s="30" t="n">
        <f aca="false">COUNTIFS($C$30:$C$155,$A18,$E$30:$E$155,"Yes")</f>
        <v>7</v>
      </c>
      <c r="D18" s="30" t="n">
        <f aca="false">COUNTIF($H$30:$H$193,$A18)</f>
        <v>8</v>
      </c>
      <c r="E18" s="30" t="n">
        <f aca="false">COUNTIFS($H$30:$H$193,$A18,$K$30:$K$193,"Yes")</f>
        <v>8</v>
      </c>
      <c r="F18" s="30" t="n">
        <f aca="false">COUNTIF('Cloud Config Baseline'!$C$30:$C$313,"*("&amp;$A18&amp;")")</f>
        <v>15</v>
      </c>
      <c r="G18" s="29" t="str">
        <f aca="false">IF(F18&gt;=B18,"Yes","No")</f>
        <v>Yes</v>
      </c>
    </row>
    <row r="19" customFormat="false" ht="17.25" hidden="false" customHeight="true" outlineLevel="0" collapsed="false">
      <c r="A19" s="29" t="s">
        <v>5471</v>
      </c>
      <c r="B19" s="30" t="n">
        <f aca="false">COUNTIF($C$30:$C$155,$A19)</f>
        <v>5</v>
      </c>
      <c r="C19" s="30" t="n">
        <f aca="false">COUNTIFS($C$30:$C$155,$A19,$E$30:$E$155,"Yes")</f>
        <v>5</v>
      </c>
      <c r="D19" s="30" t="n">
        <f aca="false">COUNTIF($H$30:$H$193,$A19)</f>
        <v>8</v>
      </c>
      <c r="E19" s="30" t="n">
        <f aca="false">COUNTIFS($H$30:$H$193,$A19,$K$30:$K$193,"Yes")</f>
        <v>8</v>
      </c>
      <c r="F19" s="30" t="n">
        <f aca="false">COUNTIF('Cloud Config Baseline'!$C$30:$C$313,"*("&amp;$A19&amp;")")</f>
        <v>17</v>
      </c>
      <c r="G19" s="29" t="str">
        <f aca="false">IF(F19&gt;=B19,"Yes","No")</f>
        <v>Yes</v>
      </c>
    </row>
    <row r="20" customFormat="false" ht="17.25" hidden="false" customHeight="true" outlineLevel="0" collapsed="false">
      <c r="A20" s="29" t="s">
        <v>5472</v>
      </c>
      <c r="B20" s="30" t="n">
        <f aca="false">COUNTIF($C$30:$C$155,$A20)</f>
        <v>2</v>
      </c>
      <c r="C20" s="30" t="n">
        <f aca="false">COUNTIFS($C$30:$C$155,$A20,$E$30:$E$155,"Yes")</f>
        <v>2</v>
      </c>
      <c r="D20" s="30" t="n">
        <f aca="false">COUNTIF($H$30:$H$193,$A20)</f>
        <v>12</v>
      </c>
      <c r="E20" s="30" t="n">
        <f aca="false">COUNTIFS($H$30:$H$193,$A20,$K$30:$K$193,"Yes")</f>
        <v>12</v>
      </c>
      <c r="F20" s="30" t="n">
        <f aca="false">COUNTIF('Cloud Config Baseline'!$C$30:$C$313,"*("&amp;$A20&amp;")")</f>
        <v>16</v>
      </c>
      <c r="G20" s="29" t="str">
        <f aca="false">IF(F20&gt;=B20,"Yes","No")</f>
        <v>Yes</v>
      </c>
    </row>
    <row r="21" customFormat="false" ht="17.25" hidden="false" customHeight="true" outlineLevel="0" collapsed="false">
      <c r="A21" s="29" t="s">
        <v>5480</v>
      </c>
      <c r="B21" s="30" t="n">
        <f aca="false">COUNTIF($C$30:$C$155,$A21)</f>
        <v>1</v>
      </c>
      <c r="C21" s="30" t="n">
        <f aca="false">COUNTIFS($C$30:$C$155,$A21,$E$30:$E$155,"Yes")</f>
        <v>1</v>
      </c>
      <c r="D21" s="30" t="n">
        <f aca="false">COUNTIF($H$30:$H$193,$A21)</f>
        <v>9</v>
      </c>
      <c r="E21" s="30" t="n">
        <f aca="false">COUNTIFS($H$30:$H$193,$A21,$K$30:$K$193,"Yes")</f>
        <v>9</v>
      </c>
      <c r="F21" s="30" t="n">
        <f aca="false">COUNTIF('Cloud Config Baseline'!$C$30:$C$313,"*("&amp;$A21&amp;")")</f>
        <v>12</v>
      </c>
      <c r="G21" s="29" t="str">
        <f aca="false">IF(F21&gt;=B21,"Yes","No")</f>
        <v>Yes</v>
      </c>
    </row>
    <row r="22" customFormat="false" ht="17.25" hidden="false" customHeight="true" outlineLevel="0" collapsed="false">
      <c r="A22" s="29" t="s">
        <v>5481</v>
      </c>
      <c r="B22" s="30" t="n">
        <f aca="false">COUNTIF($C$30:$C$155,$A22)</f>
        <v>8</v>
      </c>
      <c r="C22" s="30" t="n">
        <f aca="false">COUNTIFS($C$30:$C$155,$A22,$E$30:$E$155,"Yes")</f>
        <v>8</v>
      </c>
      <c r="D22" s="30" t="n">
        <f aca="false">COUNTIF($H$30:$H$193,$A22)</f>
        <v>17</v>
      </c>
      <c r="E22" s="30" t="n">
        <f aca="false">COUNTIFS($H$30:$H$193,$A22,$K$30:$K$193,"Yes")</f>
        <v>17</v>
      </c>
      <c r="F22" s="30" t="n">
        <f aca="false">COUNTIF('Cloud Config Baseline'!$C$30:$C$313,"*("&amp;$A22&amp;")")</f>
        <v>28</v>
      </c>
      <c r="G22" s="29" t="str">
        <f aca="false">IF(F22&gt;=B22,"Yes","No")</f>
        <v>Yes</v>
      </c>
    </row>
    <row r="23" customFormat="false" ht="17.25" hidden="false" customHeight="true" outlineLevel="0" collapsed="false">
      <c r="A23" s="29" t="s">
        <v>5482</v>
      </c>
      <c r="B23" s="30" t="n">
        <f aca="false">COUNTIF($C$30:$C$155,$A23)</f>
        <v>25</v>
      </c>
      <c r="C23" s="30" t="n">
        <f aca="false">COUNTIFS($C$30:$C$155,$A23,$E$30:$E$155,"Yes")</f>
        <v>25</v>
      </c>
      <c r="D23" s="30" t="n">
        <f aca="false">COUNTIF($H$30:$H$193,$A23)</f>
        <v>25</v>
      </c>
      <c r="E23" s="30" t="n">
        <f aca="false">COUNTIFS($H$30:$H$193,$A23,$K$30:$K$193,"Yes")</f>
        <v>25</v>
      </c>
      <c r="F23" s="30" t="n">
        <f aca="false">COUNTIF('Cloud Config Baseline'!$C$30:$C$313,"*("&amp;$A23&amp;")")</f>
        <v>46</v>
      </c>
      <c r="G23" s="29" t="str">
        <f aca="false">IF(F23&gt;=B23,"Yes","No")</f>
        <v>Yes</v>
      </c>
    </row>
    <row r="24" customFormat="false" ht="17.25" hidden="false" customHeight="true" outlineLevel="0" collapsed="false">
      <c r="A24" s="29" t="s">
        <v>5483</v>
      </c>
      <c r="B24" s="30" t="n">
        <f aca="false">COUNTIF($C$30:$C$155,$A24)</f>
        <v>20</v>
      </c>
      <c r="C24" s="30" t="n">
        <f aca="false">COUNTIFS($C$30:$C$155,$A24,$E$30:$E$155,"Yes")</f>
        <v>20</v>
      </c>
      <c r="D24" s="30" t="n">
        <f aca="false">COUNTIF($H$30:$H$193,$A24)</f>
        <v>21</v>
      </c>
      <c r="E24" s="30" t="n">
        <f aca="false">COUNTIFS($H$30:$H$193,$A24,$K$30:$K$193,"Yes")</f>
        <v>21</v>
      </c>
      <c r="F24" s="30" t="n">
        <f aca="false">COUNTIF('Cloud Config Baseline'!$C$30:$C$313,"*("&amp;$A24&amp;")")</f>
        <v>38</v>
      </c>
      <c r="G24" s="29" t="str">
        <f aca="false">IF(F24&gt;=B24,"Yes","No")</f>
        <v>Yes</v>
      </c>
    </row>
    <row r="25" customFormat="false" ht="17.25" hidden="false" customHeight="true" outlineLevel="0" collapsed="false">
      <c r="A25" s="31" t="s">
        <v>5446</v>
      </c>
      <c r="B25" s="32" t="n">
        <f aca="false">SUM(B14:B24)</f>
        <v>126</v>
      </c>
      <c r="C25" s="32" t="n">
        <f aca="false">SUM(C14:C24)</f>
        <v>126</v>
      </c>
      <c r="D25" s="32" t="n">
        <f aca="false">SUM(D14:D24)</f>
        <v>164</v>
      </c>
      <c r="E25" s="32" t="n">
        <f aca="false">SUM(E14:E24)</f>
        <v>164</v>
      </c>
      <c r="F25" s="32" t="n">
        <f aca="false">SUM(F14:F24)</f>
        <v>284</v>
      </c>
      <c r="G25" s="31" t="str">
        <f aca="false">IF(F25&gt;=B25,"Yes","No")</f>
        <v>Yes</v>
      </c>
    </row>
    <row r="26" customFormat="false" ht="17.25" hidden="false" customHeight="true" outlineLevel="0" collapsed="false"/>
    <row r="27" customFormat="false" ht="17.25" hidden="false" customHeight="true" outlineLevel="0" collapsed="false"/>
    <row r="28" customFormat="false" ht="17.25" hidden="false" customHeight="true" outlineLevel="0" collapsed="false">
      <c r="A28" s="31" t="s">
        <v>7749</v>
      </c>
      <c r="B28" s="31"/>
      <c r="C28" s="31"/>
      <c r="D28" s="31"/>
      <c r="E28" s="31"/>
      <c r="G28" s="31" t="s">
        <v>7750</v>
      </c>
      <c r="H28" s="31"/>
      <c r="I28" s="31"/>
      <c r="J28" s="31"/>
      <c r="K28" s="31"/>
    </row>
    <row r="29" customFormat="false" ht="17.25" hidden="false" customHeight="true" outlineLevel="0" collapsed="false">
      <c r="A29" s="28" t="s">
        <v>7751</v>
      </c>
      <c r="B29" s="28" t="s">
        <v>7752</v>
      </c>
      <c r="C29" s="28" t="s">
        <v>5520</v>
      </c>
      <c r="D29" s="28" t="s">
        <v>7753</v>
      </c>
      <c r="E29" s="28" t="s">
        <v>7754</v>
      </c>
      <c r="G29" s="28" t="s">
        <v>7755</v>
      </c>
      <c r="H29" s="28" t="s">
        <v>5520</v>
      </c>
      <c r="I29" s="28" t="s">
        <v>7752</v>
      </c>
      <c r="J29" s="28" t="s">
        <v>7756</v>
      </c>
      <c r="K29" s="28" t="s">
        <v>7754</v>
      </c>
    </row>
    <row r="30" customFormat="false" ht="17.25" hidden="false" customHeight="true" outlineLevel="0" collapsed="false">
      <c r="A30" s="29" t="s">
        <v>5558</v>
      </c>
      <c r="B30" s="29" t="s">
        <v>172</v>
      </c>
      <c r="C30" s="29" t="s">
        <v>5465</v>
      </c>
      <c r="D30" s="29" t="s">
        <v>5556</v>
      </c>
      <c r="E30" s="29" t="str">
        <f aca="false">IF(COUNTIF('Cloud Config Baseline'!$B$30:$B$313,B30)&gt;0,"Yes","No")</f>
        <v>Yes</v>
      </c>
      <c r="G30" s="29" t="s">
        <v>7757</v>
      </c>
      <c r="H30" s="29" t="s">
        <v>5465</v>
      </c>
      <c r="I30" s="29" t="s">
        <v>161</v>
      </c>
      <c r="J30" s="29" t="s">
        <v>5547</v>
      </c>
      <c r="K30" s="29" t="str">
        <f aca="false">IF(COUNTIF('Cloud Config Baseline'!$B$30:$B$313,I30)&gt;0,"Yes","No")</f>
        <v>Yes</v>
      </c>
    </row>
    <row r="31" customFormat="false" ht="17.25" hidden="false" customHeight="true" outlineLevel="0" collapsed="false">
      <c r="A31" s="29" t="s">
        <v>7758</v>
      </c>
      <c r="B31" s="29" t="s">
        <v>182</v>
      </c>
      <c r="C31" s="29" t="s">
        <v>5465</v>
      </c>
      <c r="D31" s="29" t="s">
        <v>5556</v>
      </c>
      <c r="E31" s="29" t="str">
        <f aca="false">IF(COUNTIF('Cloud Config Baseline'!$B$30:$B$313,B31)&gt;0,"Yes","No")</f>
        <v>Yes</v>
      </c>
      <c r="G31" s="29" t="s">
        <v>5558</v>
      </c>
      <c r="H31" s="29" t="s">
        <v>5465</v>
      </c>
      <c r="I31" s="29" t="s">
        <v>172</v>
      </c>
      <c r="J31" s="29" t="s">
        <v>5547</v>
      </c>
      <c r="K31" s="29" t="str">
        <f aca="false">IF(COUNTIF('Cloud Config Baseline'!$B$30:$B$313,I31)&gt;0,"Yes","No")</f>
        <v>Yes</v>
      </c>
    </row>
    <row r="32" customFormat="false" ht="17.25" hidden="false" customHeight="true" outlineLevel="0" collapsed="false">
      <c r="A32" s="29" t="s">
        <v>7759</v>
      </c>
      <c r="B32" s="29" t="s">
        <v>193</v>
      </c>
      <c r="C32" s="29" t="s">
        <v>5465</v>
      </c>
      <c r="D32" s="29" t="s">
        <v>5556</v>
      </c>
      <c r="E32" s="29" t="str">
        <f aca="false">IF(COUNTIF('Cloud Config Baseline'!$B$30:$B$313,B32)&gt;0,"Yes","No")</f>
        <v>Yes</v>
      </c>
      <c r="G32" s="29" t="s">
        <v>7758</v>
      </c>
      <c r="H32" s="29" t="s">
        <v>5465</v>
      </c>
      <c r="I32" s="29" t="s">
        <v>182</v>
      </c>
      <c r="J32" s="29" t="s">
        <v>5547</v>
      </c>
      <c r="K32" s="29" t="str">
        <f aca="false">IF(COUNTIF('Cloud Config Baseline'!$B$30:$B$313,I32)&gt;0,"Yes","No")</f>
        <v>Yes</v>
      </c>
    </row>
    <row r="33" customFormat="false" ht="17.25" hidden="false" customHeight="true" outlineLevel="0" collapsed="false">
      <c r="A33" s="29" t="s">
        <v>7760</v>
      </c>
      <c r="B33" s="29" t="s">
        <v>198</v>
      </c>
      <c r="C33" s="29" t="s">
        <v>5465</v>
      </c>
      <c r="D33" s="29" t="s">
        <v>5556</v>
      </c>
      <c r="E33" s="29" t="str">
        <f aca="false">IF(COUNTIF('Cloud Config Baseline'!$B$30:$B$313,B33)&gt;0,"Yes","No")</f>
        <v>Yes</v>
      </c>
      <c r="G33" s="29" t="s">
        <v>5568</v>
      </c>
      <c r="H33" s="29" t="s">
        <v>5465</v>
      </c>
      <c r="I33" s="29" t="s">
        <v>188</v>
      </c>
      <c r="J33" s="29" t="s">
        <v>5547</v>
      </c>
      <c r="K33" s="29" t="str">
        <f aca="false">IF(COUNTIF('Cloud Config Baseline'!$B$30:$B$313,I33)&gt;0,"Yes","No")</f>
        <v>Yes</v>
      </c>
    </row>
    <row r="34" customFormat="false" ht="17.25" hidden="false" customHeight="true" outlineLevel="0" collapsed="false">
      <c r="A34" s="29" t="s">
        <v>5582</v>
      </c>
      <c r="B34" s="29" t="s">
        <v>203</v>
      </c>
      <c r="C34" s="29" t="s">
        <v>5465</v>
      </c>
      <c r="D34" s="29" t="s">
        <v>5581</v>
      </c>
      <c r="E34" s="29" t="str">
        <f aca="false">IF(COUNTIF('Cloud Config Baseline'!$B$30:$B$313,B34)&gt;0,"Yes","No")</f>
        <v>Yes</v>
      </c>
      <c r="G34" s="29" t="s">
        <v>7759</v>
      </c>
      <c r="H34" s="29" t="s">
        <v>5465</v>
      </c>
      <c r="I34" s="29" t="s">
        <v>193</v>
      </c>
      <c r="J34" s="29" t="s">
        <v>5547</v>
      </c>
      <c r="K34" s="29" t="str">
        <f aca="false">IF(COUNTIF('Cloud Config Baseline'!$B$30:$B$313,I34)&gt;0,"Yes","No")</f>
        <v>Yes</v>
      </c>
    </row>
    <row r="35" customFormat="false" ht="17.25" hidden="false" customHeight="true" outlineLevel="0" collapsed="false">
      <c r="A35" s="29" t="s">
        <v>7761</v>
      </c>
      <c r="B35" s="29" t="s">
        <v>213</v>
      </c>
      <c r="C35" s="29" t="s">
        <v>5465</v>
      </c>
      <c r="D35" s="29" t="s">
        <v>5556</v>
      </c>
      <c r="E35" s="29" t="str">
        <f aca="false">IF(COUNTIF('Cloud Config Baseline'!$B$30:$B$313,B35)&gt;0,"Yes","No")</f>
        <v>Yes</v>
      </c>
      <c r="G35" s="29" t="s">
        <v>5582</v>
      </c>
      <c r="H35" s="29" t="s">
        <v>5465</v>
      </c>
      <c r="I35" s="29" t="s">
        <v>203</v>
      </c>
      <c r="J35" s="29" t="s">
        <v>5547</v>
      </c>
      <c r="K35" s="29" t="str">
        <f aca="false">IF(COUNTIF('Cloud Config Baseline'!$B$30:$B$313,I35)&gt;0,"Yes","No")</f>
        <v>Yes</v>
      </c>
    </row>
    <row r="36" customFormat="false" ht="17.25" hidden="false" customHeight="true" outlineLevel="0" collapsed="false">
      <c r="A36" s="29" t="s">
        <v>5593</v>
      </c>
      <c r="B36" s="29" t="s">
        <v>228</v>
      </c>
      <c r="C36" s="29" t="s">
        <v>5465</v>
      </c>
      <c r="D36" s="29" t="s">
        <v>5556</v>
      </c>
      <c r="E36" s="29" t="str">
        <f aca="false">IF(COUNTIF('Cloud Config Baseline'!$B$30:$B$313,B36)&gt;0,"Yes","No")</f>
        <v>Yes</v>
      </c>
      <c r="G36" s="29" t="s">
        <v>7762</v>
      </c>
      <c r="H36" s="29" t="s">
        <v>5465</v>
      </c>
      <c r="I36" s="29" t="s">
        <v>208</v>
      </c>
      <c r="J36" s="29" t="s">
        <v>5547</v>
      </c>
      <c r="K36" s="29" t="str">
        <f aca="false">IF(COUNTIF('Cloud Config Baseline'!$B$30:$B$313,I36)&gt;0,"Yes","No")</f>
        <v>Yes</v>
      </c>
    </row>
    <row r="37" customFormat="false" ht="17.25" hidden="false" customHeight="true" outlineLevel="0" collapsed="false">
      <c r="A37" s="29" t="s">
        <v>5597</v>
      </c>
      <c r="B37" s="29" t="s">
        <v>233</v>
      </c>
      <c r="C37" s="29" t="s">
        <v>5465</v>
      </c>
      <c r="D37" s="29" t="s">
        <v>5556</v>
      </c>
      <c r="E37" s="29" t="str">
        <f aca="false">IF(COUNTIF('Cloud Config Baseline'!$B$30:$B$313,B37)&gt;0,"Yes","No")</f>
        <v>Yes</v>
      </c>
      <c r="G37" s="29" t="s">
        <v>5593</v>
      </c>
      <c r="H37" s="29" t="s">
        <v>5465</v>
      </c>
      <c r="I37" s="29" t="s">
        <v>228</v>
      </c>
      <c r="J37" s="29" t="s">
        <v>5547</v>
      </c>
      <c r="K37" s="29" t="str">
        <f aca="false">IF(COUNTIF('Cloud Config Baseline'!$B$30:$B$313,I37)&gt;0,"Yes","No")</f>
        <v>Yes</v>
      </c>
    </row>
    <row r="38" customFormat="false" ht="17.25" hidden="false" customHeight="true" outlineLevel="0" collapsed="false">
      <c r="A38" s="29" t="s">
        <v>7763</v>
      </c>
      <c r="B38" s="29" t="s">
        <v>243</v>
      </c>
      <c r="C38" s="29" t="s">
        <v>5465</v>
      </c>
      <c r="D38" s="29" t="s">
        <v>5556</v>
      </c>
      <c r="E38" s="29" t="str">
        <f aca="false">IF(COUNTIF('Cloud Config Baseline'!$B$30:$B$313,B38)&gt;0,"Yes","No")</f>
        <v>Yes</v>
      </c>
      <c r="G38" s="29" t="s">
        <v>5597</v>
      </c>
      <c r="H38" s="29" t="s">
        <v>5465</v>
      </c>
      <c r="I38" s="29" t="s">
        <v>233</v>
      </c>
      <c r="J38" s="29" t="s">
        <v>5547</v>
      </c>
      <c r="K38" s="29" t="str">
        <f aca="false">IF(COUNTIF('Cloud Config Baseline'!$B$30:$B$313,I38)&gt;0,"Yes","No")</f>
        <v>Yes</v>
      </c>
    </row>
    <row r="39" customFormat="false" ht="17.25" hidden="false" customHeight="true" outlineLevel="0" collapsed="false">
      <c r="A39" s="29" t="s">
        <v>7764</v>
      </c>
      <c r="B39" s="29" t="s">
        <v>251</v>
      </c>
      <c r="C39" s="29" t="s">
        <v>5465</v>
      </c>
      <c r="D39" s="29" t="s">
        <v>5556</v>
      </c>
      <c r="E39" s="29" t="str">
        <f aca="false">IF(COUNTIF('Cloud Config Baseline'!$B$30:$B$313,B39)&gt;0,"Yes","No")</f>
        <v>Yes</v>
      </c>
      <c r="G39" s="29" t="s">
        <v>7763</v>
      </c>
      <c r="H39" s="29" t="s">
        <v>5465</v>
      </c>
      <c r="I39" s="29" t="s">
        <v>243</v>
      </c>
      <c r="J39" s="29" t="s">
        <v>5547</v>
      </c>
      <c r="K39" s="29" t="str">
        <f aca="false">IF(COUNTIF('Cloud Config Baseline'!$B$30:$B$313,I39)&gt;0,"Yes","No")</f>
        <v>Yes</v>
      </c>
    </row>
    <row r="40" customFormat="false" ht="17.25" hidden="false" customHeight="true" outlineLevel="0" collapsed="false">
      <c r="A40" s="29" t="s">
        <v>7765</v>
      </c>
      <c r="B40" s="29" t="s">
        <v>271</v>
      </c>
      <c r="C40" s="29" t="s">
        <v>5465</v>
      </c>
      <c r="D40" s="29" t="s">
        <v>5556</v>
      </c>
      <c r="E40" s="29" t="str">
        <f aca="false">IF(COUNTIF('Cloud Config Baseline'!$B$30:$B$313,B40)&gt;0,"Yes","No")</f>
        <v>Yes</v>
      </c>
      <c r="G40" s="29" t="s">
        <v>5608</v>
      </c>
      <c r="H40" s="29" t="s">
        <v>5465</v>
      </c>
      <c r="I40" s="29" t="s">
        <v>256</v>
      </c>
      <c r="J40" s="29" t="s">
        <v>5547</v>
      </c>
      <c r="K40" s="29" t="str">
        <f aca="false">IF(COUNTIF('Cloud Config Baseline'!$B$30:$B$313,I40)&gt;0,"Yes","No")</f>
        <v>Yes</v>
      </c>
    </row>
    <row r="41" customFormat="false" ht="17.25" hidden="false" customHeight="true" outlineLevel="0" collapsed="false">
      <c r="A41" s="29" t="s">
        <v>7766</v>
      </c>
      <c r="B41" s="29" t="s">
        <v>301</v>
      </c>
      <c r="C41" s="29" t="s">
        <v>5465</v>
      </c>
      <c r="D41" s="29" t="s">
        <v>5556</v>
      </c>
      <c r="E41" s="29" t="str">
        <f aca="false">IF(COUNTIF('Cloud Config Baseline'!$B$30:$B$313,B41)&gt;0,"Yes","No")</f>
        <v>Yes</v>
      </c>
      <c r="G41" s="29" t="s">
        <v>5612</v>
      </c>
      <c r="H41" s="29" t="s">
        <v>5465</v>
      </c>
      <c r="I41" s="29" t="s">
        <v>261</v>
      </c>
      <c r="J41" s="29" t="s">
        <v>5547</v>
      </c>
      <c r="K41" s="29" t="str">
        <f aca="false">IF(COUNTIF('Cloud Config Baseline'!$B$30:$B$313,I41)&gt;0,"Yes","No")</f>
        <v>Yes</v>
      </c>
    </row>
    <row r="42" customFormat="false" ht="17.25" hidden="false" customHeight="true" outlineLevel="0" collapsed="false">
      <c r="A42" s="29" t="s">
        <v>5626</v>
      </c>
      <c r="B42" s="29" t="s">
        <v>311</v>
      </c>
      <c r="C42" s="29" t="s">
        <v>5465</v>
      </c>
      <c r="D42" s="29" t="s">
        <v>5556</v>
      </c>
      <c r="E42" s="29" t="str">
        <f aca="false">IF(COUNTIF('Cloud Config Baseline'!$B$30:$B$313,B42)&gt;0,"Yes","No")</f>
        <v>Yes</v>
      </c>
      <c r="G42" s="29" t="s">
        <v>5622</v>
      </c>
      <c r="H42" s="29" t="s">
        <v>5465</v>
      </c>
      <c r="I42" s="29" t="s">
        <v>306</v>
      </c>
      <c r="J42" s="29" t="s">
        <v>5547</v>
      </c>
      <c r="K42" s="29" t="str">
        <f aca="false">IF(COUNTIF('Cloud Config Baseline'!$B$30:$B$313,I42)&gt;0,"Yes","No")</f>
        <v>Yes</v>
      </c>
    </row>
    <row r="43" customFormat="false" ht="17.25" hidden="false" customHeight="true" outlineLevel="0" collapsed="false">
      <c r="A43" s="29" t="s">
        <v>7767</v>
      </c>
      <c r="B43" s="29" t="s">
        <v>316</v>
      </c>
      <c r="C43" s="29" t="s">
        <v>5465</v>
      </c>
      <c r="D43" s="29" t="s">
        <v>5556</v>
      </c>
      <c r="E43" s="29" t="str">
        <f aca="false">IF(COUNTIF('Cloud Config Baseline'!$B$30:$B$313,B43)&gt;0,"Yes","No")</f>
        <v>Yes</v>
      </c>
      <c r="G43" s="29" t="s">
        <v>5626</v>
      </c>
      <c r="H43" s="29" t="s">
        <v>5465</v>
      </c>
      <c r="I43" s="29" t="s">
        <v>311</v>
      </c>
      <c r="J43" s="29" t="s">
        <v>5547</v>
      </c>
      <c r="K43" s="29" t="str">
        <f aca="false">IF(COUNTIF('Cloud Config Baseline'!$B$30:$B$313,I43)&gt;0,"Yes","No")</f>
        <v>Yes</v>
      </c>
    </row>
    <row r="44" customFormat="false" ht="17.25" hidden="false" customHeight="true" outlineLevel="0" collapsed="false">
      <c r="A44" s="29" t="s">
        <v>7768</v>
      </c>
      <c r="B44" s="29" t="s">
        <v>325</v>
      </c>
      <c r="C44" s="29" t="s">
        <v>5465</v>
      </c>
      <c r="D44" s="29" t="s">
        <v>5556</v>
      </c>
      <c r="E44" s="29" t="str">
        <f aca="false">IF(COUNTIF('Cloud Config Baseline'!$B$30:$B$313,B44)&gt;0,"Yes","No")</f>
        <v>Yes</v>
      </c>
      <c r="G44" s="29" t="s">
        <v>5639</v>
      </c>
      <c r="H44" s="29" t="s">
        <v>5465</v>
      </c>
      <c r="I44" s="29" t="s">
        <v>435</v>
      </c>
      <c r="J44" s="29" t="s">
        <v>5547</v>
      </c>
      <c r="K44" s="29" t="str">
        <f aca="false">IF(COUNTIF('Cloud Config Baseline'!$B$30:$B$313,I44)&gt;0,"Yes","No")</f>
        <v>Yes</v>
      </c>
    </row>
    <row r="45" customFormat="false" ht="17.25" hidden="false" customHeight="true" outlineLevel="0" collapsed="false">
      <c r="A45" s="29" t="s">
        <v>7769</v>
      </c>
      <c r="B45" s="29" t="s">
        <v>415</v>
      </c>
      <c r="C45" s="29" t="s">
        <v>5465</v>
      </c>
      <c r="D45" s="29" t="s">
        <v>5556</v>
      </c>
      <c r="E45" s="29" t="str">
        <f aca="false">IF(COUNTIF('Cloud Config Baseline'!$B$30:$B$313,B45)&gt;0,"Yes","No")</f>
        <v>Yes</v>
      </c>
      <c r="G45" s="29" t="s">
        <v>5646</v>
      </c>
      <c r="H45" s="29" t="s">
        <v>5465</v>
      </c>
      <c r="I45" s="29" t="s">
        <v>445</v>
      </c>
      <c r="J45" s="29" t="s">
        <v>5547</v>
      </c>
      <c r="K45" s="29" t="str">
        <f aca="false">IF(COUNTIF('Cloud Config Baseline'!$B$30:$B$313,I45)&gt;0,"Yes","No")</f>
        <v>Yes</v>
      </c>
    </row>
    <row r="46" customFormat="false" ht="17.25" hidden="false" customHeight="true" outlineLevel="0" collapsed="false">
      <c r="A46" s="29" t="s">
        <v>7770</v>
      </c>
      <c r="B46" s="29" t="s">
        <v>440</v>
      </c>
      <c r="C46" s="29" t="s">
        <v>5465</v>
      </c>
      <c r="D46" s="29" t="s">
        <v>5556</v>
      </c>
      <c r="E46" s="29" t="str">
        <f aca="false">IF(COUNTIF('Cloud Config Baseline'!$B$30:$B$313,B46)&gt;0,"Yes","No")</f>
        <v>Yes</v>
      </c>
      <c r="G46" s="29" t="s">
        <v>5650</v>
      </c>
      <c r="H46" s="29" t="s">
        <v>5465</v>
      </c>
      <c r="I46" s="29" t="s">
        <v>475</v>
      </c>
      <c r="J46" s="29" t="s">
        <v>5547</v>
      </c>
      <c r="K46" s="29" t="str">
        <f aca="false">IF(COUNTIF('Cloud Config Baseline'!$B$30:$B$313,I46)&gt;0,"Yes","No")</f>
        <v>Yes</v>
      </c>
    </row>
    <row r="47" customFormat="false" ht="17.25" hidden="false" customHeight="true" outlineLevel="0" collapsed="false">
      <c r="A47" s="29" t="s">
        <v>5654</v>
      </c>
      <c r="B47" s="29" t="s">
        <v>481</v>
      </c>
      <c r="C47" s="29" t="s">
        <v>5465</v>
      </c>
      <c r="D47" s="29" t="s">
        <v>5556</v>
      </c>
      <c r="E47" s="29" t="str">
        <f aca="false">IF(COUNTIF('Cloud Config Baseline'!$B$30:$B$313,B47)&gt;0,"Yes","No")</f>
        <v>Yes</v>
      </c>
      <c r="G47" s="29" t="s">
        <v>5654</v>
      </c>
      <c r="H47" s="29" t="s">
        <v>5465</v>
      </c>
      <c r="I47" s="29" t="s">
        <v>481</v>
      </c>
      <c r="J47" s="29" t="s">
        <v>5547</v>
      </c>
      <c r="K47" s="29" t="str">
        <f aca="false">IF(COUNTIF('Cloud Config Baseline'!$B$30:$B$313,I47)&gt;0,"Yes","No")</f>
        <v>Yes</v>
      </c>
    </row>
    <row r="48" customFormat="false" ht="17.25" hidden="false" customHeight="true" outlineLevel="0" collapsed="false">
      <c r="A48" s="29" t="s">
        <v>7771</v>
      </c>
      <c r="B48" s="29" t="s">
        <v>491</v>
      </c>
      <c r="C48" s="29" t="s">
        <v>5465</v>
      </c>
      <c r="D48" s="29" t="s">
        <v>5556</v>
      </c>
      <c r="E48" s="29" t="str">
        <f aca="false">IF(COUNTIF('Cloud Config Baseline'!$B$30:$B$313,B48)&gt;0,"Yes","No")</f>
        <v>Yes</v>
      </c>
      <c r="G48" s="29" t="s">
        <v>5670</v>
      </c>
      <c r="H48" s="29" t="s">
        <v>5465</v>
      </c>
      <c r="I48" s="29" t="s">
        <v>526</v>
      </c>
      <c r="J48" s="29" t="s">
        <v>5547</v>
      </c>
      <c r="K48" s="29" t="str">
        <f aca="false">IF(COUNTIF('Cloud Config Baseline'!$B$30:$B$313,I48)&gt;0,"Yes","No")</f>
        <v>Yes</v>
      </c>
    </row>
    <row r="49" customFormat="false" ht="17.25" hidden="false" customHeight="true" outlineLevel="0" collapsed="false">
      <c r="A49" s="29" t="s">
        <v>7772</v>
      </c>
      <c r="B49" s="29" t="s">
        <v>496</v>
      </c>
      <c r="C49" s="29" t="s">
        <v>5465</v>
      </c>
      <c r="D49" s="29" t="s">
        <v>5556</v>
      </c>
      <c r="E49" s="29" t="str">
        <f aca="false">IF(COUNTIF('Cloud Config Baseline'!$B$30:$B$313,B49)&gt;0,"Yes","No")</f>
        <v>Yes</v>
      </c>
      <c r="G49" s="29" t="s">
        <v>7773</v>
      </c>
      <c r="H49" s="29" t="s">
        <v>5465</v>
      </c>
      <c r="I49" s="29" t="s">
        <v>536</v>
      </c>
      <c r="J49" s="29" t="s">
        <v>5547</v>
      </c>
      <c r="K49" s="29" t="str">
        <f aca="false">IF(COUNTIF('Cloud Config Baseline'!$B$30:$B$313,I49)&gt;0,"Yes","No")</f>
        <v>Yes</v>
      </c>
    </row>
    <row r="50" customFormat="false" ht="17.25" hidden="false" customHeight="true" outlineLevel="0" collapsed="false">
      <c r="A50" s="29" t="s">
        <v>7774</v>
      </c>
      <c r="B50" s="29" t="s">
        <v>516</v>
      </c>
      <c r="C50" s="29" t="s">
        <v>5465</v>
      </c>
      <c r="D50" s="29" t="s">
        <v>5556</v>
      </c>
      <c r="E50" s="29" t="str">
        <f aca="false">IF(COUNTIF('Cloud Config Baseline'!$B$30:$B$313,B50)&gt;0,"Yes","No")</f>
        <v>Yes</v>
      </c>
      <c r="G50" s="29" t="s">
        <v>5681</v>
      </c>
      <c r="H50" s="29" t="s">
        <v>5465</v>
      </c>
      <c r="I50" s="29" t="s">
        <v>543</v>
      </c>
      <c r="J50" s="29" t="s">
        <v>5547</v>
      </c>
      <c r="K50" s="29" t="str">
        <f aca="false">IF(COUNTIF('Cloud Config Baseline'!$B$30:$B$313,I50)&gt;0,"Yes","No")</f>
        <v>Yes</v>
      </c>
    </row>
    <row r="51" customFormat="false" ht="17.25" hidden="false" customHeight="true" outlineLevel="0" collapsed="false">
      <c r="A51" s="29" t="s">
        <v>5670</v>
      </c>
      <c r="B51" s="29" t="s">
        <v>526</v>
      </c>
      <c r="C51" s="29" t="s">
        <v>5465</v>
      </c>
      <c r="D51" s="29" t="s">
        <v>5556</v>
      </c>
      <c r="E51" s="29" t="str">
        <f aca="false">IF(COUNTIF('Cloud Config Baseline'!$B$30:$B$313,B51)&gt;0,"Yes","No")</f>
        <v>Yes</v>
      </c>
      <c r="G51" s="29" t="s">
        <v>5685</v>
      </c>
      <c r="H51" s="29" t="s">
        <v>5465</v>
      </c>
      <c r="I51" s="29" t="s">
        <v>558</v>
      </c>
      <c r="J51" s="29" t="s">
        <v>5547</v>
      </c>
      <c r="K51" s="29" t="str">
        <f aca="false">IF(COUNTIF('Cloud Config Baseline'!$B$30:$B$313,I51)&gt;0,"Yes","No")</f>
        <v>Yes</v>
      </c>
    </row>
    <row r="52" customFormat="false" ht="17.25" hidden="false" customHeight="true" outlineLevel="0" collapsed="false">
      <c r="A52" s="29" t="s">
        <v>7775</v>
      </c>
      <c r="B52" s="29" t="s">
        <v>531</v>
      </c>
      <c r="C52" s="29" t="s">
        <v>5465</v>
      </c>
      <c r="D52" s="29" t="s">
        <v>5556</v>
      </c>
      <c r="E52" s="29" t="str">
        <f aca="false">IF(COUNTIF('Cloud Config Baseline'!$B$30:$B$313,B52)&gt;0,"Yes","No")</f>
        <v>Yes</v>
      </c>
      <c r="G52" s="29" t="s">
        <v>5689</v>
      </c>
      <c r="H52" s="29" t="s">
        <v>5465</v>
      </c>
      <c r="I52" s="29" t="s">
        <v>564</v>
      </c>
      <c r="J52" s="29" t="s">
        <v>5547</v>
      </c>
      <c r="K52" s="29" t="str">
        <f aca="false">IF(COUNTIF('Cloud Config Baseline'!$B$30:$B$313,I52)&gt;0,"Yes","No")</f>
        <v>Yes</v>
      </c>
    </row>
    <row r="53" customFormat="false" ht="17.25" hidden="false" customHeight="true" outlineLevel="0" collapsed="false">
      <c r="A53" s="29" t="s">
        <v>7773</v>
      </c>
      <c r="B53" s="29" t="s">
        <v>536</v>
      </c>
      <c r="C53" s="29" t="s">
        <v>5465</v>
      </c>
      <c r="D53" s="29" t="s">
        <v>5556</v>
      </c>
      <c r="E53" s="29" t="str">
        <f aca="false">IF(COUNTIF('Cloud Config Baseline'!$B$30:$B$313,B53)&gt;0,"Yes","No")</f>
        <v>Yes</v>
      </c>
      <c r="G53" s="29" t="s">
        <v>594</v>
      </c>
      <c r="H53" s="29" t="s">
        <v>5465</v>
      </c>
      <c r="I53" s="29" t="s">
        <v>594</v>
      </c>
      <c r="J53" s="29" t="s">
        <v>5547</v>
      </c>
      <c r="K53" s="29" t="str">
        <f aca="false">IF(COUNTIF('Cloud Config Baseline'!$B$30:$B$313,I53)&gt;0,"Yes","No")</f>
        <v>Yes</v>
      </c>
    </row>
    <row r="54" customFormat="false" ht="17.25" hidden="false" customHeight="true" outlineLevel="0" collapsed="false">
      <c r="A54" s="29" t="s">
        <v>610</v>
      </c>
      <c r="B54" s="29" t="s">
        <v>610</v>
      </c>
      <c r="C54" s="29" t="s">
        <v>5465</v>
      </c>
      <c r="D54" s="29" t="s">
        <v>5581</v>
      </c>
      <c r="E54" s="29" t="str">
        <f aca="false">IF(COUNTIF('Cloud Config Baseline'!$B$30:$B$313,B54)&gt;0,"Yes","No")</f>
        <v>Yes</v>
      </c>
      <c r="G54" s="29" t="s">
        <v>599</v>
      </c>
      <c r="H54" s="29" t="s">
        <v>5465</v>
      </c>
      <c r="I54" s="29" t="s">
        <v>599</v>
      </c>
      <c r="J54" s="29" t="s">
        <v>5547</v>
      </c>
      <c r="K54" s="29" t="str">
        <f aca="false">IF(COUNTIF('Cloud Config Baseline'!$B$30:$B$313,I54)&gt;0,"Yes","No")</f>
        <v>Yes</v>
      </c>
    </row>
    <row r="55" customFormat="false" ht="17.25" hidden="false" customHeight="true" outlineLevel="0" collapsed="false">
      <c r="A55" s="29" t="s">
        <v>7776</v>
      </c>
      <c r="B55" s="29" t="s">
        <v>690</v>
      </c>
      <c r="C55" s="29" t="s">
        <v>5465</v>
      </c>
      <c r="D55" s="29" t="s">
        <v>5556</v>
      </c>
      <c r="E55" s="29" t="str">
        <f aca="false">IF(COUNTIF('Cloud Config Baseline'!$B$30:$B$313,B55)&gt;0,"Yes","No")</f>
        <v>Yes</v>
      </c>
      <c r="G55" s="29" t="s">
        <v>610</v>
      </c>
      <c r="H55" s="29" t="s">
        <v>5465</v>
      </c>
      <c r="I55" s="29" t="s">
        <v>610</v>
      </c>
      <c r="J55" s="29" t="s">
        <v>5547</v>
      </c>
      <c r="K55" s="29" t="str">
        <f aca="false">IF(COUNTIF('Cloud Config Baseline'!$B$30:$B$313,I55)&gt;0,"Yes","No")</f>
        <v>Yes</v>
      </c>
    </row>
    <row r="56" customFormat="false" ht="17.25" hidden="false" customHeight="true" outlineLevel="0" collapsed="false">
      <c r="A56" s="29" t="s">
        <v>5723</v>
      </c>
      <c r="B56" s="29" t="s">
        <v>695</v>
      </c>
      <c r="C56" s="29" t="s">
        <v>5465</v>
      </c>
      <c r="D56" s="29" t="s">
        <v>5556</v>
      </c>
      <c r="E56" s="29" t="str">
        <f aca="false">IF(COUNTIF('Cloud Config Baseline'!$B$30:$B$313,B56)&gt;0,"Yes","No")</f>
        <v>Yes</v>
      </c>
      <c r="G56" s="29" t="s">
        <v>5705</v>
      </c>
      <c r="H56" s="29" t="s">
        <v>5465</v>
      </c>
      <c r="I56" s="29" t="s">
        <v>5700</v>
      </c>
      <c r="J56" s="29" t="s">
        <v>5547</v>
      </c>
      <c r="K56" s="29" t="str">
        <f aca="false">IF(COUNTIF('Cloud Config Baseline'!$B$30:$B$313,I56)&gt;0,"Yes","No")</f>
        <v>Yes</v>
      </c>
    </row>
    <row r="57" customFormat="false" ht="17.25" hidden="false" customHeight="true" outlineLevel="0" collapsed="false">
      <c r="A57" s="29" t="s">
        <v>789</v>
      </c>
      <c r="B57" s="29" t="s">
        <v>789</v>
      </c>
      <c r="C57" s="29" t="s">
        <v>5465</v>
      </c>
      <c r="D57" s="29" t="s">
        <v>5556</v>
      </c>
      <c r="E57" s="29" t="str">
        <f aca="false">IF(COUNTIF('Cloud Config Baseline'!$B$30:$B$313,B57)&gt;0,"Yes","No")</f>
        <v>Yes</v>
      </c>
      <c r="G57" s="29" t="s">
        <v>5712</v>
      </c>
      <c r="H57" s="29" t="s">
        <v>5465</v>
      </c>
      <c r="I57" s="29" t="s">
        <v>5707</v>
      </c>
      <c r="J57" s="29" t="s">
        <v>5547</v>
      </c>
      <c r="K57" s="29" t="str">
        <f aca="false">IF(COUNTIF('Cloud Config Baseline'!$B$30:$B$313,I57)&gt;0,"Yes","No")</f>
        <v>Yes</v>
      </c>
    </row>
    <row r="58" customFormat="false" ht="17.25" hidden="false" customHeight="true" outlineLevel="0" collapsed="false">
      <c r="A58" s="29" t="s">
        <v>7777</v>
      </c>
      <c r="B58" s="29" t="s">
        <v>927</v>
      </c>
      <c r="C58" s="29" t="s">
        <v>5467</v>
      </c>
      <c r="D58" s="29" t="s">
        <v>5556</v>
      </c>
      <c r="E58" s="29" t="str">
        <f aca="false">IF(COUNTIF('Cloud Config Baseline'!$B$30:$B$313,B58)&gt;0,"Yes","No")</f>
        <v>Yes</v>
      </c>
      <c r="G58" s="29" t="s">
        <v>684</v>
      </c>
      <c r="H58" s="29" t="s">
        <v>5465</v>
      </c>
      <c r="I58" s="29" t="s">
        <v>684</v>
      </c>
      <c r="J58" s="29" t="s">
        <v>5547</v>
      </c>
      <c r="K58" s="29" t="str">
        <f aca="false">IF(COUNTIF('Cloud Config Baseline'!$B$30:$B$313,I58)&gt;0,"Yes","No")</f>
        <v>Yes</v>
      </c>
    </row>
    <row r="59" customFormat="false" ht="17.25" hidden="false" customHeight="true" outlineLevel="0" collapsed="false">
      <c r="A59" s="29" t="s">
        <v>7778</v>
      </c>
      <c r="B59" s="29" t="s">
        <v>940</v>
      </c>
      <c r="C59" s="29" t="s">
        <v>5467</v>
      </c>
      <c r="D59" s="29" t="s">
        <v>5556</v>
      </c>
      <c r="E59" s="29" t="str">
        <f aca="false">IF(COUNTIF('Cloud Config Baseline'!$B$30:$B$313,B59)&gt;0,"Yes","No")</f>
        <v>Yes</v>
      </c>
      <c r="G59" s="29" t="s">
        <v>5723</v>
      </c>
      <c r="H59" s="29" t="s">
        <v>5465</v>
      </c>
      <c r="I59" s="29" t="s">
        <v>695</v>
      </c>
      <c r="J59" s="29" t="s">
        <v>5547</v>
      </c>
      <c r="K59" s="29" t="str">
        <f aca="false">IF(COUNTIF('Cloud Config Baseline'!$B$30:$B$313,I59)&gt;0,"Yes","No")</f>
        <v>Yes</v>
      </c>
    </row>
    <row r="60" customFormat="false" ht="17.25" hidden="false" customHeight="true" outlineLevel="0" collapsed="false">
      <c r="A60" s="29" t="s">
        <v>7779</v>
      </c>
      <c r="B60" s="29" t="s">
        <v>962</v>
      </c>
      <c r="C60" s="29" t="s">
        <v>5467</v>
      </c>
      <c r="D60" s="29" t="s">
        <v>5556</v>
      </c>
      <c r="E60" s="29" t="str">
        <f aca="false">IF(COUNTIF('Cloud Config Baseline'!$B$30:$B$313,B60)&gt;0,"Yes","No")</f>
        <v>Yes</v>
      </c>
      <c r="G60" s="29" t="s">
        <v>5727</v>
      </c>
      <c r="H60" s="29" t="s">
        <v>5465</v>
      </c>
      <c r="I60" s="29" t="s">
        <v>705</v>
      </c>
      <c r="J60" s="29" t="s">
        <v>5547</v>
      </c>
      <c r="K60" s="29" t="str">
        <f aca="false">IF(COUNTIF('Cloud Config Baseline'!$B$30:$B$313,I60)&gt;0,"Yes","No")</f>
        <v>Yes</v>
      </c>
    </row>
    <row r="61" customFormat="false" ht="17.25" hidden="false" customHeight="true" outlineLevel="0" collapsed="false">
      <c r="A61" s="29" t="s">
        <v>7780</v>
      </c>
      <c r="B61" s="29" t="s">
        <v>1008</v>
      </c>
      <c r="C61" s="29" t="s">
        <v>5467</v>
      </c>
      <c r="D61" s="29" t="s">
        <v>5556</v>
      </c>
      <c r="E61" s="29" t="str">
        <f aca="false">IF(COUNTIF('Cloud Config Baseline'!$B$30:$B$313,B61)&gt;0,"Yes","No")</f>
        <v>Yes</v>
      </c>
      <c r="G61" s="29" t="s">
        <v>720</v>
      </c>
      <c r="H61" s="29" t="s">
        <v>5465</v>
      </c>
      <c r="I61" s="29" t="s">
        <v>720</v>
      </c>
      <c r="J61" s="29" t="s">
        <v>5547</v>
      </c>
      <c r="K61" s="29" t="str">
        <f aca="false">IF(COUNTIF('Cloud Config Baseline'!$B$30:$B$313,I61)&gt;0,"Yes","No")</f>
        <v>Yes</v>
      </c>
    </row>
    <row r="62" customFormat="false" ht="17.25" hidden="false" customHeight="true" outlineLevel="0" collapsed="false">
      <c r="A62" s="29" t="s">
        <v>7781</v>
      </c>
      <c r="B62" s="29" t="s">
        <v>1013</v>
      </c>
      <c r="C62" s="29" t="s">
        <v>5467</v>
      </c>
      <c r="D62" s="29" t="s">
        <v>5556</v>
      </c>
      <c r="E62" s="29" t="str">
        <f aca="false">IF(COUNTIF('Cloud Config Baseline'!$B$30:$B$313,B62)&gt;0,"Yes","No")</f>
        <v>Yes</v>
      </c>
      <c r="G62" s="29" t="s">
        <v>5738</v>
      </c>
      <c r="H62" s="29" t="s">
        <v>5465</v>
      </c>
      <c r="I62" s="29" t="s">
        <v>5733</v>
      </c>
      <c r="J62" s="29" t="s">
        <v>5547</v>
      </c>
      <c r="K62" s="29" t="str">
        <f aca="false">IF(COUNTIF('Cloud Config Baseline'!$B$30:$B$313,I62)&gt;0,"Yes","No")</f>
        <v>Yes</v>
      </c>
    </row>
    <row r="63" customFormat="false" ht="17.25" hidden="false" customHeight="true" outlineLevel="0" collapsed="false">
      <c r="A63" s="29" t="s">
        <v>7782</v>
      </c>
      <c r="B63" s="29" t="s">
        <v>1018</v>
      </c>
      <c r="C63" s="29" t="s">
        <v>5467</v>
      </c>
      <c r="D63" s="29" t="s">
        <v>5556</v>
      </c>
      <c r="E63" s="29" t="str">
        <f aca="false">IF(COUNTIF('Cloud Config Baseline'!$B$30:$B$313,B63)&gt;0,"Yes","No")</f>
        <v>Yes</v>
      </c>
      <c r="G63" s="29" t="s">
        <v>5742</v>
      </c>
      <c r="H63" s="29" t="s">
        <v>5465</v>
      </c>
      <c r="I63" s="29" t="s">
        <v>754</v>
      </c>
      <c r="J63" s="29" t="s">
        <v>5547</v>
      </c>
      <c r="K63" s="29" t="str">
        <f aca="false">IF(COUNTIF('Cloud Config Baseline'!$B$30:$B$313,I63)&gt;0,"Yes","No")</f>
        <v>Yes</v>
      </c>
    </row>
    <row r="64" customFormat="false" ht="17.25" hidden="false" customHeight="true" outlineLevel="0" collapsed="false">
      <c r="A64" s="29" t="s">
        <v>7783</v>
      </c>
      <c r="B64" s="29" t="s">
        <v>1023</v>
      </c>
      <c r="C64" s="29" t="s">
        <v>5467</v>
      </c>
      <c r="D64" s="29" t="s">
        <v>5556</v>
      </c>
      <c r="E64" s="29" t="str">
        <f aca="false">IF(COUNTIF('Cloud Config Baseline'!$B$30:$B$313,B64)&gt;0,"Yes","No")</f>
        <v>Yes</v>
      </c>
      <c r="G64" s="29" t="s">
        <v>759</v>
      </c>
      <c r="H64" s="29" t="s">
        <v>5465</v>
      </c>
      <c r="I64" s="29" t="s">
        <v>759</v>
      </c>
      <c r="J64" s="29" t="s">
        <v>5547</v>
      </c>
      <c r="K64" s="29" t="str">
        <f aca="false">IF(COUNTIF('Cloud Config Baseline'!$B$30:$B$313,I64)&gt;0,"Yes","No")</f>
        <v>Yes</v>
      </c>
    </row>
    <row r="65" customFormat="false" ht="17.25" hidden="false" customHeight="true" outlineLevel="0" collapsed="false">
      <c r="A65" s="29" t="s">
        <v>7784</v>
      </c>
      <c r="B65" s="29" t="s">
        <v>1056</v>
      </c>
      <c r="C65" s="29" t="s">
        <v>5467</v>
      </c>
      <c r="D65" s="29" t="s">
        <v>5581</v>
      </c>
      <c r="E65" s="29" t="str">
        <f aca="false">IF(COUNTIF('Cloud Config Baseline'!$B$30:$B$313,B65)&gt;0,"Yes","No")</f>
        <v>Yes</v>
      </c>
      <c r="G65" s="29" t="s">
        <v>5750</v>
      </c>
      <c r="H65" s="29" t="s">
        <v>5465</v>
      </c>
      <c r="I65" s="29" t="s">
        <v>764</v>
      </c>
      <c r="J65" s="29" t="s">
        <v>5547</v>
      </c>
      <c r="K65" s="29" t="str">
        <f aca="false">IF(COUNTIF('Cloud Config Baseline'!$B$30:$B$313,I65)&gt;0,"Yes","No")</f>
        <v>Yes</v>
      </c>
    </row>
    <row r="66" customFormat="false" ht="17.25" hidden="false" customHeight="true" outlineLevel="0" collapsed="false">
      <c r="A66" s="29" t="s">
        <v>7785</v>
      </c>
      <c r="B66" s="29" t="s">
        <v>1066</v>
      </c>
      <c r="C66" s="29" t="s">
        <v>5467</v>
      </c>
      <c r="D66" s="29" t="s">
        <v>5556</v>
      </c>
      <c r="E66" s="29" t="str">
        <f aca="false">IF(COUNTIF('Cloud Config Baseline'!$B$30:$B$313,B66)&gt;0,"Yes","No")</f>
        <v>Yes</v>
      </c>
      <c r="G66" s="29" t="s">
        <v>5754</v>
      </c>
      <c r="H66" s="29" t="s">
        <v>5465</v>
      </c>
      <c r="I66" s="29" t="s">
        <v>779</v>
      </c>
      <c r="J66" s="29" t="s">
        <v>5547</v>
      </c>
      <c r="K66" s="29" t="str">
        <f aca="false">IF(COUNTIF('Cloud Config Baseline'!$B$30:$B$313,I66)&gt;0,"Yes","No")</f>
        <v>Yes</v>
      </c>
    </row>
    <row r="67" customFormat="false" ht="17.25" hidden="false" customHeight="true" outlineLevel="0" collapsed="false">
      <c r="A67" s="29" t="s">
        <v>7786</v>
      </c>
      <c r="B67" s="29" t="s">
        <v>1077</v>
      </c>
      <c r="C67" s="29" t="s">
        <v>5467</v>
      </c>
      <c r="D67" s="29" t="s">
        <v>5556</v>
      </c>
      <c r="E67" s="29" t="str">
        <f aca="false">IF(COUNTIF('Cloud Config Baseline'!$B$30:$B$313,B67)&gt;0,"Yes","No")</f>
        <v>Yes</v>
      </c>
      <c r="G67" s="29" t="s">
        <v>789</v>
      </c>
      <c r="H67" s="29" t="s">
        <v>5465</v>
      </c>
      <c r="I67" s="29" t="s">
        <v>789</v>
      </c>
      <c r="J67" s="29" t="s">
        <v>5547</v>
      </c>
      <c r="K67" s="29" t="str">
        <f aca="false">IF(COUNTIF('Cloud Config Baseline'!$B$30:$B$313,I67)&gt;0,"Yes","No")</f>
        <v>Yes</v>
      </c>
    </row>
    <row r="68" customFormat="false" ht="17.25" hidden="false" customHeight="true" outlineLevel="0" collapsed="false">
      <c r="A68" s="29" t="s">
        <v>5829</v>
      </c>
      <c r="B68" s="29" t="s">
        <v>1082</v>
      </c>
      <c r="C68" s="29" t="s">
        <v>5467</v>
      </c>
      <c r="D68" s="29" t="s">
        <v>5556</v>
      </c>
      <c r="E68" s="29" t="str">
        <f aca="false">IF(COUNTIF('Cloud Config Baseline'!$B$30:$B$313,B68)&gt;0,"Yes","No")</f>
        <v>Yes</v>
      </c>
      <c r="G68" s="29" t="s">
        <v>804</v>
      </c>
      <c r="H68" s="29" t="s">
        <v>5465</v>
      </c>
      <c r="I68" s="29" t="s">
        <v>804</v>
      </c>
      <c r="J68" s="29" t="s">
        <v>5547</v>
      </c>
      <c r="K68" s="29" t="str">
        <f aca="false">IF(COUNTIF('Cloud Config Baseline'!$B$30:$B$313,I68)&gt;0,"Yes","No")</f>
        <v>Yes</v>
      </c>
    </row>
    <row r="69" customFormat="false" ht="17.25" hidden="false" customHeight="true" outlineLevel="0" collapsed="false">
      <c r="A69" s="29" t="s">
        <v>7787</v>
      </c>
      <c r="B69" s="29" t="s">
        <v>1102</v>
      </c>
      <c r="C69" s="29" t="s">
        <v>5467</v>
      </c>
      <c r="D69" s="29" t="s">
        <v>5581</v>
      </c>
      <c r="E69" s="29" t="str">
        <f aca="false">IF(COUNTIF('Cloud Config Baseline'!$B$30:$B$313,B69)&gt;0,"Yes","No")</f>
        <v>Yes</v>
      </c>
      <c r="G69" s="29" t="s">
        <v>810</v>
      </c>
      <c r="H69" s="29" t="s">
        <v>5465</v>
      </c>
      <c r="I69" s="29" t="s">
        <v>810</v>
      </c>
      <c r="J69" s="29" t="s">
        <v>5547</v>
      </c>
      <c r="K69" s="29" t="str">
        <f aca="false">IF(COUNTIF('Cloud Config Baseline'!$B$30:$B$313,I69)&gt;0,"Yes","No")</f>
        <v>Yes</v>
      </c>
    </row>
    <row r="70" customFormat="false" ht="17.25" hidden="false" customHeight="true" outlineLevel="0" collapsed="false">
      <c r="A70" s="29" t="s">
        <v>1107</v>
      </c>
      <c r="B70" s="29" t="s">
        <v>1107</v>
      </c>
      <c r="C70" s="29" t="s">
        <v>5467</v>
      </c>
      <c r="D70" s="29" t="s">
        <v>5556</v>
      </c>
      <c r="E70" s="29" t="str">
        <f aca="false">IF(COUNTIF('Cloud Config Baseline'!$B$30:$B$313,B70)&gt;0,"Yes","No")</f>
        <v>Yes</v>
      </c>
      <c r="G70" s="29" t="s">
        <v>5768</v>
      </c>
      <c r="H70" s="29" t="s">
        <v>5467</v>
      </c>
      <c r="I70" s="29" t="s">
        <v>922</v>
      </c>
      <c r="J70" s="29" t="s">
        <v>5767</v>
      </c>
      <c r="K70" s="29" t="str">
        <f aca="false">IF(COUNTIF('Cloud Config Baseline'!$B$30:$B$313,I70)&gt;0,"Yes","No")</f>
        <v>Yes</v>
      </c>
    </row>
    <row r="71" customFormat="false" ht="17.25" hidden="false" customHeight="true" outlineLevel="0" collapsed="false">
      <c r="A71" s="29" t="s">
        <v>1144</v>
      </c>
      <c r="B71" s="29" t="s">
        <v>1144</v>
      </c>
      <c r="C71" s="29" t="s">
        <v>5467</v>
      </c>
      <c r="D71" s="29" t="s">
        <v>5556</v>
      </c>
      <c r="E71" s="29" t="str">
        <f aca="false">IF(COUNTIF('Cloud Config Baseline'!$B$30:$B$313,B71)&gt;0,"Yes","No")</f>
        <v>Yes</v>
      </c>
      <c r="G71" s="29" t="s">
        <v>7777</v>
      </c>
      <c r="H71" s="29" t="s">
        <v>5467</v>
      </c>
      <c r="I71" s="29" t="s">
        <v>927</v>
      </c>
      <c r="J71" s="29" t="s">
        <v>5767</v>
      </c>
      <c r="K71" s="29" t="str">
        <f aca="false">IF(COUNTIF('Cloud Config Baseline'!$B$30:$B$313,I71)&gt;0,"Yes","No")</f>
        <v>Yes</v>
      </c>
    </row>
    <row r="72" customFormat="false" ht="17.25" hidden="false" customHeight="true" outlineLevel="0" collapsed="false">
      <c r="A72" s="29" t="s">
        <v>7788</v>
      </c>
      <c r="B72" s="29" t="s">
        <v>1149</v>
      </c>
      <c r="C72" s="29" t="s">
        <v>5467</v>
      </c>
      <c r="D72" s="29" t="s">
        <v>5581</v>
      </c>
      <c r="E72" s="29" t="str">
        <f aca="false">IF(COUNTIF('Cloud Config Baseline'!$B$30:$B$313,B72)&gt;0,"Yes","No")</f>
        <v>Yes</v>
      </c>
      <c r="G72" s="29" t="s">
        <v>7778</v>
      </c>
      <c r="H72" s="29" t="s">
        <v>5467</v>
      </c>
      <c r="I72" s="29" t="s">
        <v>940</v>
      </c>
      <c r="J72" s="29" t="s">
        <v>5767</v>
      </c>
      <c r="K72" s="29" t="str">
        <f aca="false">IF(COUNTIF('Cloud Config Baseline'!$B$30:$B$313,I72)&gt;0,"Yes","No")</f>
        <v>Yes</v>
      </c>
    </row>
    <row r="73" customFormat="false" ht="17.25" hidden="false" customHeight="true" outlineLevel="0" collapsed="false">
      <c r="A73" s="29" t="s">
        <v>7789</v>
      </c>
      <c r="B73" s="29" t="s">
        <v>1154</v>
      </c>
      <c r="C73" s="29" t="s">
        <v>5467</v>
      </c>
      <c r="D73" s="29" t="s">
        <v>5581</v>
      </c>
      <c r="E73" s="29" t="str">
        <f aca="false">IF(COUNTIF('Cloud Config Baseline'!$B$30:$B$313,B73)&gt;0,"Yes","No")</f>
        <v>Yes</v>
      </c>
      <c r="G73" s="29" t="s">
        <v>5780</v>
      </c>
      <c r="H73" s="29" t="s">
        <v>5467</v>
      </c>
      <c r="I73" s="29" t="s">
        <v>950</v>
      </c>
      <c r="J73" s="29" t="s">
        <v>5767</v>
      </c>
      <c r="K73" s="29" t="str">
        <f aca="false">IF(COUNTIF('Cloud Config Baseline'!$B$30:$B$313,I73)&gt;0,"Yes","No")</f>
        <v>Yes</v>
      </c>
    </row>
    <row r="74" customFormat="false" ht="17.25" hidden="false" customHeight="true" outlineLevel="0" collapsed="false">
      <c r="A74" s="29" t="s">
        <v>1190</v>
      </c>
      <c r="B74" s="29" t="s">
        <v>1190</v>
      </c>
      <c r="C74" s="29" t="s">
        <v>5467</v>
      </c>
      <c r="D74" s="29" t="s">
        <v>5556</v>
      </c>
      <c r="E74" s="29" t="str">
        <f aca="false">IF(COUNTIF('Cloud Config Baseline'!$B$30:$B$313,B74)&gt;0,"Yes","No")</f>
        <v>Yes</v>
      </c>
      <c r="G74" s="29" t="s">
        <v>7781</v>
      </c>
      <c r="H74" s="29" t="s">
        <v>5467</v>
      </c>
      <c r="I74" s="29" t="s">
        <v>1013</v>
      </c>
      <c r="J74" s="29" t="s">
        <v>5767</v>
      </c>
      <c r="K74" s="29" t="str">
        <f aca="false">IF(COUNTIF('Cloud Config Baseline'!$B$30:$B$313,I74)&gt;0,"Yes","No")</f>
        <v>Yes</v>
      </c>
    </row>
    <row r="75" customFormat="false" ht="17.25" hidden="false" customHeight="true" outlineLevel="0" collapsed="false">
      <c r="A75" s="29" t="s">
        <v>7790</v>
      </c>
      <c r="B75" s="29" t="s">
        <v>1196</v>
      </c>
      <c r="C75" s="29" t="s">
        <v>5467</v>
      </c>
      <c r="D75" s="29" t="s">
        <v>5556</v>
      </c>
      <c r="E75" s="29" t="str">
        <f aca="false">IF(COUNTIF('Cloud Config Baseline'!$B$30:$B$313,B75)&gt;0,"Yes","No")</f>
        <v>Yes</v>
      </c>
      <c r="G75" s="29" t="s">
        <v>5809</v>
      </c>
      <c r="H75" s="29" t="s">
        <v>5467</v>
      </c>
      <c r="I75" s="29" t="s">
        <v>1028</v>
      </c>
      <c r="J75" s="29" t="s">
        <v>5767</v>
      </c>
      <c r="K75" s="29" t="str">
        <f aca="false">IF(COUNTIF('Cloud Config Baseline'!$B$30:$B$313,I75)&gt;0,"Yes","No")</f>
        <v>Yes</v>
      </c>
    </row>
    <row r="76" customFormat="false" ht="17.25" hidden="false" customHeight="true" outlineLevel="0" collapsed="false">
      <c r="A76" s="29" t="s">
        <v>7791</v>
      </c>
      <c r="B76" s="29" t="s">
        <v>1304</v>
      </c>
      <c r="C76" s="29" t="s">
        <v>5468</v>
      </c>
      <c r="D76" s="29" t="s">
        <v>5556</v>
      </c>
      <c r="E76" s="29" t="str">
        <f aca="false">IF(COUNTIF('Cloud Config Baseline'!$B$30:$B$313,B76)&gt;0,"Yes","No")</f>
        <v>Yes</v>
      </c>
      <c r="G76" s="29" t="s">
        <v>7792</v>
      </c>
      <c r="H76" s="29" t="s">
        <v>5467</v>
      </c>
      <c r="I76" s="29" t="s">
        <v>1038</v>
      </c>
      <c r="J76" s="29" t="s">
        <v>5767</v>
      </c>
      <c r="K76" s="29" t="str">
        <f aca="false">IF(COUNTIF('Cloud Config Baseline'!$B$30:$B$313,I76)&gt;0,"Yes","No")</f>
        <v>Yes</v>
      </c>
    </row>
    <row r="77" customFormat="false" ht="17.25" hidden="false" customHeight="true" outlineLevel="0" collapsed="false">
      <c r="A77" s="29" t="s">
        <v>7793</v>
      </c>
      <c r="B77" s="29" t="s">
        <v>1361</v>
      </c>
      <c r="C77" s="29" t="s">
        <v>5468</v>
      </c>
      <c r="D77" s="29" t="s">
        <v>5556</v>
      </c>
      <c r="E77" s="29" t="str">
        <f aca="false">IF(COUNTIF('Cloud Config Baseline'!$B$30:$B$313,B77)&gt;0,"Yes","No")</f>
        <v>Yes</v>
      </c>
      <c r="G77" s="29" t="s">
        <v>5829</v>
      </c>
      <c r="H77" s="29" t="s">
        <v>5467</v>
      </c>
      <c r="I77" s="29" t="s">
        <v>1082</v>
      </c>
      <c r="J77" s="29" t="s">
        <v>5767</v>
      </c>
      <c r="K77" s="29" t="str">
        <f aca="false">IF(COUNTIF('Cloud Config Baseline'!$B$30:$B$313,I77)&gt;0,"Yes","No")</f>
        <v>Yes</v>
      </c>
    </row>
    <row r="78" customFormat="false" ht="17.25" hidden="false" customHeight="true" outlineLevel="0" collapsed="false">
      <c r="A78" s="29" t="s">
        <v>7794</v>
      </c>
      <c r="B78" s="29" t="s">
        <v>1371</v>
      </c>
      <c r="C78" s="29" t="s">
        <v>5469</v>
      </c>
      <c r="D78" s="29" t="s">
        <v>5556</v>
      </c>
      <c r="E78" s="29" t="str">
        <f aca="false">IF(COUNTIF('Cloud Config Baseline'!$B$30:$B$313,B78)&gt;0,"Yes","No")</f>
        <v>Yes</v>
      </c>
      <c r="G78" s="29" t="s">
        <v>5833</v>
      </c>
      <c r="H78" s="29" t="s">
        <v>5467</v>
      </c>
      <c r="I78" s="29" t="s">
        <v>1087</v>
      </c>
      <c r="J78" s="29" t="s">
        <v>5767</v>
      </c>
      <c r="K78" s="29" t="str">
        <f aca="false">IF(COUNTIF('Cloud Config Baseline'!$B$30:$B$313,I78)&gt;0,"Yes","No")</f>
        <v>Yes</v>
      </c>
    </row>
    <row r="79" customFormat="false" ht="17.25" hidden="false" customHeight="true" outlineLevel="0" collapsed="false">
      <c r="A79" s="29" t="s">
        <v>7795</v>
      </c>
      <c r="B79" s="29" t="s">
        <v>1397</v>
      </c>
      <c r="C79" s="29" t="s">
        <v>5469</v>
      </c>
      <c r="D79" s="29" t="s">
        <v>5556</v>
      </c>
      <c r="E79" s="29" t="str">
        <f aca="false">IF(COUNTIF('Cloud Config Baseline'!$B$30:$B$313,B79)&gt;0,"Yes","No")</f>
        <v>Yes</v>
      </c>
      <c r="G79" s="29" t="s">
        <v>5855</v>
      </c>
      <c r="H79" s="29" t="s">
        <v>5467</v>
      </c>
      <c r="I79" s="29" t="s">
        <v>1164</v>
      </c>
      <c r="J79" s="29" t="s">
        <v>5767</v>
      </c>
      <c r="K79" s="29" t="str">
        <f aca="false">IF(COUNTIF('Cloud Config Baseline'!$B$30:$B$313,I79)&gt;0,"Yes","No")</f>
        <v>Yes</v>
      </c>
    </row>
    <row r="80" customFormat="false" ht="17.25" hidden="false" customHeight="true" outlineLevel="0" collapsed="false">
      <c r="A80" s="29" t="s">
        <v>5913</v>
      </c>
      <c r="B80" s="29" t="s">
        <v>1429</v>
      </c>
      <c r="C80" s="29" t="s">
        <v>5469</v>
      </c>
      <c r="D80" s="29" t="s">
        <v>5556</v>
      </c>
      <c r="E80" s="29" t="str">
        <f aca="false">IF(COUNTIF('Cloud Config Baseline'!$B$30:$B$313,B80)&gt;0,"Yes","No")</f>
        <v>Yes</v>
      </c>
      <c r="G80" s="29" t="s">
        <v>5865</v>
      </c>
      <c r="H80" s="29" t="s">
        <v>5468</v>
      </c>
      <c r="I80" s="29" t="s">
        <v>1228</v>
      </c>
      <c r="J80" s="29" t="s">
        <v>5864</v>
      </c>
      <c r="K80" s="29" t="str">
        <f aca="false">IF(COUNTIF('Cloud Config Baseline'!$B$30:$B$313,I80)&gt;0,"Yes","No")</f>
        <v>Yes</v>
      </c>
    </row>
    <row r="81" customFormat="false" ht="17.25" hidden="false" customHeight="true" outlineLevel="0" collapsed="false">
      <c r="A81" s="29" t="s">
        <v>7796</v>
      </c>
      <c r="B81" s="29" t="s">
        <v>1464</v>
      </c>
      <c r="C81" s="29" t="s">
        <v>5469</v>
      </c>
      <c r="D81" s="29" t="s">
        <v>5556</v>
      </c>
      <c r="E81" s="29" t="str">
        <f aca="false">IF(COUNTIF('Cloud Config Baseline'!$B$30:$B$313,B81)&gt;0,"Yes","No")</f>
        <v>Yes</v>
      </c>
      <c r="G81" s="29" t="s">
        <v>7797</v>
      </c>
      <c r="H81" s="29" t="s">
        <v>5468</v>
      </c>
      <c r="I81" s="29" t="s">
        <v>1233</v>
      </c>
      <c r="J81" s="29" t="s">
        <v>5864</v>
      </c>
      <c r="K81" s="29" t="str">
        <f aca="false">IF(COUNTIF('Cloud Config Baseline'!$B$30:$B$313,I81)&gt;0,"Yes","No")</f>
        <v>Yes</v>
      </c>
    </row>
    <row r="82" customFormat="false" ht="17.25" hidden="false" customHeight="true" outlineLevel="0" collapsed="false">
      <c r="A82" s="29" t="s">
        <v>7798</v>
      </c>
      <c r="B82" s="29" t="s">
        <v>1494</v>
      </c>
      <c r="C82" s="29" t="s">
        <v>5469</v>
      </c>
      <c r="D82" s="29" t="s">
        <v>5556</v>
      </c>
      <c r="E82" s="29" t="str">
        <f aca="false">IF(COUNTIF('Cloud Config Baseline'!$B$30:$B$313,B82)&gt;0,"Yes","No")</f>
        <v>Yes</v>
      </c>
      <c r="G82" s="29" t="s">
        <v>5877</v>
      </c>
      <c r="H82" s="29" t="s">
        <v>5468</v>
      </c>
      <c r="I82" s="29" t="s">
        <v>1272</v>
      </c>
      <c r="J82" s="29" t="s">
        <v>5864</v>
      </c>
      <c r="K82" s="29" t="str">
        <f aca="false">IF(COUNTIF('Cloud Config Baseline'!$B$30:$B$313,I82)&gt;0,"Yes","No")</f>
        <v>Yes</v>
      </c>
    </row>
    <row r="83" customFormat="false" ht="17.25" hidden="false" customHeight="true" outlineLevel="0" collapsed="false">
      <c r="A83" s="29" t="s">
        <v>7799</v>
      </c>
      <c r="B83" s="29" t="s">
        <v>1504</v>
      </c>
      <c r="C83" s="29" t="s">
        <v>5469</v>
      </c>
      <c r="D83" s="29" t="s">
        <v>5556</v>
      </c>
      <c r="E83" s="29" t="str">
        <f aca="false">IF(COUNTIF('Cloud Config Baseline'!$B$30:$B$313,B83)&gt;0,"Yes","No")</f>
        <v>Yes</v>
      </c>
      <c r="G83" s="29" t="s">
        <v>7791</v>
      </c>
      <c r="H83" s="29" t="s">
        <v>5468</v>
      </c>
      <c r="I83" s="29" t="s">
        <v>1304</v>
      </c>
      <c r="J83" s="29" t="s">
        <v>5864</v>
      </c>
      <c r="K83" s="29" t="str">
        <f aca="false">IF(COUNTIF('Cloud Config Baseline'!$B$30:$B$313,I83)&gt;0,"Yes","No")</f>
        <v>Yes</v>
      </c>
    </row>
    <row r="84" customFormat="false" ht="17.25" hidden="false" customHeight="true" outlineLevel="0" collapsed="false">
      <c r="A84" s="29" t="s">
        <v>7800</v>
      </c>
      <c r="B84" s="29" t="s">
        <v>1554</v>
      </c>
      <c r="C84" s="29" t="s">
        <v>5469</v>
      </c>
      <c r="D84" s="29" t="s">
        <v>5556</v>
      </c>
      <c r="E84" s="29" t="str">
        <f aca="false">IF(COUNTIF('Cloud Config Baseline'!$B$30:$B$313,B84)&gt;0,"Yes","No")</f>
        <v>Yes</v>
      </c>
      <c r="G84" s="29" t="s">
        <v>7801</v>
      </c>
      <c r="H84" s="29" t="s">
        <v>5468</v>
      </c>
      <c r="I84" s="29" t="s">
        <v>1334</v>
      </c>
      <c r="J84" s="29" t="s">
        <v>5864</v>
      </c>
      <c r="K84" s="29" t="str">
        <f aca="false">IF(COUNTIF('Cloud Config Baseline'!$B$30:$B$313,I84)&gt;0,"Yes","No")</f>
        <v>Yes</v>
      </c>
    </row>
    <row r="85" customFormat="false" ht="17.25" hidden="false" customHeight="true" outlineLevel="0" collapsed="false">
      <c r="A85" s="29" t="s">
        <v>7802</v>
      </c>
      <c r="B85" s="29" t="s">
        <v>1562</v>
      </c>
      <c r="C85" s="29" t="s">
        <v>5469</v>
      </c>
      <c r="D85" s="29" t="s">
        <v>5556</v>
      </c>
      <c r="E85" s="29" t="str">
        <f aca="false">IF(COUNTIF('Cloud Config Baseline'!$B$30:$B$313,B85)&gt;0,"Yes","No")</f>
        <v>Yes</v>
      </c>
      <c r="G85" s="29" t="s">
        <v>5889</v>
      </c>
      <c r="H85" s="29" t="s">
        <v>5468</v>
      </c>
      <c r="I85" s="29" t="s">
        <v>1351</v>
      </c>
      <c r="J85" s="29" t="s">
        <v>5864</v>
      </c>
      <c r="K85" s="29" t="str">
        <f aca="false">IF(COUNTIF('Cloud Config Baseline'!$B$30:$B$313,I85)&gt;0,"Yes","No")</f>
        <v>Yes</v>
      </c>
    </row>
    <row r="86" customFormat="false" ht="17.25" hidden="false" customHeight="true" outlineLevel="0" collapsed="false">
      <c r="A86" s="29" t="s">
        <v>7803</v>
      </c>
      <c r="B86" s="29" t="s">
        <v>1567</v>
      </c>
      <c r="C86" s="29" t="s">
        <v>5469</v>
      </c>
      <c r="D86" s="29" t="s">
        <v>5556</v>
      </c>
      <c r="E86" s="29" t="str">
        <f aca="false">IF(COUNTIF('Cloud Config Baseline'!$B$30:$B$313,B86)&gt;0,"Yes","No")</f>
        <v>Yes</v>
      </c>
      <c r="G86" s="29" t="s">
        <v>5898</v>
      </c>
      <c r="H86" s="29" t="s">
        <v>5469</v>
      </c>
      <c r="I86" s="29" t="s">
        <v>1366</v>
      </c>
      <c r="J86" s="29" t="s">
        <v>5897</v>
      </c>
      <c r="K86" s="29" t="str">
        <f aca="false">IF(COUNTIF('Cloud Config Baseline'!$B$30:$B$313,I86)&gt;0,"Yes","No")</f>
        <v>Yes</v>
      </c>
    </row>
    <row r="87" customFormat="false" ht="17.25" hidden="false" customHeight="true" outlineLevel="0" collapsed="false">
      <c r="A87" s="29" t="s">
        <v>7804</v>
      </c>
      <c r="B87" s="29" t="s">
        <v>1572</v>
      </c>
      <c r="C87" s="29" t="s">
        <v>5469</v>
      </c>
      <c r="D87" s="29" t="s">
        <v>5556</v>
      </c>
      <c r="E87" s="29" t="str">
        <f aca="false">IF(COUNTIF('Cloud Config Baseline'!$B$30:$B$313,B87)&gt;0,"Yes","No")</f>
        <v>Yes</v>
      </c>
      <c r="G87" s="29" t="s">
        <v>7794</v>
      </c>
      <c r="H87" s="29" t="s">
        <v>5469</v>
      </c>
      <c r="I87" s="29" t="s">
        <v>1371</v>
      </c>
      <c r="J87" s="29" t="s">
        <v>5897</v>
      </c>
      <c r="K87" s="29" t="str">
        <f aca="false">IF(COUNTIF('Cloud Config Baseline'!$B$30:$B$313,I87)&gt;0,"Yes","No")</f>
        <v>Yes</v>
      </c>
    </row>
    <row r="88" customFormat="false" ht="17.25" hidden="false" customHeight="true" outlineLevel="0" collapsed="false">
      <c r="A88" s="29" t="s">
        <v>7805</v>
      </c>
      <c r="B88" s="29" t="s">
        <v>1682</v>
      </c>
      <c r="C88" s="29" t="s">
        <v>5470</v>
      </c>
      <c r="D88" s="29" t="s">
        <v>5556</v>
      </c>
      <c r="E88" s="29" t="str">
        <f aca="false">IF(COUNTIF('Cloud Config Baseline'!$B$30:$B$313,B88)&gt;0,"Yes","No")</f>
        <v>Yes</v>
      </c>
      <c r="G88" s="29" t="s">
        <v>7795</v>
      </c>
      <c r="H88" s="29" t="s">
        <v>5469</v>
      </c>
      <c r="I88" s="29" t="s">
        <v>1397</v>
      </c>
      <c r="J88" s="29" t="s">
        <v>5897</v>
      </c>
      <c r="K88" s="29" t="str">
        <f aca="false">IF(COUNTIF('Cloud Config Baseline'!$B$30:$B$313,I88)&gt;0,"Yes","No")</f>
        <v>Yes</v>
      </c>
    </row>
    <row r="89" customFormat="false" ht="17.25" hidden="false" customHeight="true" outlineLevel="0" collapsed="false">
      <c r="A89" s="29" t="s">
        <v>7806</v>
      </c>
      <c r="B89" s="29" t="s">
        <v>1697</v>
      </c>
      <c r="C89" s="29" t="s">
        <v>5470</v>
      </c>
      <c r="D89" s="29" t="s">
        <v>5556</v>
      </c>
      <c r="E89" s="29" t="str">
        <f aca="false">IF(COUNTIF('Cloud Config Baseline'!$B$30:$B$313,B89)&gt;0,"Yes","No")</f>
        <v>Yes</v>
      </c>
      <c r="G89" s="29" t="s">
        <v>5913</v>
      </c>
      <c r="H89" s="29" t="s">
        <v>5469</v>
      </c>
      <c r="I89" s="29" t="s">
        <v>1429</v>
      </c>
      <c r="J89" s="29" t="s">
        <v>5897</v>
      </c>
      <c r="K89" s="29" t="str">
        <f aca="false">IF(COUNTIF('Cloud Config Baseline'!$B$30:$B$313,I89)&gt;0,"Yes","No")</f>
        <v>Yes</v>
      </c>
    </row>
    <row r="90" customFormat="false" ht="17.25" hidden="false" customHeight="true" outlineLevel="0" collapsed="false">
      <c r="A90" s="29" t="s">
        <v>7807</v>
      </c>
      <c r="B90" s="29" t="s">
        <v>1760</v>
      </c>
      <c r="C90" s="29" t="s">
        <v>5470</v>
      </c>
      <c r="D90" s="29" t="s">
        <v>5556</v>
      </c>
      <c r="E90" s="29" t="str">
        <f aca="false">IF(COUNTIF('Cloud Config Baseline'!$B$30:$B$313,B90)&gt;0,"Yes","No")</f>
        <v>Yes</v>
      </c>
      <c r="G90" s="29" t="s">
        <v>7808</v>
      </c>
      <c r="H90" s="29" t="s">
        <v>5469</v>
      </c>
      <c r="I90" s="29" t="s">
        <v>1444</v>
      </c>
      <c r="J90" s="29" t="s">
        <v>5897</v>
      </c>
      <c r="K90" s="29" t="str">
        <f aca="false">IF(COUNTIF('Cloud Config Baseline'!$B$30:$B$313,I90)&gt;0,"Yes","No")</f>
        <v>Yes</v>
      </c>
    </row>
    <row r="91" customFormat="false" ht="17.25" hidden="false" customHeight="true" outlineLevel="0" collapsed="false">
      <c r="A91" s="29" t="s">
        <v>7809</v>
      </c>
      <c r="B91" s="29" t="s">
        <v>1765</v>
      </c>
      <c r="C91" s="29" t="s">
        <v>5470</v>
      </c>
      <c r="D91" s="29" t="s">
        <v>5556</v>
      </c>
      <c r="E91" s="29" t="str">
        <f aca="false">IF(COUNTIF('Cloud Config Baseline'!$B$30:$B$313,B91)&gt;0,"Yes","No")</f>
        <v>Yes</v>
      </c>
      <c r="G91" s="29" t="s">
        <v>7810</v>
      </c>
      <c r="H91" s="29" t="s">
        <v>5469</v>
      </c>
      <c r="I91" s="29" t="s">
        <v>1539</v>
      </c>
      <c r="J91" s="29" t="s">
        <v>5897</v>
      </c>
      <c r="K91" s="29" t="str">
        <f aca="false">IF(COUNTIF('Cloud Config Baseline'!$B$30:$B$313,I91)&gt;0,"Yes","No")</f>
        <v>Yes</v>
      </c>
    </row>
    <row r="92" customFormat="false" ht="17.25" hidden="false" customHeight="true" outlineLevel="0" collapsed="false">
      <c r="A92" s="29" t="s">
        <v>7811</v>
      </c>
      <c r="B92" s="29" t="s">
        <v>1770</v>
      </c>
      <c r="C92" s="29" t="s">
        <v>5470</v>
      </c>
      <c r="D92" s="29" t="s">
        <v>5556</v>
      </c>
      <c r="E92" s="29" t="str">
        <f aca="false">IF(COUNTIF('Cloud Config Baseline'!$B$30:$B$313,B92)&gt;0,"Yes","No")</f>
        <v>Yes</v>
      </c>
      <c r="G92" s="29" t="s">
        <v>5955</v>
      </c>
      <c r="H92" s="29" t="s">
        <v>5469</v>
      </c>
      <c r="I92" s="29" t="s">
        <v>1631</v>
      </c>
      <c r="J92" s="29" t="s">
        <v>5897</v>
      </c>
      <c r="K92" s="29" t="str">
        <f aca="false">IF(COUNTIF('Cloud Config Baseline'!$B$30:$B$313,I92)&gt;0,"Yes","No")</f>
        <v>Yes</v>
      </c>
    </row>
    <row r="93" customFormat="false" ht="17.25" hidden="false" customHeight="true" outlineLevel="0" collapsed="false">
      <c r="A93" s="29" t="s">
        <v>7812</v>
      </c>
      <c r="B93" s="29" t="s">
        <v>1840</v>
      </c>
      <c r="C93" s="29" t="s">
        <v>5470</v>
      </c>
      <c r="D93" s="29" t="s">
        <v>5556</v>
      </c>
      <c r="E93" s="29" t="str">
        <f aca="false">IF(COUNTIF('Cloud Config Baseline'!$B$30:$B$313,B93)&gt;0,"Yes","No")</f>
        <v>Yes</v>
      </c>
      <c r="G93" s="29" t="s">
        <v>1659</v>
      </c>
      <c r="H93" s="29" t="s">
        <v>5469</v>
      </c>
      <c r="I93" s="29" t="s">
        <v>1659</v>
      </c>
      <c r="J93" s="29" t="s">
        <v>5897</v>
      </c>
      <c r="K93" s="29" t="str">
        <f aca="false">IF(COUNTIF('Cloud Config Baseline'!$B$30:$B$313,I93)&gt;0,"Yes","No")</f>
        <v>Yes</v>
      </c>
    </row>
    <row r="94" customFormat="false" ht="17.25" hidden="false" customHeight="true" outlineLevel="0" collapsed="false">
      <c r="A94" s="29" t="s">
        <v>1881</v>
      </c>
      <c r="B94" s="29" t="s">
        <v>1881</v>
      </c>
      <c r="C94" s="29" t="s">
        <v>5470</v>
      </c>
      <c r="D94" s="29" t="s">
        <v>5556</v>
      </c>
      <c r="E94" s="29" t="str">
        <f aca="false">IF(COUNTIF('Cloud Config Baseline'!$B$30:$B$313,B94)&gt;0,"Yes","No")</f>
        <v>Yes</v>
      </c>
      <c r="G94" s="29" t="s">
        <v>5961</v>
      </c>
      <c r="H94" s="29" t="s">
        <v>5470</v>
      </c>
      <c r="I94" s="29" t="s">
        <v>1664</v>
      </c>
      <c r="J94" s="29" t="s">
        <v>5960</v>
      </c>
      <c r="K94" s="29" t="str">
        <f aca="false">IF(COUNTIF('Cloud Config Baseline'!$B$30:$B$313,I94)&gt;0,"Yes","No")</f>
        <v>Yes</v>
      </c>
    </row>
    <row r="95" customFormat="false" ht="17.25" hidden="false" customHeight="true" outlineLevel="0" collapsed="false">
      <c r="A95" s="29" t="s">
        <v>7813</v>
      </c>
      <c r="B95" s="29" t="s">
        <v>1929</v>
      </c>
      <c r="C95" s="29" t="s">
        <v>5471</v>
      </c>
      <c r="D95" s="29" t="s">
        <v>5556</v>
      </c>
      <c r="E95" s="29" t="str">
        <f aca="false">IF(COUNTIF('Cloud Config Baseline'!$B$30:$B$313,B95)&gt;0,"Yes","No")</f>
        <v>Yes</v>
      </c>
      <c r="G95" s="29" t="s">
        <v>5965</v>
      </c>
      <c r="H95" s="29" t="s">
        <v>5470</v>
      </c>
      <c r="I95" s="29" t="s">
        <v>1669</v>
      </c>
      <c r="J95" s="29" t="s">
        <v>5960</v>
      </c>
      <c r="K95" s="29" t="str">
        <f aca="false">IF(COUNTIF('Cloud Config Baseline'!$B$30:$B$313,I95)&gt;0,"Yes","No")</f>
        <v>Yes</v>
      </c>
    </row>
    <row r="96" customFormat="false" ht="17.25" hidden="false" customHeight="true" outlineLevel="0" collapsed="false">
      <c r="A96" s="29" t="s">
        <v>7814</v>
      </c>
      <c r="B96" s="29" t="s">
        <v>1934</v>
      </c>
      <c r="C96" s="29" t="s">
        <v>5471</v>
      </c>
      <c r="D96" s="29" t="s">
        <v>5556</v>
      </c>
      <c r="E96" s="29" t="str">
        <f aca="false">IF(COUNTIF('Cloud Config Baseline'!$B$30:$B$313,B96)&gt;0,"Yes","No")</f>
        <v>Yes</v>
      </c>
      <c r="G96" s="29" t="s">
        <v>7815</v>
      </c>
      <c r="H96" s="29" t="s">
        <v>5470</v>
      </c>
      <c r="I96" s="29" t="s">
        <v>1712</v>
      </c>
      <c r="J96" s="29" t="s">
        <v>5960</v>
      </c>
      <c r="K96" s="29" t="str">
        <f aca="false">IF(COUNTIF('Cloud Config Baseline'!$B$30:$B$313,I96)&gt;0,"Yes","No")</f>
        <v>Yes</v>
      </c>
    </row>
    <row r="97" customFormat="false" ht="17.25" hidden="false" customHeight="true" outlineLevel="0" collapsed="false">
      <c r="A97" s="29" t="s">
        <v>6025</v>
      </c>
      <c r="B97" s="29" t="s">
        <v>1944</v>
      </c>
      <c r="C97" s="29" t="s">
        <v>5471</v>
      </c>
      <c r="D97" s="29" t="s">
        <v>5556</v>
      </c>
      <c r="E97" s="29" t="str">
        <f aca="false">IF(COUNTIF('Cloud Config Baseline'!$B$30:$B$313,B97)&gt;0,"Yes","No")</f>
        <v>Yes</v>
      </c>
      <c r="G97" s="29" t="s">
        <v>7816</v>
      </c>
      <c r="H97" s="29" t="s">
        <v>5470</v>
      </c>
      <c r="I97" s="29" t="s">
        <v>1728</v>
      </c>
      <c r="J97" s="29" t="s">
        <v>5960</v>
      </c>
      <c r="K97" s="29" t="str">
        <f aca="false">IF(COUNTIF('Cloud Config Baseline'!$B$30:$B$313,I97)&gt;0,"Yes","No")</f>
        <v>Yes</v>
      </c>
    </row>
    <row r="98" customFormat="false" ht="17.25" hidden="false" customHeight="true" outlineLevel="0" collapsed="false">
      <c r="A98" s="29" t="s">
        <v>7817</v>
      </c>
      <c r="B98" s="29" t="s">
        <v>1949</v>
      </c>
      <c r="C98" s="29" t="s">
        <v>5471</v>
      </c>
      <c r="D98" s="29" t="s">
        <v>5556</v>
      </c>
      <c r="E98" s="29" t="str">
        <f aca="false">IF(COUNTIF('Cloud Config Baseline'!$B$30:$B$313,B98)&gt;0,"Yes","No")</f>
        <v>Yes</v>
      </c>
      <c r="G98" s="29" t="s">
        <v>7807</v>
      </c>
      <c r="H98" s="29" t="s">
        <v>5470</v>
      </c>
      <c r="I98" s="29" t="s">
        <v>1760</v>
      </c>
      <c r="J98" s="29" t="s">
        <v>5960</v>
      </c>
      <c r="K98" s="29" t="str">
        <f aca="false">IF(COUNTIF('Cloud Config Baseline'!$B$30:$B$313,I98)&gt;0,"Yes","No")</f>
        <v>Yes</v>
      </c>
    </row>
    <row r="99" customFormat="false" ht="17.25" hidden="false" customHeight="true" outlineLevel="0" collapsed="false">
      <c r="A99" s="29" t="s">
        <v>6042</v>
      </c>
      <c r="B99" s="29" t="s">
        <v>2035</v>
      </c>
      <c r="C99" s="29" t="s">
        <v>5471</v>
      </c>
      <c r="D99" s="29" t="s">
        <v>5556</v>
      </c>
      <c r="E99" s="29" t="str">
        <f aca="false">IF(COUNTIF('Cloud Config Baseline'!$B$30:$B$313,B99)&gt;0,"Yes","No")</f>
        <v>Yes</v>
      </c>
      <c r="G99" s="29" t="s">
        <v>5999</v>
      </c>
      <c r="H99" s="29" t="s">
        <v>5470</v>
      </c>
      <c r="I99" s="29" t="s">
        <v>1856</v>
      </c>
      <c r="J99" s="29" t="s">
        <v>5960</v>
      </c>
      <c r="K99" s="29" t="str">
        <f aca="false">IF(COUNTIF('Cloud Config Baseline'!$B$30:$B$313,I99)&gt;0,"Yes","No")</f>
        <v>Yes</v>
      </c>
    </row>
    <row r="100" customFormat="false" ht="17.25" hidden="false" customHeight="true" outlineLevel="0" collapsed="false">
      <c r="A100" s="29" t="s">
        <v>7818</v>
      </c>
      <c r="B100" s="29" t="s">
        <v>2283</v>
      </c>
      <c r="C100" s="29" t="s">
        <v>5472</v>
      </c>
      <c r="D100" s="29" t="s">
        <v>5556</v>
      </c>
      <c r="E100" s="29" t="str">
        <f aca="false">IF(COUNTIF('Cloud Config Baseline'!$B$30:$B$313,B100)&gt;0,"Yes","No")</f>
        <v>Yes</v>
      </c>
      <c r="G100" s="29" t="s">
        <v>6003</v>
      </c>
      <c r="H100" s="29" t="s">
        <v>5470</v>
      </c>
      <c r="I100" s="29" t="s">
        <v>1866</v>
      </c>
      <c r="J100" s="29" t="s">
        <v>5960</v>
      </c>
      <c r="K100" s="29" t="str">
        <f aca="false">IF(COUNTIF('Cloud Config Baseline'!$B$30:$B$313,I100)&gt;0,"Yes","No")</f>
        <v>Yes</v>
      </c>
    </row>
    <row r="101" customFormat="false" ht="17.25" hidden="false" customHeight="true" outlineLevel="0" collapsed="false">
      <c r="A101" s="29" t="s">
        <v>7819</v>
      </c>
      <c r="B101" s="29" t="s">
        <v>2303</v>
      </c>
      <c r="C101" s="29" t="s">
        <v>5472</v>
      </c>
      <c r="D101" s="29" t="s">
        <v>5556</v>
      </c>
      <c r="E101" s="29" t="str">
        <f aca="false">IF(COUNTIF('Cloud Config Baseline'!$B$30:$B$313,B101)&gt;0,"Yes","No")</f>
        <v>Yes</v>
      </c>
      <c r="G101" s="29" t="s">
        <v>6007</v>
      </c>
      <c r="H101" s="29" t="s">
        <v>5470</v>
      </c>
      <c r="I101" s="29" t="s">
        <v>1876</v>
      </c>
      <c r="J101" s="29" t="s">
        <v>5960</v>
      </c>
      <c r="K101" s="29" t="str">
        <f aca="false">IF(COUNTIF('Cloud Config Baseline'!$B$30:$B$313,I101)&gt;0,"Yes","No")</f>
        <v>Yes</v>
      </c>
    </row>
    <row r="102" customFormat="false" ht="17.25" hidden="false" customHeight="true" outlineLevel="0" collapsed="false">
      <c r="A102" s="29" t="s">
        <v>7820</v>
      </c>
      <c r="B102" s="29" t="s">
        <v>3453</v>
      </c>
      <c r="C102" s="29" t="s">
        <v>5480</v>
      </c>
      <c r="D102" s="29" t="s">
        <v>5556</v>
      </c>
      <c r="E102" s="29" t="str">
        <f aca="false">IF(COUNTIF('Cloud Config Baseline'!$B$30:$B$313,B102)&gt;0,"Yes","No")</f>
        <v>Yes</v>
      </c>
      <c r="G102" s="29" t="s">
        <v>7821</v>
      </c>
      <c r="H102" s="29" t="s">
        <v>5471</v>
      </c>
      <c r="I102" s="29" t="s">
        <v>1924</v>
      </c>
      <c r="J102" s="29" t="s">
        <v>5547</v>
      </c>
      <c r="K102" s="29" t="str">
        <f aca="false">IF(COUNTIF('Cloud Config Baseline'!$B$30:$B$313,I102)&gt;0,"Yes","No")</f>
        <v>Yes</v>
      </c>
    </row>
    <row r="103" customFormat="false" ht="17.25" hidden="false" customHeight="true" outlineLevel="0" collapsed="false">
      <c r="A103" s="29" t="s">
        <v>7822</v>
      </c>
      <c r="B103" s="29" t="s">
        <v>3540</v>
      </c>
      <c r="C103" s="29" t="s">
        <v>5481</v>
      </c>
      <c r="D103" s="29" t="s">
        <v>5556</v>
      </c>
      <c r="E103" s="29" t="str">
        <f aca="false">IF(COUNTIF('Cloud Config Baseline'!$B$30:$B$313,B103)&gt;0,"Yes","No")</f>
        <v>Yes</v>
      </c>
      <c r="G103" s="29" t="s">
        <v>7813</v>
      </c>
      <c r="H103" s="29" t="s">
        <v>5471</v>
      </c>
      <c r="I103" s="29" t="s">
        <v>1929</v>
      </c>
      <c r="J103" s="29" t="s">
        <v>5547</v>
      </c>
      <c r="K103" s="29" t="str">
        <f aca="false">IF(COUNTIF('Cloud Config Baseline'!$B$30:$B$313,I103)&gt;0,"Yes","No")</f>
        <v>Yes</v>
      </c>
    </row>
    <row r="104" customFormat="false" ht="17.25" hidden="false" customHeight="true" outlineLevel="0" collapsed="false">
      <c r="A104" s="29" t="s">
        <v>7823</v>
      </c>
      <c r="B104" s="29" t="s">
        <v>3697</v>
      </c>
      <c r="C104" s="29" t="s">
        <v>5481</v>
      </c>
      <c r="D104" s="29" t="s">
        <v>5556</v>
      </c>
      <c r="E104" s="29" t="str">
        <f aca="false">IF(COUNTIF('Cloud Config Baseline'!$B$30:$B$313,B104)&gt;0,"Yes","No")</f>
        <v>Yes</v>
      </c>
      <c r="G104" s="29" t="s">
        <v>6025</v>
      </c>
      <c r="H104" s="29" t="s">
        <v>5471</v>
      </c>
      <c r="I104" s="29" t="s">
        <v>1944</v>
      </c>
      <c r="J104" s="29" t="s">
        <v>5547</v>
      </c>
      <c r="K104" s="29" t="str">
        <f aca="false">IF(COUNTIF('Cloud Config Baseline'!$B$30:$B$313,I104)&gt;0,"Yes","No")</f>
        <v>Yes</v>
      </c>
    </row>
    <row r="105" customFormat="false" ht="17.25" hidden="false" customHeight="true" outlineLevel="0" collapsed="false">
      <c r="A105" s="29" t="s">
        <v>7824</v>
      </c>
      <c r="B105" s="29" t="s">
        <v>3722</v>
      </c>
      <c r="C105" s="29" t="s">
        <v>5481</v>
      </c>
      <c r="D105" s="29" t="s">
        <v>5556</v>
      </c>
      <c r="E105" s="29" t="str">
        <f aca="false">IF(COUNTIF('Cloud Config Baseline'!$B$30:$B$313,B105)&gt;0,"Yes","No")</f>
        <v>Yes</v>
      </c>
      <c r="G105" s="29" t="s">
        <v>6032</v>
      </c>
      <c r="H105" s="29" t="s">
        <v>5471</v>
      </c>
      <c r="I105" s="29" t="s">
        <v>1954</v>
      </c>
      <c r="J105" s="29" t="s">
        <v>5547</v>
      </c>
      <c r="K105" s="29" t="str">
        <f aca="false">IF(COUNTIF('Cloud Config Baseline'!$B$30:$B$313,I105)&gt;0,"Yes","No")</f>
        <v>Yes</v>
      </c>
    </row>
    <row r="106" customFormat="false" ht="17.25" hidden="false" customHeight="true" outlineLevel="0" collapsed="false">
      <c r="A106" s="29" t="s">
        <v>7825</v>
      </c>
      <c r="B106" s="29" t="s">
        <v>3732</v>
      </c>
      <c r="C106" s="29" t="s">
        <v>5481</v>
      </c>
      <c r="D106" s="29" t="s">
        <v>5556</v>
      </c>
      <c r="E106" s="29" t="str">
        <f aca="false">IF(COUNTIF('Cloud Config Baseline'!$B$30:$B$313,B106)&gt;0,"Yes","No")</f>
        <v>Yes</v>
      </c>
      <c r="G106" s="29" t="s">
        <v>6042</v>
      </c>
      <c r="H106" s="29" t="s">
        <v>5471</v>
      </c>
      <c r="I106" s="29" t="s">
        <v>2035</v>
      </c>
      <c r="J106" s="29" t="s">
        <v>5547</v>
      </c>
      <c r="K106" s="29" t="str">
        <f aca="false">IF(COUNTIF('Cloud Config Baseline'!$B$30:$B$313,I106)&gt;0,"Yes","No")</f>
        <v>Yes</v>
      </c>
    </row>
    <row r="107" customFormat="false" ht="17.25" hidden="false" customHeight="true" outlineLevel="0" collapsed="false">
      <c r="A107" s="29" t="s">
        <v>7826</v>
      </c>
      <c r="B107" s="29" t="s">
        <v>3737</v>
      </c>
      <c r="C107" s="29" t="s">
        <v>5481</v>
      </c>
      <c r="D107" s="29" t="s">
        <v>5556</v>
      </c>
      <c r="E107" s="29" t="str">
        <f aca="false">IF(COUNTIF('Cloud Config Baseline'!$B$30:$B$313,B107)&gt;0,"Yes","No")</f>
        <v>Yes</v>
      </c>
      <c r="G107" s="29" t="s">
        <v>7827</v>
      </c>
      <c r="H107" s="29" t="s">
        <v>5471</v>
      </c>
      <c r="I107" s="29" t="s">
        <v>2040</v>
      </c>
      <c r="J107" s="29" t="s">
        <v>5547</v>
      </c>
      <c r="K107" s="29" t="str">
        <f aca="false">IF(COUNTIF('Cloud Config Baseline'!$B$30:$B$313,I107)&gt;0,"Yes","No")</f>
        <v>Yes</v>
      </c>
    </row>
    <row r="108" customFormat="false" ht="17.25" hidden="false" customHeight="true" outlineLevel="0" collapsed="false">
      <c r="A108" s="29" t="s">
        <v>7828</v>
      </c>
      <c r="B108" s="29" t="s">
        <v>3742</v>
      </c>
      <c r="C108" s="29" t="s">
        <v>5481</v>
      </c>
      <c r="D108" s="29" t="s">
        <v>5556</v>
      </c>
      <c r="E108" s="29" t="str">
        <f aca="false">IF(COUNTIF('Cloud Config Baseline'!$B$30:$B$313,B108)&gt;0,"Yes","No")</f>
        <v>Yes</v>
      </c>
      <c r="G108" s="29" t="s">
        <v>6053</v>
      </c>
      <c r="H108" s="29" t="s">
        <v>5471</v>
      </c>
      <c r="I108" s="29" t="s">
        <v>2105</v>
      </c>
      <c r="J108" s="29" t="s">
        <v>5547</v>
      </c>
      <c r="K108" s="29" t="str">
        <f aca="false">IF(COUNTIF('Cloud Config Baseline'!$B$30:$B$313,I108)&gt;0,"Yes","No")</f>
        <v>Yes</v>
      </c>
    </row>
    <row r="109" customFormat="false" ht="17.25" hidden="false" customHeight="true" outlineLevel="0" collapsed="false">
      <c r="A109" s="29" t="s">
        <v>7829</v>
      </c>
      <c r="B109" s="29" t="s">
        <v>3955</v>
      </c>
      <c r="C109" s="29" t="s">
        <v>5481</v>
      </c>
      <c r="D109" s="29" t="s">
        <v>5556</v>
      </c>
      <c r="E109" s="29" t="str">
        <f aca="false">IF(COUNTIF('Cloud Config Baseline'!$B$30:$B$313,B109)&gt;0,"Yes","No")</f>
        <v>Yes</v>
      </c>
      <c r="G109" s="29" t="s">
        <v>7830</v>
      </c>
      <c r="H109" s="29" t="s">
        <v>5471</v>
      </c>
      <c r="I109" s="29" t="s">
        <v>2115</v>
      </c>
      <c r="J109" s="29" t="s">
        <v>5547</v>
      </c>
      <c r="K109" s="29" t="str">
        <f aca="false">IF(COUNTIF('Cloud Config Baseline'!$B$30:$B$313,I109)&gt;0,"Yes","No")</f>
        <v>Yes</v>
      </c>
    </row>
    <row r="110" customFormat="false" ht="17.25" hidden="false" customHeight="true" outlineLevel="0" collapsed="false">
      <c r="A110" s="29" t="s">
        <v>7831</v>
      </c>
      <c r="B110" s="29" t="s">
        <v>4030</v>
      </c>
      <c r="C110" s="29" t="s">
        <v>5481</v>
      </c>
      <c r="D110" s="29" t="s">
        <v>5556</v>
      </c>
      <c r="E110" s="29" t="str">
        <f aca="false">IF(COUNTIF('Cloud Config Baseline'!$B$30:$B$313,B110)&gt;0,"Yes","No")</f>
        <v>Yes</v>
      </c>
      <c r="G110" s="29" t="s">
        <v>6073</v>
      </c>
      <c r="H110" s="29" t="s">
        <v>5472</v>
      </c>
      <c r="I110" s="29" t="s">
        <v>2230</v>
      </c>
      <c r="J110" s="29" t="s">
        <v>6072</v>
      </c>
      <c r="K110" s="29" t="str">
        <f aca="false">IF(COUNTIF('Cloud Config Baseline'!$B$30:$B$313,I110)&gt;0,"Yes","No")</f>
        <v>Yes</v>
      </c>
    </row>
    <row r="111" customFormat="false" ht="17.25" hidden="false" customHeight="true" outlineLevel="0" collapsed="false">
      <c r="A111" s="29" t="s">
        <v>7832</v>
      </c>
      <c r="B111" s="29" t="s">
        <v>4135</v>
      </c>
      <c r="C111" s="29" t="s">
        <v>5482</v>
      </c>
      <c r="D111" s="29" t="s">
        <v>5556</v>
      </c>
      <c r="E111" s="29" t="str">
        <f aca="false">IF(COUNTIF('Cloud Config Baseline'!$B$30:$B$313,B111)&gt;0,"Yes","No")</f>
        <v>Yes</v>
      </c>
      <c r="G111" s="29" t="s">
        <v>7833</v>
      </c>
      <c r="H111" s="29" t="s">
        <v>5472</v>
      </c>
      <c r="I111" s="29" t="s">
        <v>2235</v>
      </c>
      <c r="J111" s="29" t="s">
        <v>6072</v>
      </c>
      <c r="K111" s="29" t="str">
        <f aca="false">IF(COUNTIF('Cloud Config Baseline'!$B$30:$B$313,I111)&gt;0,"Yes","No")</f>
        <v>Yes</v>
      </c>
    </row>
    <row r="112" customFormat="false" ht="17.25" hidden="false" customHeight="true" outlineLevel="0" collapsed="false">
      <c r="A112" s="29" t="s">
        <v>6290</v>
      </c>
      <c r="B112" s="29" t="s">
        <v>4145</v>
      </c>
      <c r="C112" s="29" t="s">
        <v>5482</v>
      </c>
      <c r="D112" s="29" t="s">
        <v>5581</v>
      </c>
      <c r="E112" s="29" t="str">
        <f aca="false">IF(COUNTIF('Cloud Config Baseline'!$B$30:$B$313,B112)&gt;0,"Yes","No")</f>
        <v>Yes</v>
      </c>
      <c r="G112" s="29" t="s">
        <v>7834</v>
      </c>
      <c r="H112" s="29" t="s">
        <v>5472</v>
      </c>
      <c r="I112" s="29" t="s">
        <v>2255</v>
      </c>
      <c r="J112" s="29" t="s">
        <v>6072</v>
      </c>
      <c r="K112" s="29" t="str">
        <f aca="false">IF(COUNTIF('Cloud Config Baseline'!$B$30:$B$313,I112)&gt;0,"Yes","No")</f>
        <v>Yes</v>
      </c>
    </row>
    <row r="113" customFormat="false" ht="17.25" hidden="false" customHeight="true" outlineLevel="0" collapsed="false">
      <c r="A113" s="29" t="s">
        <v>7835</v>
      </c>
      <c r="B113" s="29" t="s">
        <v>4150</v>
      </c>
      <c r="C113" s="29" t="s">
        <v>5482</v>
      </c>
      <c r="D113" s="29" t="s">
        <v>5556</v>
      </c>
      <c r="E113" s="29" t="str">
        <f aca="false">IF(COUNTIF('Cloud Config Baseline'!$B$30:$B$313,B113)&gt;0,"Yes","No")</f>
        <v>Yes</v>
      </c>
      <c r="G113" s="29" t="s">
        <v>6094</v>
      </c>
      <c r="H113" s="29" t="s">
        <v>5472</v>
      </c>
      <c r="I113" s="29" t="s">
        <v>2328</v>
      </c>
      <c r="J113" s="29" t="s">
        <v>6072</v>
      </c>
      <c r="K113" s="29" t="str">
        <f aca="false">IF(COUNTIF('Cloud Config Baseline'!$B$30:$B$313,I113)&gt;0,"Yes","No")</f>
        <v>Yes</v>
      </c>
    </row>
    <row r="114" customFormat="false" ht="17.25" hidden="false" customHeight="true" outlineLevel="0" collapsed="false">
      <c r="A114" s="29" t="s">
        <v>6300</v>
      </c>
      <c r="B114" s="29" t="s">
        <v>4160</v>
      </c>
      <c r="C114" s="29" t="s">
        <v>5482</v>
      </c>
      <c r="D114" s="29" t="s">
        <v>5556</v>
      </c>
      <c r="E114" s="29" t="str">
        <f aca="false">IF(COUNTIF('Cloud Config Baseline'!$B$30:$B$313,B114)&gt;0,"Yes","No")</f>
        <v>Yes</v>
      </c>
      <c r="G114" s="29" t="s">
        <v>6098</v>
      </c>
      <c r="H114" s="29" t="s">
        <v>5472</v>
      </c>
      <c r="I114" s="29" t="s">
        <v>2338</v>
      </c>
      <c r="J114" s="29" t="s">
        <v>6072</v>
      </c>
      <c r="K114" s="29" t="str">
        <f aca="false">IF(COUNTIF('Cloud Config Baseline'!$B$30:$B$313,I114)&gt;0,"Yes","No")</f>
        <v>Yes</v>
      </c>
    </row>
    <row r="115" customFormat="false" ht="17.25" hidden="false" customHeight="true" outlineLevel="0" collapsed="false">
      <c r="A115" s="29" t="s">
        <v>7836</v>
      </c>
      <c r="B115" s="29" t="s">
        <v>4165</v>
      </c>
      <c r="C115" s="29" t="s">
        <v>5482</v>
      </c>
      <c r="D115" s="29" t="s">
        <v>5556</v>
      </c>
      <c r="E115" s="29" t="str">
        <f aca="false">IF(COUNTIF('Cloud Config Baseline'!$B$30:$B$313,B115)&gt;0,"Yes","No")</f>
        <v>Yes</v>
      </c>
      <c r="G115" s="29" t="s">
        <v>6102</v>
      </c>
      <c r="H115" s="29" t="s">
        <v>5472</v>
      </c>
      <c r="I115" s="29" t="s">
        <v>2343</v>
      </c>
      <c r="J115" s="29" t="s">
        <v>6072</v>
      </c>
      <c r="K115" s="29" t="str">
        <f aca="false">IF(COUNTIF('Cloud Config Baseline'!$B$30:$B$313,I115)&gt;0,"Yes","No")</f>
        <v>Yes</v>
      </c>
    </row>
    <row r="116" customFormat="false" ht="17.25" hidden="false" customHeight="true" outlineLevel="0" collapsed="false">
      <c r="A116" s="29" t="s">
        <v>7837</v>
      </c>
      <c r="B116" s="29" t="s">
        <v>4170</v>
      </c>
      <c r="C116" s="29" t="s">
        <v>5482</v>
      </c>
      <c r="D116" s="29" t="s">
        <v>5556</v>
      </c>
      <c r="E116" s="29" t="str">
        <f aca="false">IF(COUNTIF('Cloud Config Baseline'!$B$30:$B$313,B116)&gt;0,"Yes","No")</f>
        <v>Yes</v>
      </c>
      <c r="G116" s="29" t="s">
        <v>7838</v>
      </c>
      <c r="H116" s="29" t="s">
        <v>5472</v>
      </c>
      <c r="I116" s="29" t="s">
        <v>2358</v>
      </c>
      <c r="J116" s="29" t="s">
        <v>6072</v>
      </c>
      <c r="K116" s="29" t="str">
        <f aca="false">IF(COUNTIF('Cloud Config Baseline'!$B$30:$B$313,I116)&gt;0,"Yes","No")</f>
        <v>Yes</v>
      </c>
    </row>
    <row r="117" customFormat="false" ht="17.25" hidden="false" customHeight="true" outlineLevel="0" collapsed="false">
      <c r="A117" s="29" t="s">
        <v>7839</v>
      </c>
      <c r="B117" s="29" t="s">
        <v>4175</v>
      </c>
      <c r="C117" s="29" t="s">
        <v>5482</v>
      </c>
      <c r="D117" s="29" t="s">
        <v>5556</v>
      </c>
      <c r="E117" s="29" t="str">
        <f aca="false">IF(COUNTIF('Cloud Config Baseline'!$B$30:$B$313,B117)&gt;0,"Yes","No")</f>
        <v>Yes</v>
      </c>
      <c r="G117" s="29" t="s">
        <v>6113</v>
      </c>
      <c r="H117" s="29" t="s">
        <v>5472</v>
      </c>
      <c r="I117" s="29" t="s">
        <v>2383</v>
      </c>
      <c r="J117" s="29" t="s">
        <v>6072</v>
      </c>
      <c r="K117" s="29" t="str">
        <f aca="false">IF(COUNTIF('Cloud Config Baseline'!$B$30:$B$313,I117)&gt;0,"Yes","No")</f>
        <v>Yes</v>
      </c>
    </row>
    <row r="118" customFormat="false" ht="17.25" hidden="false" customHeight="true" outlineLevel="0" collapsed="false">
      <c r="A118" s="29" t="s">
        <v>6313</v>
      </c>
      <c r="B118" s="29" t="s">
        <v>4190</v>
      </c>
      <c r="C118" s="29" t="s">
        <v>5482</v>
      </c>
      <c r="D118" s="29" t="s">
        <v>5556</v>
      </c>
      <c r="E118" s="29" t="str">
        <f aca="false">IF(COUNTIF('Cloud Config Baseline'!$B$30:$B$313,B118)&gt;0,"Yes","No")</f>
        <v>Yes</v>
      </c>
      <c r="G118" s="29" t="s">
        <v>6117</v>
      </c>
      <c r="H118" s="29" t="s">
        <v>5472</v>
      </c>
      <c r="I118" s="29" t="s">
        <v>2388</v>
      </c>
      <c r="J118" s="29" t="s">
        <v>6072</v>
      </c>
      <c r="K118" s="29" t="str">
        <f aca="false">IF(COUNTIF('Cloud Config Baseline'!$B$30:$B$313,I118)&gt;0,"Yes","No")</f>
        <v>Yes</v>
      </c>
    </row>
    <row r="119" customFormat="false" ht="17.25" hidden="false" customHeight="true" outlineLevel="0" collapsed="false">
      <c r="A119" s="29" t="s">
        <v>7840</v>
      </c>
      <c r="B119" s="29" t="s">
        <v>4200</v>
      </c>
      <c r="C119" s="29" t="s">
        <v>5482</v>
      </c>
      <c r="D119" s="29" t="s">
        <v>5556</v>
      </c>
      <c r="E119" s="29" t="str">
        <f aca="false">IF(COUNTIF('Cloud Config Baseline'!$B$30:$B$313,B119)&gt;0,"Yes","No")</f>
        <v>Yes</v>
      </c>
      <c r="G119" s="29" t="s">
        <v>6121</v>
      </c>
      <c r="H119" s="29" t="s">
        <v>5472</v>
      </c>
      <c r="I119" s="29" t="s">
        <v>2412</v>
      </c>
      <c r="J119" s="29" t="s">
        <v>6072</v>
      </c>
      <c r="K119" s="29" t="str">
        <f aca="false">IF(COUNTIF('Cloud Config Baseline'!$B$30:$B$313,I119)&gt;0,"Yes","No")</f>
        <v>Yes</v>
      </c>
    </row>
    <row r="120" customFormat="false" ht="17.25" hidden="false" customHeight="true" outlineLevel="0" collapsed="false">
      <c r="A120" s="29" t="s">
        <v>7841</v>
      </c>
      <c r="B120" s="29" t="s">
        <v>6329</v>
      </c>
      <c r="C120" s="29" t="s">
        <v>5482</v>
      </c>
      <c r="D120" s="29" t="s">
        <v>5556</v>
      </c>
      <c r="E120" s="29" t="str">
        <f aca="false">IF(COUNTIF('Cloud Config Baseline'!$B$30:$B$313,B120)&gt;0,"Yes","No")</f>
        <v>Yes</v>
      </c>
      <c r="G120" s="29" t="s">
        <v>6125</v>
      </c>
      <c r="H120" s="29" t="s">
        <v>5472</v>
      </c>
      <c r="I120" s="29" t="s">
        <v>2417</v>
      </c>
      <c r="J120" s="29" t="s">
        <v>6072</v>
      </c>
      <c r="K120" s="29" t="str">
        <f aca="false">IF(COUNTIF('Cloud Config Baseline'!$B$30:$B$313,I120)&gt;0,"Yes","No")</f>
        <v>Yes</v>
      </c>
    </row>
    <row r="121" customFormat="false" ht="17.25" hidden="false" customHeight="true" outlineLevel="0" collapsed="false">
      <c r="A121" s="29" t="s">
        <v>7842</v>
      </c>
      <c r="B121" s="29" t="s">
        <v>4240</v>
      </c>
      <c r="C121" s="29" t="s">
        <v>5482</v>
      </c>
      <c r="D121" s="29" t="s">
        <v>5556</v>
      </c>
      <c r="E121" s="29" t="str">
        <f aca="false">IF(COUNTIF('Cloud Config Baseline'!$B$30:$B$313,B121)&gt;0,"Yes","No")</f>
        <v>Yes</v>
      </c>
      <c r="G121" s="29" t="s">
        <v>6128</v>
      </c>
      <c r="H121" s="29" t="s">
        <v>5472</v>
      </c>
      <c r="I121" s="29" t="s">
        <v>2425</v>
      </c>
      <c r="J121" s="29" t="s">
        <v>6072</v>
      </c>
      <c r="K121" s="29" t="str">
        <f aca="false">IF(COUNTIF('Cloud Config Baseline'!$B$30:$B$313,I121)&gt;0,"Yes","No")</f>
        <v>Yes</v>
      </c>
    </row>
    <row r="122" customFormat="false" ht="17.25" hidden="false" customHeight="true" outlineLevel="0" collapsed="false">
      <c r="A122" s="29" t="s">
        <v>6340</v>
      </c>
      <c r="B122" s="29" t="s">
        <v>4245</v>
      </c>
      <c r="C122" s="29" t="s">
        <v>5482</v>
      </c>
      <c r="D122" s="29" t="s">
        <v>5556</v>
      </c>
      <c r="E122" s="29" t="str">
        <f aca="false">IF(COUNTIF('Cloud Config Baseline'!$B$30:$B$313,B122)&gt;0,"Yes","No")</f>
        <v>Yes</v>
      </c>
      <c r="G122" s="29" t="s">
        <v>6130</v>
      </c>
      <c r="H122" s="29" t="s">
        <v>5480</v>
      </c>
      <c r="I122" s="29" t="s">
        <v>3414</v>
      </c>
      <c r="J122" s="29" t="s">
        <v>5864</v>
      </c>
      <c r="K122" s="29" t="str">
        <f aca="false">IF(COUNTIF('Cloud Config Baseline'!$B$30:$B$313,I122)&gt;0,"Yes","No")</f>
        <v>Yes</v>
      </c>
    </row>
    <row r="123" customFormat="false" ht="17.25" hidden="false" customHeight="true" outlineLevel="0" collapsed="false">
      <c r="A123" s="29" t="s">
        <v>6352</v>
      </c>
      <c r="B123" s="29" t="s">
        <v>4290</v>
      </c>
      <c r="C123" s="29" t="s">
        <v>5482</v>
      </c>
      <c r="D123" s="29" t="s">
        <v>5556</v>
      </c>
      <c r="E123" s="29" t="str">
        <f aca="false">IF(COUNTIF('Cloud Config Baseline'!$B$30:$B$313,B123)&gt;0,"Yes","No")</f>
        <v>Yes</v>
      </c>
      <c r="G123" s="29" t="s">
        <v>7843</v>
      </c>
      <c r="H123" s="29" t="s">
        <v>5480</v>
      </c>
      <c r="I123" s="29" t="s">
        <v>3419</v>
      </c>
      <c r="J123" s="29" t="s">
        <v>5864</v>
      </c>
      <c r="K123" s="29" t="str">
        <f aca="false">IF(COUNTIF('Cloud Config Baseline'!$B$30:$B$313,I123)&gt;0,"Yes","No")</f>
        <v>Yes</v>
      </c>
    </row>
    <row r="124" customFormat="false" ht="17.25" hidden="false" customHeight="true" outlineLevel="0" collapsed="false">
      <c r="A124" s="29" t="s">
        <v>7844</v>
      </c>
      <c r="B124" s="29" t="s">
        <v>4295</v>
      </c>
      <c r="C124" s="29" t="s">
        <v>5482</v>
      </c>
      <c r="D124" s="29" t="s">
        <v>5556</v>
      </c>
      <c r="E124" s="29" t="str">
        <f aca="false">IF(COUNTIF('Cloud Config Baseline'!$B$30:$B$313,B124)&gt;0,"Yes","No")</f>
        <v>Yes</v>
      </c>
      <c r="G124" s="29" t="s">
        <v>6138</v>
      </c>
      <c r="H124" s="29" t="s">
        <v>5480</v>
      </c>
      <c r="I124" s="29" t="s">
        <v>3431</v>
      </c>
      <c r="J124" s="29" t="s">
        <v>5864</v>
      </c>
      <c r="K124" s="29" t="str">
        <f aca="false">IF(COUNTIF('Cloud Config Baseline'!$B$30:$B$313,I124)&gt;0,"Yes","No")</f>
        <v>Yes</v>
      </c>
    </row>
    <row r="125" customFormat="false" ht="17.25" hidden="false" customHeight="true" outlineLevel="0" collapsed="false">
      <c r="A125" s="29" t="s">
        <v>7845</v>
      </c>
      <c r="B125" s="29" t="s">
        <v>4300</v>
      </c>
      <c r="C125" s="29" t="s">
        <v>5482</v>
      </c>
      <c r="D125" s="29" t="s">
        <v>5556</v>
      </c>
      <c r="E125" s="29" t="str">
        <f aca="false">IF(COUNTIF('Cloud Config Baseline'!$B$30:$B$313,B125)&gt;0,"Yes","No")</f>
        <v>Yes</v>
      </c>
      <c r="G125" s="29" t="s">
        <v>6142</v>
      </c>
      <c r="H125" s="29" t="s">
        <v>5480</v>
      </c>
      <c r="I125" s="29" t="s">
        <v>3438</v>
      </c>
      <c r="J125" s="29" t="s">
        <v>5864</v>
      </c>
      <c r="K125" s="29" t="str">
        <f aca="false">IF(COUNTIF('Cloud Config Baseline'!$B$30:$B$313,I125)&gt;0,"Yes","No")</f>
        <v>Yes</v>
      </c>
    </row>
    <row r="126" customFormat="false" ht="17.25" hidden="false" customHeight="true" outlineLevel="0" collapsed="false">
      <c r="A126" s="29" t="s">
        <v>4335</v>
      </c>
      <c r="B126" s="29" t="s">
        <v>4335</v>
      </c>
      <c r="C126" s="29" t="s">
        <v>5482</v>
      </c>
      <c r="D126" s="29" t="s">
        <v>5556</v>
      </c>
      <c r="E126" s="29" t="str">
        <f aca="false">IF(COUNTIF('Cloud Config Baseline'!$B$30:$B$313,B126)&gt;0,"Yes","No")</f>
        <v>Yes</v>
      </c>
      <c r="G126" s="29" t="s">
        <v>6146</v>
      </c>
      <c r="H126" s="29" t="s">
        <v>5480</v>
      </c>
      <c r="I126" s="29" t="s">
        <v>3448</v>
      </c>
      <c r="J126" s="29" t="s">
        <v>5864</v>
      </c>
      <c r="K126" s="29" t="str">
        <f aca="false">IF(COUNTIF('Cloud Config Baseline'!$B$30:$B$313,I126)&gt;0,"Yes","No")</f>
        <v>Yes</v>
      </c>
    </row>
    <row r="127" customFormat="false" ht="17.25" hidden="false" customHeight="true" outlineLevel="0" collapsed="false">
      <c r="A127" s="29" t="s">
        <v>7846</v>
      </c>
      <c r="B127" s="29" t="s">
        <v>4345</v>
      </c>
      <c r="C127" s="29" t="s">
        <v>5482</v>
      </c>
      <c r="D127" s="29" t="s">
        <v>5556</v>
      </c>
      <c r="E127" s="29" t="str">
        <f aca="false">IF(COUNTIF('Cloud Config Baseline'!$B$30:$B$313,B127)&gt;0,"Yes","No")</f>
        <v>Yes</v>
      </c>
      <c r="G127" s="29" t="s">
        <v>7847</v>
      </c>
      <c r="H127" s="29" t="s">
        <v>5480</v>
      </c>
      <c r="I127" s="29" t="s">
        <v>3458</v>
      </c>
      <c r="J127" s="29" t="s">
        <v>5864</v>
      </c>
      <c r="K127" s="29" t="str">
        <f aca="false">IF(COUNTIF('Cloud Config Baseline'!$B$30:$B$313,I127)&gt;0,"Yes","No")</f>
        <v>Yes</v>
      </c>
    </row>
    <row r="128" customFormat="false" ht="17.25" hidden="false" customHeight="true" outlineLevel="0" collapsed="false">
      <c r="A128" s="29" t="s">
        <v>7848</v>
      </c>
      <c r="B128" s="29" t="s">
        <v>4350</v>
      </c>
      <c r="C128" s="29" t="s">
        <v>5482</v>
      </c>
      <c r="D128" s="29" t="s">
        <v>5556</v>
      </c>
      <c r="E128" s="29" t="str">
        <f aca="false">IF(COUNTIF('Cloud Config Baseline'!$B$30:$B$313,B128)&gt;0,"Yes","No")</f>
        <v>Yes</v>
      </c>
      <c r="G128" s="29" t="s">
        <v>6161</v>
      </c>
      <c r="H128" s="29" t="s">
        <v>5480</v>
      </c>
      <c r="I128" s="29" t="s">
        <v>3478</v>
      </c>
      <c r="J128" s="29" t="s">
        <v>5864</v>
      </c>
      <c r="K128" s="29" t="str">
        <f aca="false">IF(COUNTIF('Cloud Config Baseline'!$B$30:$B$313,I128)&gt;0,"Yes","No")</f>
        <v>Yes</v>
      </c>
    </row>
    <row r="129" customFormat="false" ht="17.25" hidden="false" customHeight="true" outlineLevel="0" collapsed="false">
      <c r="A129" s="29" t="s">
        <v>7849</v>
      </c>
      <c r="B129" s="29" t="s">
        <v>4355</v>
      </c>
      <c r="C129" s="29" t="s">
        <v>5482</v>
      </c>
      <c r="D129" s="29" t="s">
        <v>5556</v>
      </c>
      <c r="E129" s="29" t="str">
        <f aca="false">IF(COUNTIF('Cloud Config Baseline'!$B$30:$B$313,B129)&gt;0,"Yes","No")</f>
        <v>Yes</v>
      </c>
      <c r="G129" s="29" t="s">
        <v>6165</v>
      </c>
      <c r="H129" s="29" t="s">
        <v>5480</v>
      </c>
      <c r="I129" s="29" t="s">
        <v>3488</v>
      </c>
      <c r="J129" s="29" t="s">
        <v>5864</v>
      </c>
      <c r="K129" s="29" t="str">
        <f aca="false">IF(COUNTIF('Cloud Config Baseline'!$B$30:$B$313,I129)&gt;0,"Yes","No")</f>
        <v>Yes</v>
      </c>
    </row>
    <row r="130" customFormat="false" ht="17.25" hidden="false" customHeight="true" outlineLevel="0" collapsed="false">
      <c r="A130" s="29" t="s">
        <v>4360</v>
      </c>
      <c r="B130" s="29" t="s">
        <v>4360</v>
      </c>
      <c r="C130" s="29" t="s">
        <v>5482</v>
      </c>
      <c r="D130" s="29" t="s">
        <v>5556</v>
      </c>
      <c r="E130" s="29" t="str">
        <f aca="false">IF(COUNTIF('Cloud Config Baseline'!$B$30:$B$313,B130)&gt;0,"Yes","No")</f>
        <v>Yes</v>
      </c>
      <c r="G130" s="29" t="s">
        <v>6169</v>
      </c>
      <c r="H130" s="29" t="s">
        <v>5480</v>
      </c>
      <c r="I130" s="29" t="s">
        <v>3513</v>
      </c>
      <c r="J130" s="29" t="s">
        <v>5864</v>
      </c>
      <c r="K130" s="29" t="str">
        <f aca="false">IF(COUNTIF('Cloud Config Baseline'!$B$30:$B$313,I130)&gt;0,"Yes","No")</f>
        <v>Yes</v>
      </c>
    </row>
    <row r="131" customFormat="false" ht="17.25" hidden="false" customHeight="true" outlineLevel="0" collapsed="false">
      <c r="A131" s="29" t="s">
        <v>4400</v>
      </c>
      <c r="B131" s="29" t="s">
        <v>4400</v>
      </c>
      <c r="C131" s="29" t="s">
        <v>5482</v>
      </c>
      <c r="D131" s="29" t="s">
        <v>5556</v>
      </c>
      <c r="E131" s="29" t="str">
        <f aca="false">IF(COUNTIF('Cloud Config Baseline'!$B$30:$B$313,B131)&gt;0,"Yes","No")</f>
        <v>Yes</v>
      </c>
      <c r="G131" s="29" t="s">
        <v>6175</v>
      </c>
      <c r="H131" s="29" t="s">
        <v>5481</v>
      </c>
      <c r="I131" s="29" t="s">
        <v>3530</v>
      </c>
      <c r="J131" s="29" t="s">
        <v>6174</v>
      </c>
      <c r="K131" s="29" t="str">
        <f aca="false">IF(COUNTIF('Cloud Config Baseline'!$B$30:$B$313,I131)&gt;0,"Yes","No")</f>
        <v>Yes</v>
      </c>
    </row>
    <row r="132" customFormat="false" ht="17.25" hidden="false" customHeight="true" outlineLevel="0" collapsed="false">
      <c r="A132" s="29" t="s">
        <v>4455</v>
      </c>
      <c r="B132" s="29" t="s">
        <v>4455</v>
      </c>
      <c r="C132" s="29" t="s">
        <v>5482</v>
      </c>
      <c r="D132" s="29" t="s">
        <v>5556</v>
      </c>
      <c r="E132" s="29" t="str">
        <f aca="false">IF(COUNTIF('Cloud Config Baseline'!$B$30:$B$313,B132)&gt;0,"Yes","No")</f>
        <v>Yes</v>
      </c>
      <c r="G132" s="29" t="s">
        <v>7850</v>
      </c>
      <c r="H132" s="29" t="s">
        <v>5481</v>
      </c>
      <c r="I132" s="29" t="s">
        <v>3535</v>
      </c>
      <c r="J132" s="29" t="s">
        <v>6174</v>
      </c>
      <c r="K132" s="29" t="str">
        <f aca="false">IF(COUNTIF('Cloud Config Baseline'!$B$30:$B$313,I132)&gt;0,"Yes","No")</f>
        <v>Yes</v>
      </c>
    </row>
    <row r="133" customFormat="false" ht="17.25" hidden="false" customHeight="true" outlineLevel="0" collapsed="false">
      <c r="A133" s="29" t="s">
        <v>4502</v>
      </c>
      <c r="B133" s="29" t="s">
        <v>4502</v>
      </c>
      <c r="C133" s="29" t="s">
        <v>5482</v>
      </c>
      <c r="D133" s="29" t="s">
        <v>5556</v>
      </c>
      <c r="E133" s="29" t="str">
        <f aca="false">IF(COUNTIF('Cloud Config Baseline'!$B$30:$B$313,B133)&gt;0,"Yes","No")</f>
        <v>Yes</v>
      </c>
      <c r="G133" s="29" t="s">
        <v>7851</v>
      </c>
      <c r="H133" s="29" t="s">
        <v>5481</v>
      </c>
      <c r="I133" s="29" t="s">
        <v>3562</v>
      </c>
      <c r="J133" s="29" t="s">
        <v>6174</v>
      </c>
      <c r="K133" s="29" t="str">
        <f aca="false">IF(COUNTIF('Cloud Config Baseline'!$B$30:$B$313,I133)&gt;0,"Yes","No")</f>
        <v>Yes</v>
      </c>
    </row>
    <row r="134" customFormat="false" ht="17.25" hidden="false" customHeight="true" outlineLevel="0" collapsed="false">
      <c r="A134" s="29" t="s">
        <v>7852</v>
      </c>
      <c r="B134" s="29" t="s">
        <v>4508</v>
      </c>
      <c r="C134" s="29" t="s">
        <v>5482</v>
      </c>
      <c r="D134" s="29" t="s">
        <v>5556</v>
      </c>
      <c r="E134" s="29" t="str">
        <f aca="false">IF(COUNTIF('Cloud Config Baseline'!$B$30:$B$313,B134)&gt;0,"Yes","No")</f>
        <v>Yes</v>
      </c>
      <c r="G134" s="29" t="s">
        <v>6190</v>
      </c>
      <c r="H134" s="29" t="s">
        <v>5481</v>
      </c>
      <c r="I134" s="29" t="s">
        <v>3587</v>
      </c>
      <c r="J134" s="29" t="s">
        <v>6174</v>
      </c>
      <c r="K134" s="29" t="str">
        <f aca="false">IF(COUNTIF('Cloud Config Baseline'!$B$30:$B$313,I134)&gt;0,"Yes","No")</f>
        <v>Yes</v>
      </c>
    </row>
    <row r="135" customFormat="false" ht="17.25" hidden="false" customHeight="true" outlineLevel="0" collapsed="false">
      <c r="A135" s="29" t="s">
        <v>4613</v>
      </c>
      <c r="B135" s="29" t="s">
        <v>4613</v>
      </c>
      <c r="C135" s="29" t="s">
        <v>5482</v>
      </c>
      <c r="D135" s="29" t="s">
        <v>5581</v>
      </c>
      <c r="E135" s="29" t="str">
        <f aca="false">IF(COUNTIF('Cloud Config Baseline'!$B$30:$B$313,B135)&gt;0,"Yes","No")</f>
        <v>Yes</v>
      </c>
      <c r="G135" s="29" t="s">
        <v>6194</v>
      </c>
      <c r="H135" s="29" t="s">
        <v>5481</v>
      </c>
      <c r="I135" s="29" t="s">
        <v>3592</v>
      </c>
      <c r="J135" s="29" t="s">
        <v>6174</v>
      </c>
      <c r="K135" s="29" t="str">
        <f aca="false">IF(COUNTIF('Cloud Config Baseline'!$B$30:$B$313,I135)&gt;0,"Yes","No")</f>
        <v>Yes</v>
      </c>
    </row>
    <row r="136" customFormat="false" ht="17.25" hidden="false" customHeight="true" outlineLevel="0" collapsed="false">
      <c r="A136" s="29" t="s">
        <v>7853</v>
      </c>
      <c r="B136" s="29" t="s">
        <v>4778</v>
      </c>
      <c r="C136" s="29" t="s">
        <v>5483</v>
      </c>
      <c r="D136" s="29" t="s">
        <v>5556</v>
      </c>
      <c r="E136" s="29" t="str">
        <f aca="false">IF(COUNTIF('Cloud Config Baseline'!$B$30:$B$313,B136)&gt;0,"Yes","No")</f>
        <v>Yes</v>
      </c>
      <c r="G136" s="29" t="s">
        <v>6198</v>
      </c>
      <c r="H136" s="29" t="s">
        <v>5481</v>
      </c>
      <c r="I136" s="29" t="s">
        <v>3597</v>
      </c>
      <c r="J136" s="29" t="s">
        <v>6174</v>
      </c>
      <c r="K136" s="29" t="str">
        <f aca="false">IF(COUNTIF('Cloud Config Baseline'!$B$30:$B$313,I136)&gt;0,"Yes","No")</f>
        <v>Yes</v>
      </c>
    </row>
    <row r="137" customFormat="false" ht="17.25" hidden="false" customHeight="true" outlineLevel="0" collapsed="false">
      <c r="A137" s="29" t="s">
        <v>7854</v>
      </c>
      <c r="B137" s="29" t="s">
        <v>4785</v>
      </c>
      <c r="C137" s="29" t="s">
        <v>5483</v>
      </c>
      <c r="D137" s="29" t="s">
        <v>5556</v>
      </c>
      <c r="E137" s="29" t="str">
        <f aca="false">IF(COUNTIF('Cloud Config Baseline'!$B$30:$B$313,B137)&gt;0,"Yes","No")</f>
        <v>Yes</v>
      </c>
      <c r="G137" s="29" t="s">
        <v>6202</v>
      </c>
      <c r="H137" s="29" t="s">
        <v>5481</v>
      </c>
      <c r="I137" s="29" t="s">
        <v>3622</v>
      </c>
      <c r="J137" s="29" t="s">
        <v>6174</v>
      </c>
      <c r="K137" s="29" t="str">
        <f aca="false">IF(COUNTIF('Cloud Config Baseline'!$B$30:$B$313,I137)&gt;0,"Yes","No")</f>
        <v>Yes</v>
      </c>
    </row>
    <row r="138" customFormat="false" ht="17.25" hidden="false" customHeight="true" outlineLevel="0" collapsed="false">
      <c r="A138" s="29" t="s">
        <v>7855</v>
      </c>
      <c r="B138" s="29" t="s">
        <v>4835</v>
      </c>
      <c r="C138" s="29" t="s">
        <v>5483</v>
      </c>
      <c r="D138" s="29" t="s">
        <v>5556</v>
      </c>
      <c r="E138" s="29" t="str">
        <f aca="false">IF(COUNTIF('Cloud Config Baseline'!$B$30:$B$313,B138)&gt;0,"Yes","No")</f>
        <v>Yes</v>
      </c>
      <c r="G138" s="29" t="s">
        <v>7823</v>
      </c>
      <c r="H138" s="29" t="s">
        <v>5481</v>
      </c>
      <c r="I138" s="29" t="s">
        <v>3697</v>
      </c>
      <c r="J138" s="29" t="s">
        <v>6174</v>
      </c>
      <c r="K138" s="29" t="str">
        <f aca="false">IF(COUNTIF('Cloud Config Baseline'!$B$30:$B$313,I138)&gt;0,"Yes","No")</f>
        <v>Yes</v>
      </c>
    </row>
    <row r="139" customFormat="false" ht="17.25" hidden="false" customHeight="true" outlineLevel="0" collapsed="false">
      <c r="A139" s="29" t="s">
        <v>7856</v>
      </c>
      <c r="B139" s="29" t="s">
        <v>4840</v>
      </c>
      <c r="C139" s="29" t="s">
        <v>5483</v>
      </c>
      <c r="D139" s="29" t="s">
        <v>5556</v>
      </c>
      <c r="E139" s="29" t="str">
        <f aca="false">IF(COUNTIF('Cloud Config Baseline'!$B$30:$B$313,B139)&gt;0,"Yes","No")</f>
        <v>Yes</v>
      </c>
      <c r="G139" s="29" t="s">
        <v>6228</v>
      </c>
      <c r="H139" s="29" t="s">
        <v>5481</v>
      </c>
      <c r="I139" s="29" t="s">
        <v>3830</v>
      </c>
      <c r="J139" s="29" t="s">
        <v>6174</v>
      </c>
      <c r="K139" s="29" t="str">
        <f aca="false">IF(COUNTIF('Cloud Config Baseline'!$B$30:$B$313,I139)&gt;0,"Yes","No")</f>
        <v>Yes</v>
      </c>
    </row>
    <row r="140" customFormat="false" ht="17.25" hidden="false" customHeight="true" outlineLevel="0" collapsed="false">
      <c r="A140" s="29" t="s">
        <v>7857</v>
      </c>
      <c r="B140" s="29" t="s">
        <v>4845</v>
      </c>
      <c r="C140" s="29" t="s">
        <v>5483</v>
      </c>
      <c r="D140" s="29" t="s">
        <v>5556</v>
      </c>
      <c r="E140" s="29" t="str">
        <f aca="false">IF(COUNTIF('Cloud Config Baseline'!$B$30:$B$313,B140)&gt;0,"Yes","No")</f>
        <v>Yes</v>
      </c>
      <c r="G140" s="29" t="s">
        <v>6235</v>
      </c>
      <c r="H140" s="29" t="s">
        <v>5481</v>
      </c>
      <c r="I140" s="29" t="s">
        <v>3880</v>
      </c>
      <c r="J140" s="29" t="s">
        <v>6174</v>
      </c>
      <c r="K140" s="29" t="str">
        <f aca="false">IF(COUNTIF('Cloud Config Baseline'!$B$30:$B$313,I140)&gt;0,"Yes","No")</f>
        <v>Yes</v>
      </c>
    </row>
    <row r="141" customFormat="false" ht="17.25" hidden="false" customHeight="true" outlineLevel="0" collapsed="false">
      <c r="A141" s="29" t="s">
        <v>7858</v>
      </c>
      <c r="B141" s="29" t="s">
        <v>4855</v>
      </c>
      <c r="C141" s="29" t="s">
        <v>5483</v>
      </c>
      <c r="D141" s="29" t="s">
        <v>5556</v>
      </c>
      <c r="E141" s="29" t="str">
        <f aca="false">IF(COUNTIF('Cloud Config Baseline'!$B$30:$B$313,B141)&gt;0,"Yes","No")</f>
        <v>Yes</v>
      </c>
      <c r="G141" s="29" t="s">
        <v>3885</v>
      </c>
      <c r="H141" s="29" t="s">
        <v>5481</v>
      </c>
      <c r="I141" s="29" t="s">
        <v>3885</v>
      </c>
      <c r="J141" s="29" t="s">
        <v>6174</v>
      </c>
      <c r="K141" s="29" t="str">
        <f aca="false">IF(COUNTIF('Cloud Config Baseline'!$B$30:$B$313,I141)&gt;0,"Yes","No")</f>
        <v>Yes</v>
      </c>
    </row>
    <row r="142" customFormat="false" ht="17.25" hidden="false" customHeight="true" outlineLevel="0" collapsed="false">
      <c r="A142" s="29" t="s">
        <v>7859</v>
      </c>
      <c r="B142" s="29" t="s">
        <v>4860</v>
      </c>
      <c r="C142" s="29" t="s">
        <v>5483</v>
      </c>
      <c r="D142" s="29" t="s">
        <v>5556</v>
      </c>
      <c r="E142" s="29" t="str">
        <f aca="false">IF(COUNTIF('Cloud Config Baseline'!$B$30:$B$313,B142)&gt;0,"Yes","No")</f>
        <v>Yes</v>
      </c>
      <c r="G142" s="29" t="s">
        <v>6243</v>
      </c>
      <c r="H142" s="29" t="s">
        <v>5481</v>
      </c>
      <c r="I142" s="29" t="s">
        <v>3910</v>
      </c>
      <c r="J142" s="29" t="s">
        <v>6174</v>
      </c>
      <c r="K142" s="29" t="str">
        <f aca="false">IF(COUNTIF('Cloud Config Baseline'!$B$30:$B$313,I142)&gt;0,"Yes","No")</f>
        <v>Yes</v>
      </c>
    </row>
    <row r="143" customFormat="false" ht="17.25" hidden="false" customHeight="true" outlineLevel="0" collapsed="false">
      <c r="A143" s="29" t="s">
        <v>7860</v>
      </c>
      <c r="B143" s="29" t="s">
        <v>4880</v>
      </c>
      <c r="C143" s="29" t="s">
        <v>5483</v>
      </c>
      <c r="D143" s="29" t="s">
        <v>5556</v>
      </c>
      <c r="E143" s="29" t="str">
        <f aca="false">IF(COUNTIF('Cloud Config Baseline'!$B$30:$B$313,B143)&gt;0,"Yes","No")</f>
        <v>Yes</v>
      </c>
      <c r="G143" s="29" t="s">
        <v>3975</v>
      </c>
      <c r="H143" s="29" t="s">
        <v>5481</v>
      </c>
      <c r="I143" s="29" t="s">
        <v>3975</v>
      </c>
      <c r="J143" s="29" t="s">
        <v>6174</v>
      </c>
      <c r="K143" s="29" t="str">
        <f aca="false">IF(COUNTIF('Cloud Config Baseline'!$B$30:$B$313,I143)&gt;0,"Yes","No")</f>
        <v>Yes</v>
      </c>
    </row>
    <row r="144" customFormat="false" ht="17.25" hidden="false" customHeight="true" outlineLevel="0" collapsed="false">
      <c r="A144" s="29" t="s">
        <v>7861</v>
      </c>
      <c r="B144" s="29" t="s">
        <v>4885</v>
      </c>
      <c r="C144" s="29" t="s">
        <v>5483</v>
      </c>
      <c r="D144" s="29" t="s">
        <v>5556</v>
      </c>
      <c r="E144" s="29" t="str">
        <f aca="false">IF(COUNTIF('Cloud Config Baseline'!$B$30:$B$313,B144)&gt;0,"Yes","No")</f>
        <v>Yes</v>
      </c>
      <c r="G144" s="29" t="s">
        <v>3985</v>
      </c>
      <c r="H144" s="29" t="s">
        <v>5481</v>
      </c>
      <c r="I144" s="29" t="s">
        <v>3985</v>
      </c>
      <c r="J144" s="29" t="s">
        <v>6174</v>
      </c>
      <c r="K144" s="29" t="str">
        <f aca="false">IF(COUNTIF('Cloud Config Baseline'!$B$30:$B$313,I144)&gt;0,"Yes","No")</f>
        <v>Yes</v>
      </c>
    </row>
    <row r="145" customFormat="false" ht="17.25" hidden="false" customHeight="true" outlineLevel="0" collapsed="false">
      <c r="A145" s="29" t="s">
        <v>7862</v>
      </c>
      <c r="B145" s="29" t="s">
        <v>4915</v>
      </c>
      <c r="C145" s="29" t="s">
        <v>5483</v>
      </c>
      <c r="D145" s="29" t="s">
        <v>5556</v>
      </c>
      <c r="E145" s="29" t="str">
        <f aca="false">IF(COUNTIF('Cloud Config Baseline'!$B$30:$B$313,B145)&gt;0,"Yes","No")</f>
        <v>Yes</v>
      </c>
      <c r="G145" s="29" t="s">
        <v>6254</v>
      </c>
      <c r="H145" s="29" t="s">
        <v>5481</v>
      </c>
      <c r="I145" s="29" t="s">
        <v>6254</v>
      </c>
      <c r="J145" s="29" t="s">
        <v>6174</v>
      </c>
      <c r="K145" s="29" t="str">
        <f aca="false">IF(COUNTIF('Cloud Config Baseline'!$B$30:$B$313,I145)&gt;0,"Yes","No")</f>
        <v>Yes</v>
      </c>
    </row>
    <row r="146" customFormat="false" ht="17.25" hidden="false" customHeight="true" outlineLevel="0" collapsed="false">
      <c r="A146" s="29" t="s">
        <v>6500</v>
      </c>
      <c r="B146" s="29" t="s">
        <v>4925</v>
      </c>
      <c r="C146" s="29" t="s">
        <v>5483</v>
      </c>
      <c r="D146" s="29" t="s">
        <v>5556</v>
      </c>
      <c r="E146" s="29" t="str">
        <f aca="false">IF(COUNTIF('Cloud Config Baseline'!$B$30:$B$313,B146)&gt;0,"Yes","No")</f>
        <v>Yes</v>
      </c>
      <c r="G146" s="29" t="s">
        <v>3990</v>
      </c>
      <c r="H146" s="29" t="s">
        <v>5481</v>
      </c>
      <c r="I146" s="29" t="s">
        <v>3990</v>
      </c>
      <c r="J146" s="29" t="s">
        <v>6174</v>
      </c>
      <c r="K146" s="29" t="str">
        <f aca="false">IF(COUNTIF('Cloud Config Baseline'!$B$30:$B$313,I146)&gt;0,"Yes","No")</f>
        <v>Yes</v>
      </c>
    </row>
    <row r="147" customFormat="false" ht="17.25" hidden="false" customHeight="true" outlineLevel="0" collapsed="false">
      <c r="A147" s="29" t="s">
        <v>7863</v>
      </c>
      <c r="B147" s="29" t="s">
        <v>4935</v>
      </c>
      <c r="C147" s="29" t="s">
        <v>5483</v>
      </c>
      <c r="D147" s="29" t="s">
        <v>5556</v>
      </c>
      <c r="E147" s="29" t="str">
        <f aca="false">IF(COUNTIF('Cloud Config Baseline'!$B$30:$B$313,B147)&gt;0,"Yes","No")</f>
        <v>Yes</v>
      </c>
      <c r="G147" s="29" t="s">
        <v>4050</v>
      </c>
      <c r="H147" s="29" t="s">
        <v>5481</v>
      </c>
      <c r="I147" s="29" t="s">
        <v>4050</v>
      </c>
      <c r="J147" s="29" t="s">
        <v>6174</v>
      </c>
      <c r="K147" s="29" t="str">
        <f aca="false">IF(COUNTIF('Cloud Config Baseline'!$B$30:$B$313,I147)&gt;0,"Yes","No")</f>
        <v>Yes</v>
      </c>
    </row>
    <row r="148" customFormat="false" ht="17.25" hidden="false" customHeight="true" outlineLevel="0" collapsed="false">
      <c r="A148" s="29" t="s">
        <v>7864</v>
      </c>
      <c r="B148" s="29" t="s">
        <v>4950</v>
      </c>
      <c r="C148" s="29" t="s">
        <v>5483</v>
      </c>
      <c r="D148" s="29" t="s">
        <v>5556</v>
      </c>
      <c r="E148" s="29" t="str">
        <f aca="false">IF(COUNTIF('Cloud Config Baseline'!$B$30:$B$313,B148)&gt;0,"Yes","No")</f>
        <v>Yes</v>
      </c>
      <c r="G148" s="29" t="s">
        <v>6271</v>
      </c>
      <c r="H148" s="29" t="s">
        <v>5482</v>
      </c>
      <c r="I148" s="29" t="s">
        <v>4080</v>
      </c>
      <c r="J148" s="29" t="s">
        <v>5873</v>
      </c>
      <c r="K148" s="29" t="str">
        <f aca="false">IF(COUNTIF('Cloud Config Baseline'!$B$30:$B$313,I148)&gt;0,"Yes","No")</f>
        <v>Yes</v>
      </c>
    </row>
    <row r="149" customFormat="false" ht="17.25" hidden="false" customHeight="true" outlineLevel="0" collapsed="false">
      <c r="A149" s="29" t="s">
        <v>7865</v>
      </c>
      <c r="B149" s="29" t="s">
        <v>4986</v>
      </c>
      <c r="C149" s="29" t="s">
        <v>5483</v>
      </c>
      <c r="D149" s="29" t="s">
        <v>5556</v>
      </c>
      <c r="E149" s="29" t="str">
        <f aca="false">IF(COUNTIF('Cloud Config Baseline'!$B$30:$B$313,B149)&gt;0,"Yes","No")</f>
        <v>Yes</v>
      </c>
      <c r="G149" s="29" t="s">
        <v>7866</v>
      </c>
      <c r="H149" s="29" t="s">
        <v>5482</v>
      </c>
      <c r="I149" s="29" t="s">
        <v>4085</v>
      </c>
      <c r="J149" s="29" t="s">
        <v>5873</v>
      </c>
      <c r="K149" s="29" t="str">
        <f aca="false">IF(COUNTIF('Cloud Config Baseline'!$B$30:$B$313,I149)&gt;0,"Yes","No")</f>
        <v>Yes</v>
      </c>
    </row>
    <row r="150" customFormat="false" ht="17.25" hidden="false" customHeight="true" outlineLevel="0" collapsed="false">
      <c r="A150" s="29" t="s">
        <v>7867</v>
      </c>
      <c r="B150" s="29" t="s">
        <v>5006</v>
      </c>
      <c r="C150" s="29" t="s">
        <v>5483</v>
      </c>
      <c r="D150" s="29" t="s">
        <v>5556</v>
      </c>
      <c r="E150" s="29" t="str">
        <f aca="false">IF(COUNTIF('Cloud Config Baseline'!$B$30:$B$313,B150)&gt;0,"Yes","No")</f>
        <v>Yes</v>
      </c>
      <c r="G150" s="29" t="s">
        <v>7868</v>
      </c>
      <c r="H150" s="29" t="s">
        <v>5482</v>
      </c>
      <c r="I150" s="29" t="s">
        <v>4090</v>
      </c>
      <c r="J150" s="29" t="s">
        <v>5873</v>
      </c>
      <c r="K150" s="29" t="str">
        <f aca="false">IF(COUNTIF('Cloud Config Baseline'!$B$30:$B$313,I150)&gt;0,"Yes","No")</f>
        <v>Yes</v>
      </c>
    </row>
    <row r="151" customFormat="false" ht="17.25" hidden="false" customHeight="true" outlineLevel="0" collapsed="false">
      <c r="A151" s="29" t="s">
        <v>7869</v>
      </c>
      <c r="B151" s="29" t="s">
        <v>5011</v>
      </c>
      <c r="C151" s="29" t="s">
        <v>5483</v>
      </c>
      <c r="D151" s="29" t="s">
        <v>5556</v>
      </c>
      <c r="E151" s="29" t="str">
        <f aca="false">IF(COUNTIF('Cloud Config Baseline'!$B$30:$B$313,B151)&gt;0,"Yes","No")</f>
        <v>Yes</v>
      </c>
      <c r="G151" s="29" t="s">
        <v>7870</v>
      </c>
      <c r="H151" s="29" t="s">
        <v>5482</v>
      </c>
      <c r="I151" s="29" t="s">
        <v>4095</v>
      </c>
      <c r="J151" s="29" t="s">
        <v>5873</v>
      </c>
      <c r="K151" s="29" t="str">
        <f aca="false">IF(COUNTIF('Cloud Config Baseline'!$B$30:$B$313,I151)&gt;0,"Yes","No")</f>
        <v>Yes</v>
      </c>
    </row>
    <row r="152" customFormat="false" ht="17.25" hidden="false" customHeight="true" outlineLevel="0" collapsed="false">
      <c r="A152" s="29" t="s">
        <v>7871</v>
      </c>
      <c r="B152" s="29" t="s">
        <v>5016</v>
      </c>
      <c r="C152" s="29" t="s">
        <v>5483</v>
      </c>
      <c r="D152" s="29" t="s">
        <v>5556</v>
      </c>
      <c r="E152" s="29" t="str">
        <f aca="false">IF(COUNTIF('Cloud Config Baseline'!$B$30:$B$313,B152)&gt;0,"Yes","No")</f>
        <v>Yes</v>
      </c>
      <c r="G152" s="29" t="s">
        <v>6290</v>
      </c>
      <c r="H152" s="29" t="s">
        <v>5482</v>
      </c>
      <c r="I152" s="29" t="s">
        <v>4145</v>
      </c>
      <c r="J152" s="29" t="s">
        <v>5873</v>
      </c>
      <c r="K152" s="29" t="str">
        <f aca="false">IF(COUNTIF('Cloud Config Baseline'!$B$30:$B$313,I152)&gt;0,"Yes","No")</f>
        <v>Yes</v>
      </c>
    </row>
    <row r="153" customFormat="false" ht="17.25" hidden="false" customHeight="true" outlineLevel="0" collapsed="false">
      <c r="A153" s="29" t="s">
        <v>5126</v>
      </c>
      <c r="B153" s="29" t="s">
        <v>5126</v>
      </c>
      <c r="C153" s="29" t="s">
        <v>5483</v>
      </c>
      <c r="D153" s="29" t="s">
        <v>5556</v>
      </c>
      <c r="E153" s="29" t="str">
        <f aca="false">IF(COUNTIF('Cloud Config Baseline'!$B$30:$B$313,B153)&gt;0,"Yes","No")</f>
        <v>Yes</v>
      </c>
      <c r="G153" s="29" t="s">
        <v>6300</v>
      </c>
      <c r="H153" s="29" t="s">
        <v>5482</v>
      </c>
      <c r="I153" s="29" t="s">
        <v>4160</v>
      </c>
      <c r="J153" s="29" t="s">
        <v>5873</v>
      </c>
      <c r="K153" s="29" t="str">
        <f aca="false">IF(COUNTIF('Cloud Config Baseline'!$B$30:$B$313,I153)&gt;0,"Yes","No")</f>
        <v>Yes</v>
      </c>
    </row>
    <row r="154" customFormat="false" ht="17.25" hidden="false" customHeight="true" outlineLevel="0" collapsed="false">
      <c r="A154" s="29" t="s">
        <v>6547</v>
      </c>
      <c r="B154" s="29" t="s">
        <v>5166</v>
      </c>
      <c r="C154" s="29" t="s">
        <v>5483</v>
      </c>
      <c r="D154" s="29" t="s">
        <v>5581</v>
      </c>
      <c r="E154" s="29" t="str">
        <f aca="false">IF(COUNTIF('Cloud Config Baseline'!$B$30:$B$313,B154)&gt;0,"Yes","No")</f>
        <v>Yes</v>
      </c>
      <c r="G154" s="29" t="s">
        <v>6313</v>
      </c>
      <c r="H154" s="29" t="s">
        <v>5482</v>
      </c>
      <c r="I154" s="29" t="s">
        <v>4190</v>
      </c>
      <c r="J154" s="29" t="s">
        <v>5873</v>
      </c>
      <c r="K154" s="29" t="str">
        <f aca="false">IF(COUNTIF('Cloud Config Baseline'!$B$30:$B$313,I154)&gt;0,"Yes","No")</f>
        <v>Yes</v>
      </c>
    </row>
    <row r="155" customFormat="false" ht="17.25" hidden="false" customHeight="true" outlineLevel="0" collapsed="false">
      <c r="A155" s="29" t="s">
        <v>5281</v>
      </c>
      <c r="B155" s="29" t="s">
        <v>5281</v>
      </c>
      <c r="C155" s="29" t="s">
        <v>5483</v>
      </c>
      <c r="D155" s="29" t="s">
        <v>5556</v>
      </c>
      <c r="E155" s="29" t="str">
        <f aca="false">IF(COUNTIF('Cloud Config Baseline'!$B$30:$B$313,B155)&gt;0,"Yes","No")</f>
        <v>Yes</v>
      </c>
      <c r="G155" s="29" t="s">
        <v>7872</v>
      </c>
      <c r="H155" s="29" t="s">
        <v>5482</v>
      </c>
      <c r="I155" s="29" t="s">
        <v>4205</v>
      </c>
      <c r="J155" s="29" t="s">
        <v>5873</v>
      </c>
      <c r="K155" s="29" t="str">
        <f aca="false">IF(COUNTIF('Cloud Config Baseline'!$B$30:$B$313,I155)&gt;0,"Yes","No")</f>
        <v>Yes</v>
      </c>
    </row>
    <row r="156" customFormat="false" ht="17.25" hidden="false" customHeight="true" outlineLevel="0" collapsed="false">
      <c r="G156" s="29" t="s">
        <v>7873</v>
      </c>
      <c r="H156" s="29" t="s">
        <v>5482</v>
      </c>
      <c r="I156" s="29" t="s">
        <v>4210</v>
      </c>
      <c r="J156" s="29" t="s">
        <v>5873</v>
      </c>
      <c r="K156" s="29" t="str">
        <f aca="false">IF(COUNTIF('Cloud Config Baseline'!$B$30:$B$313,I156)&gt;0,"Yes","No")</f>
        <v>Yes</v>
      </c>
    </row>
    <row r="157" customFormat="false" ht="17.25" hidden="false" customHeight="true" outlineLevel="0" collapsed="false">
      <c r="G157" s="29" t="s">
        <v>6340</v>
      </c>
      <c r="H157" s="29" t="s">
        <v>5482</v>
      </c>
      <c r="I157" s="29" t="s">
        <v>4245</v>
      </c>
      <c r="J157" s="29" t="s">
        <v>5873</v>
      </c>
      <c r="K157" s="29" t="str">
        <f aca="false">IF(COUNTIF('Cloud Config Baseline'!$B$30:$B$313,I157)&gt;0,"Yes","No")</f>
        <v>Yes</v>
      </c>
    </row>
    <row r="158" customFormat="false" ht="17.25" hidden="false" customHeight="true" outlineLevel="0" collapsed="false">
      <c r="G158" s="29" t="s">
        <v>6344</v>
      </c>
      <c r="H158" s="29" t="s">
        <v>5482</v>
      </c>
      <c r="I158" s="29" t="s">
        <v>4250</v>
      </c>
      <c r="J158" s="29" t="s">
        <v>5873</v>
      </c>
      <c r="K158" s="29" t="str">
        <f aca="false">IF(COUNTIF('Cloud Config Baseline'!$B$30:$B$313,I158)&gt;0,"Yes","No")</f>
        <v>Yes</v>
      </c>
    </row>
    <row r="159" customFormat="false" ht="17.25" hidden="false" customHeight="true" outlineLevel="0" collapsed="false">
      <c r="G159" s="29" t="s">
        <v>6348</v>
      </c>
      <c r="H159" s="29" t="s">
        <v>5482</v>
      </c>
      <c r="I159" s="29" t="s">
        <v>4260</v>
      </c>
      <c r="J159" s="29" t="s">
        <v>5873</v>
      </c>
      <c r="K159" s="29" t="str">
        <f aca="false">IF(COUNTIF('Cloud Config Baseline'!$B$30:$B$313,I159)&gt;0,"Yes","No")</f>
        <v>Yes</v>
      </c>
    </row>
    <row r="160" customFormat="false" ht="17.25" hidden="false" customHeight="true" outlineLevel="0" collapsed="false">
      <c r="G160" s="29" t="s">
        <v>6352</v>
      </c>
      <c r="H160" s="29" t="s">
        <v>5482</v>
      </c>
      <c r="I160" s="29" t="s">
        <v>4290</v>
      </c>
      <c r="J160" s="29" t="s">
        <v>5873</v>
      </c>
      <c r="K160" s="29" t="str">
        <f aca="false">IF(COUNTIF('Cloud Config Baseline'!$B$30:$B$313,I160)&gt;0,"Yes","No")</f>
        <v>Yes</v>
      </c>
    </row>
    <row r="161" customFormat="false" ht="17.25" hidden="false" customHeight="true" outlineLevel="0" collapsed="false">
      <c r="G161" s="29" t="s">
        <v>4320</v>
      </c>
      <c r="H161" s="29" t="s">
        <v>5482</v>
      </c>
      <c r="I161" s="29" t="s">
        <v>4320</v>
      </c>
      <c r="J161" s="29" t="s">
        <v>5873</v>
      </c>
      <c r="K161" s="29" t="str">
        <f aca="false">IF(COUNTIF('Cloud Config Baseline'!$B$30:$B$313,I161)&gt;0,"Yes","No")</f>
        <v>Yes</v>
      </c>
    </row>
    <row r="162" customFormat="false" ht="17.25" hidden="false" customHeight="true" outlineLevel="0" collapsed="false">
      <c r="G162" s="29" t="s">
        <v>4335</v>
      </c>
      <c r="H162" s="29" t="s">
        <v>5482</v>
      </c>
      <c r="I162" s="29" t="s">
        <v>4335</v>
      </c>
      <c r="J162" s="29" t="s">
        <v>5873</v>
      </c>
      <c r="K162" s="29" t="str">
        <f aca="false">IF(COUNTIF('Cloud Config Baseline'!$B$30:$B$313,I162)&gt;0,"Yes","No")</f>
        <v>Yes</v>
      </c>
    </row>
    <row r="163" customFormat="false" ht="17.25" hidden="false" customHeight="true" outlineLevel="0" collapsed="false">
      <c r="G163" s="29" t="s">
        <v>4360</v>
      </c>
      <c r="H163" s="29" t="s">
        <v>5482</v>
      </c>
      <c r="I163" s="29" t="s">
        <v>4360</v>
      </c>
      <c r="J163" s="29" t="s">
        <v>5873</v>
      </c>
      <c r="K163" s="29" t="str">
        <f aca="false">IF(COUNTIF('Cloud Config Baseline'!$B$30:$B$313,I163)&gt;0,"Yes","No")</f>
        <v>Yes</v>
      </c>
    </row>
    <row r="164" customFormat="false" ht="17.25" hidden="false" customHeight="true" outlineLevel="0" collapsed="false">
      <c r="G164" s="29" t="s">
        <v>4400</v>
      </c>
      <c r="H164" s="29" t="s">
        <v>5482</v>
      </c>
      <c r="I164" s="29" t="s">
        <v>4400</v>
      </c>
      <c r="J164" s="29" t="s">
        <v>5873</v>
      </c>
      <c r="K164" s="29" t="str">
        <f aca="false">IF(COUNTIF('Cloud Config Baseline'!$B$30:$B$313,I164)&gt;0,"Yes","No")</f>
        <v>Yes</v>
      </c>
    </row>
    <row r="165" customFormat="false" ht="17.25" hidden="false" customHeight="true" outlineLevel="0" collapsed="false">
      <c r="G165" s="29" t="s">
        <v>4435</v>
      </c>
      <c r="H165" s="29" t="s">
        <v>5482</v>
      </c>
      <c r="I165" s="29" t="s">
        <v>4435</v>
      </c>
      <c r="J165" s="29" t="s">
        <v>5873</v>
      </c>
      <c r="K165" s="29" t="str">
        <f aca="false">IF(COUNTIF('Cloud Config Baseline'!$B$30:$B$313,I165)&gt;0,"Yes","No")</f>
        <v>Yes</v>
      </c>
    </row>
    <row r="166" customFormat="false" ht="17.25" hidden="false" customHeight="true" outlineLevel="0" collapsed="false">
      <c r="G166" s="29" t="s">
        <v>4445</v>
      </c>
      <c r="H166" s="29" t="s">
        <v>5482</v>
      </c>
      <c r="I166" s="29" t="s">
        <v>4445</v>
      </c>
      <c r="J166" s="29" t="s">
        <v>5873</v>
      </c>
      <c r="K166" s="29" t="str">
        <f aca="false">IF(COUNTIF('Cloud Config Baseline'!$B$30:$B$313,I166)&gt;0,"Yes","No")</f>
        <v>Yes</v>
      </c>
    </row>
    <row r="167" customFormat="false" ht="17.25" hidden="false" customHeight="true" outlineLevel="0" collapsed="false">
      <c r="G167" s="29" t="s">
        <v>6396</v>
      </c>
      <c r="H167" s="29" t="s">
        <v>5482</v>
      </c>
      <c r="I167" s="29" t="s">
        <v>4460</v>
      </c>
      <c r="J167" s="29" t="s">
        <v>5873</v>
      </c>
      <c r="K167" s="29" t="str">
        <f aca="false">IF(COUNTIF('Cloud Config Baseline'!$B$30:$B$313,I167)&gt;0,"Yes","No")</f>
        <v>Yes</v>
      </c>
    </row>
    <row r="168" customFormat="false" ht="17.25" hidden="false" customHeight="true" outlineLevel="0" collapsed="false">
      <c r="G168" s="29" t="s">
        <v>4608</v>
      </c>
      <c r="H168" s="29" t="s">
        <v>5482</v>
      </c>
      <c r="I168" s="29" t="s">
        <v>4608</v>
      </c>
      <c r="J168" s="29" t="s">
        <v>5873</v>
      </c>
      <c r="K168" s="29" t="str">
        <f aca="false">IF(COUNTIF('Cloud Config Baseline'!$B$30:$B$313,I168)&gt;0,"Yes","No")</f>
        <v>Yes</v>
      </c>
    </row>
    <row r="169" customFormat="false" ht="17.25" hidden="false" customHeight="true" outlineLevel="0" collapsed="false">
      <c r="G169" s="29" t="s">
        <v>4658</v>
      </c>
      <c r="H169" s="29" t="s">
        <v>5482</v>
      </c>
      <c r="I169" s="29" t="s">
        <v>4658</v>
      </c>
      <c r="J169" s="29" t="s">
        <v>5873</v>
      </c>
      <c r="K169" s="29" t="str">
        <f aca="false">IF(COUNTIF('Cloud Config Baseline'!$B$30:$B$313,I169)&gt;0,"Yes","No")</f>
        <v>Yes</v>
      </c>
    </row>
    <row r="170" customFormat="false" ht="17.25" hidden="false" customHeight="true" outlineLevel="0" collapsed="false">
      <c r="G170" s="29" t="s">
        <v>7874</v>
      </c>
      <c r="H170" s="29" t="s">
        <v>5482</v>
      </c>
      <c r="I170" s="29" t="s">
        <v>4668</v>
      </c>
      <c r="J170" s="29" t="s">
        <v>5873</v>
      </c>
      <c r="K170" s="29" t="str">
        <f aca="false">IF(COUNTIF('Cloud Config Baseline'!$B$30:$B$313,I170)&gt;0,"Yes","No")</f>
        <v>Yes</v>
      </c>
    </row>
    <row r="171" customFormat="false" ht="17.25" hidden="false" customHeight="true" outlineLevel="0" collapsed="false">
      <c r="G171" s="29" t="s">
        <v>4683</v>
      </c>
      <c r="H171" s="29" t="s">
        <v>5482</v>
      </c>
      <c r="I171" s="29" t="s">
        <v>4683</v>
      </c>
      <c r="J171" s="29" t="s">
        <v>5873</v>
      </c>
      <c r="K171" s="29" t="str">
        <f aca="false">IF(COUNTIF('Cloud Config Baseline'!$B$30:$B$313,I171)&gt;0,"Yes","No")</f>
        <v>Yes</v>
      </c>
    </row>
    <row r="172" customFormat="false" ht="17.25" hidden="false" customHeight="true" outlineLevel="0" collapsed="false">
      <c r="G172" s="29" t="s">
        <v>6427</v>
      </c>
      <c r="H172" s="29" t="s">
        <v>5482</v>
      </c>
      <c r="I172" s="29" t="s">
        <v>4703</v>
      </c>
      <c r="J172" s="29" t="s">
        <v>5873</v>
      </c>
      <c r="K172" s="29" t="str">
        <f aca="false">IF(COUNTIF('Cloud Config Baseline'!$B$30:$B$313,I172)&gt;0,"Yes","No")</f>
        <v>Yes</v>
      </c>
    </row>
    <row r="173" customFormat="false" ht="17.25" hidden="false" customHeight="true" outlineLevel="0" collapsed="false">
      <c r="G173" s="29" t="s">
        <v>6430</v>
      </c>
      <c r="H173" s="29" t="s">
        <v>5483</v>
      </c>
      <c r="I173" s="29" t="s">
        <v>4773</v>
      </c>
      <c r="J173" s="29" t="s">
        <v>6429</v>
      </c>
      <c r="K173" s="29" t="str">
        <f aca="false">IF(COUNTIF('Cloud Config Baseline'!$B$30:$B$313,I173)&gt;0,"Yes","No")</f>
        <v>Yes</v>
      </c>
    </row>
    <row r="174" customFormat="false" ht="17.25" hidden="false" customHeight="true" outlineLevel="0" collapsed="false">
      <c r="G174" s="29" t="s">
        <v>7853</v>
      </c>
      <c r="H174" s="29" t="s">
        <v>5483</v>
      </c>
      <c r="I174" s="29" t="s">
        <v>4778</v>
      </c>
      <c r="J174" s="29" t="s">
        <v>6429</v>
      </c>
      <c r="K174" s="29" t="str">
        <f aca="false">IF(COUNTIF('Cloud Config Baseline'!$B$30:$B$313,I174)&gt;0,"Yes","No")</f>
        <v>Yes</v>
      </c>
    </row>
    <row r="175" customFormat="false" ht="17.25" hidden="false" customHeight="true" outlineLevel="0" collapsed="false">
      <c r="G175" s="29" t="s">
        <v>6444</v>
      </c>
      <c r="H175" s="29" t="s">
        <v>5483</v>
      </c>
      <c r="I175" s="29" t="s">
        <v>4805</v>
      </c>
      <c r="J175" s="29" t="s">
        <v>6429</v>
      </c>
      <c r="K175" s="29" t="str">
        <f aca="false">IF(COUNTIF('Cloud Config Baseline'!$B$30:$B$313,I175)&gt;0,"Yes","No")</f>
        <v>Yes</v>
      </c>
    </row>
    <row r="176" customFormat="false" ht="17.25" hidden="false" customHeight="true" outlineLevel="0" collapsed="false">
      <c r="G176" s="29" t="s">
        <v>6447</v>
      </c>
      <c r="H176" s="29" t="s">
        <v>5483</v>
      </c>
      <c r="I176" s="29" t="s">
        <v>4810</v>
      </c>
      <c r="J176" s="29" t="s">
        <v>6429</v>
      </c>
      <c r="K176" s="29" t="str">
        <f aca="false">IF(COUNTIF('Cloud Config Baseline'!$B$30:$B$313,I176)&gt;0,"Yes","No")</f>
        <v>Yes</v>
      </c>
    </row>
    <row r="177" customFormat="false" ht="17.25" hidden="false" customHeight="true" outlineLevel="0" collapsed="false">
      <c r="G177" s="29" t="s">
        <v>6451</v>
      </c>
      <c r="H177" s="29" t="s">
        <v>5483</v>
      </c>
      <c r="I177" s="29" t="s">
        <v>4815</v>
      </c>
      <c r="J177" s="29" t="s">
        <v>6429</v>
      </c>
      <c r="K177" s="29" t="str">
        <f aca="false">IF(COUNTIF('Cloud Config Baseline'!$B$30:$B$313,I177)&gt;0,"Yes","No")</f>
        <v>Yes</v>
      </c>
    </row>
    <row r="178" customFormat="false" ht="17.25" hidden="false" customHeight="true" outlineLevel="0" collapsed="false">
      <c r="G178" s="29" t="s">
        <v>6455</v>
      </c>
      <c r="H178" s="29" t="s">
        <v>5483</v>
      </c>
      <c r="I178" s="29" t="s">
        <v>4820</v>
      </c>
      <c r="J178" s="29" t="s">
        <v>6429</v>
      </c>
      <c r="K178" s="29" t="str">
        <f aca="false">IF(COUNTIF('Cloud Config Baseline'!$B$30:$B$313,I178)&gt;0,"Yes","No")</f>
        <v>Yes</v>
      </c>
    </row>
    <row r="179" customFormat="false" ht="17.25" hidden="false" customHeight="true" outlineLevel="0" collapsed="false">
      <c r="G179" s="29" t="s">
        <v>6459</v>
      </c>
      <c r="H179" s="29" t="s">
        <v>5483</v>
      </c>
      <c r="I179" s="29" t="s">
        <v>4830</v>
      </c>
      <c r="J179" s="29" t="s">
        <v>6429</v>
      </c>
      <c r="K179" s="29" t="str">
        <f aca="false">IF(COUNTIF('Cloud Config Baseline'!$B$30:$B$313,I179)&gt;0,"Yes","No")</f>
        <v>Yes</v>
      </c>
    </row>
    <row r="180" customFormat="false" ht="17.25" hidden="false" customHeight="true" outlineLevel="0" collapsed="false">
      <c r="G180" s="29" t="s">
        <v>7855</v>
      </c>
      <c r="H180" s="29" t="s">
        <v>5483</v>
      </c>
      <c r="I180" s="29" t="s">
        <v>4835</v>
      </c>
      <c r="J180" s="29" t="s">
        <v>6429</v>
      </c>
      <c r="K180" s="29" t="str">
        <f aca="false">IF(COUNTIF('Cloud Config Baseline'!$B$30:$B$313,I180)&gt;0,"Yes","No")</f>
        <v>Yes</v>
      </c>
    </row>
    <row r="181" customFormat="false" ht="17.25" hidden="false" customHeight="true" outlineLevel="0" collapsed="false">
      <c r="G181" s="29" t="s">
        <v>7856</v>
      </c>
      <c r="H181" s="29" t="s">
        <v>5483</v>
      </c>
      <c r="I181" s="29" t="s">
        <v>4840</v>
      </c>
      <c r="J181" s="29" t="s">
        <v>6429</v>
      </c>
      <c r="K181" s="29" t="str">
        <f aca="false">IF(COUNTIF('Cloud Config Baseline'!$B$30:$B$313,I181)&gt;0,"Yes","No")</f>
        <v>Yes</v>
      </c>
    </row>
    <row r="182" customFormat="false" ht="17.25" hidden="false" customHeight="true" outlineLevel="0" collapsed="false">
      <c r="G182" s="29" t="s">
        <v>7875</v>
      </c>
      <c r="H182" s="29" t="s">
        <v>5483</v>
      </c>
      <c r="I182" s="29" t="s">
        <v>4865</v>
      </c>
      <c r="J182" s="29" t="s">
        <v>6429</v>
      </c>
      <c r="K182" s="29" t="str">
        <f aca="false">IF(COUNTIF('Cloud Config Baseline'!$B$30:$B$313,I182)&gt;0,"Yes","No")</f>
        <v>Yes</v>
      </c>
    </row>
    <row r="183" customFormat="false" ht="17.25" hidden="false" customHeight="true" outlineLevel="0" collapsed="false">
      <c r="G183" s="29" t="s">
        <v>7876</v>
      </c>
      <c r="H183" s="29" t="s">
        <v>5483</v>
      </c>
      <c r="I183" s="29" t="s">
        <v>4895</v>
      </c>
      <c r="J183" s="29" t="s">
        <v>6429</v>
      </c>
      <c r="K183" s="29" t="str">
        <f aca="false">IF(COUNTIF('Cloud Config Baseline'!$B$30:$B$313,I183)&gt;0,"Yes","No")</f>
        <v>Yes</v>
      </c>
    </row>
    <row r="184" customFormat="false" ht="17.25" hidden="false" customHeight="true" outlineLevel="0" collapsed="false">
      <c r="G184" s="29" t="s">
        <v>6493</v>
      </c>
      <c r="H184" s="29" t="s">
        <v>5483</v>
      </c>
      <c r="I184" s="29" t="s">
        <v>4910</v>
      </c>
      <c r="J184" s="29" t="s">
        <v>6429</v>
      </c>
      <c r="K184" s="29" t="str">
        <f aca="false">IF(COUNTIF('Cloud Config Baseline'!$B$30:$B$313,I184)&gt;0,"Yes","No")</f>
        <v>Yes</v>
      </c>
    </row>
    <row r="185" customFormat="false" ht="17.25" hidden="false" customHeight="true" outlineLevel="0" collapsed="false">
      <c r="G185" s="29" t="s">
        <v>6500</v>
      </c>
      <c r="H185" s="29" t="s">
        <v>5483</v>
      </c>
      <c r="I185" s="29" t="s">
        <v>4925</v>
      </c>
      <c r="J185" s="29" t="s">
        <v>6429</v>
      </c>
      <c r="K185" s="29" t="str">
        <f aca="false">IF(COUNTIF('Cloud Config Baseline'!$B$30:$B$313,I185)&gt;0,"Yes","No")</f>
        <v>Yes</v>
      </c>
    </row>
    <row r="186" customFormat="false" ht="17.25" hidden="false" customHeight="true" outlineLevel="0" collapsed="false">
      <c r="G186" s="29" t="s">
        <v>7867</v>
      </c>
      <c r="H186" s="29" t="s">
        <v>5483</v>
      </c>
      <c r="I186" s="29" t="s">
        <v>5006</v>
      </c>
      <c r="J186" s="29" t="s">
        <v>6429</v>
      </c>
      <c r="K186" s="29" t="str">
        <f aca="false">IF(COUNTIF('Cloud Config Baseline'!$B$30:$B$313,I186)&gt;0,"Yes","No")</f>
        <v>Yes</v>
      </c>
    </row>
    <row r="187" customFormat="false" ht="17.25" hidden="false" customHeight="true" outlineLevel="0" collapsed="false">
      <c r="G187" s="29" t="s">
        <v>6529</v>
      </c>
      <c r="H187" s="29" t="s">
        <v>5483</v>
      </c>
      <c r="I187" s="29" t="s">
        <v>5066</v>
      </c>
      <c r="J187" s="29" t="s">
        <v>6429</v>
      </c>
      <c r="K187" s="29" t="str">
        <f aca="false">IF(COUNTIF('Cloud Config Baseline'!$B$30:$B$313,I187)&gt;0,"Yes","No")</f>
        <v>Yes</v>
      </c>
    </row>
    <row r="188" customFormat="false" ht="17.25" hidden="false" customHeight="true" outlineLevel="0" collapsed="false">
      <c r="G188" s="29" t="s">
        <v>7877</v>
      </c>
      <c r="H188" s="29" t="s">
        <v>5483</v>
      </c>
      <c r="I188" s="29" t="s">
        <v>5076</v>
      </c>
      <c r="J188" s="29" t="s">
        <v>6429</v>
      </c>
      <c r="K188" s="29" t="str">
        <f aca="false">IF(COUNTIF('Cloud Config Baseline'!$B$30:$B$313,I188)&gt;0,"Yes","No")</f>
        <v>Yes</v>
      </c>
    </row>
    <row r="189" customFormat="false" ht="17.25" hidden="false" customHeight="true" outlineLevel="0" collapsed="false">
      <c r="G189" s="29" t="s">
        <v>5086</v>
      </c>
      <c r="H189" s="29" t="s">
        <v>5483</v>
      </c>
      <c r="I189" s="29" t="s">
        <v>5086</v>
      </c>
      <c r="J189" s="29" t="s">
        <v>6429</v>
      </c>
      <c r="K189" s="29" t="str">
        <f aca="false">IF(COUNTIF('Cloud Config Baseline'!$B$30:$B$313,I189)&gt;0,"Yes","No")</f>
        <v>Yes</v>
      </c>
    </row>
    <row r="190" customFormat="false" ht="17.25" hidden="false" customHeight="true" outlineLevel="0" collapsed="false">
      <c r="G190" s="29" t="s">
        <v>6543</v>
      </c>
      <c r="H190" s="29" t="s">
        <v>5483</v>
      </c>
      <c r="I190" s="29" t="s">
        <v>5136</v>
      </c>
      <c r="J190" s="29" t="s">
        <v>6429</v>
      </c>
      <c r="K190" s="29" t="str">
        <f aca="false">IF(COUNTIF('Cloud Config Baseline'!$B$30:$B$313,I190)&gt;0,"Yes","No")</f>
        <v>Yes</v>
      </c>
    </row>
    <row r="191" customFormat="false" ht="17.25" hidden="false" customHeight="true" outlineLevel="0" collapsed="false">
      <c r="G191" s="29" t="s">
        <v>6547</v>
      </c>
      <c r="H191" s="29" t="s">
        <v>5483</v>
      </c>
      <c r="I191" s="29" t="s">
        <v>5166</v>
      </c>
      <c r="J191" s="29" t="s">
        <v>6429</v>
      </c>
      <c r="K191" s="29" t="str">
        <f aca="false">IF(COUNTIF('Cloud Config Baseline'!$B$30:$B$313,I191)&gt;0,"Yes","No")</f>
        <v>Yes</v>
      </c>
    </row>
    <row r="192" customFormat="false" ht="17.25" hidden="false" customHeight="true" outlineLevel="0" collapsed="false">
      <c r="G192" s="29" t="s">
        <v>5171</v>
      </c>
      <c r="H192" s="29" t="s">
        <v>5483</v>
      </c>
      <c r="I192" s="29" t="s">
        <v>5171</v>
      </c>
      <c r="J192" s="29" t="s">
        <v>6429</v>
      </c>
      <c r="K192" s="29" t="str">
        <f aca="false">IF(COUNTIF('Cloud Config Baseline'!$B$30:$B$313,I192)&gt;0,"Yes","No")</f>
        <v>Yes</v>
      </c>
    </row>
    <row r="193" customFormat="false" ht="17.25" hidden="false" customHeight="true" outlineLevel="0" collapsed="false">
      <c r="G193" s="29" t="s">
        <v>5206</v>
      </c>
      <c r="H193" s="29" t="s">
        <v>5483</v>
      </c>
      <c r="I193" s="29" t="s">
        <v>5206</v>
      </c>
      <c r="J193" s="29" t="s">
        <v>6429</v>
      </c>
      <c r="K193" s="29" t="str">
        <f aca="false">IF(COUNTIF('Cloud Config Baseline'!$B$30:$B$313,I193)&gt;0,"Yes","No")</f>
        <v>Yes</v>
      </c>
    </row>
  </sheetData>
  <mergeCells count="3">
    <mergeCell ref="A2:J2"/>
    <mergeCell ref="A28:E28"/>
    <mergeCell ref="G28:K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sheetData>
    <row r="1" customFormat="false" ht="17.25" hidden="false" customHeight="true" outlineLevel="0" collapsed="false">
      <c r="A1" s="1" t="s">
        <v>7878</v>
      </c>
    </row>
    <row r="2" customFormat="false" ht="17.25" hidden="false" customHeight="true" outlineLevel="0" collapsed="false">
      <c r="A2" s="1" t="str">
        <f aca="false">'Network Config Baseline'!B26</f>
        <v>AC-02</v>
      </c>
    </row>
    <row r="3" customFormat="false" ht="17.25" hidden="false" customHeight="true" outlineLevel="0" collapsed="false">
      <c r="A3" s="1" t="str">
        <f aca="false">'Network Config Baseline'!B27</f>
        <v>AC-03</v>
      </c>
    </row>
    <row r="4" customFormat="false" ht="17.25" hidden="false" customHeight="true" outlineLevel="0" collapsed="false">
      <c r="A4" s="1" t="str">
        <f aca="false">'Network Config Baseline'!B28</f>
        <v>AC-04</v>
      </c>
    </row>
    <row r="5" customFormat="false" ht="17.25" hidden="false" customHeight="true" outlineLevel="0" collapsed="false">
      <c r="A5" s="1" t="str">
        <f aca="false">'Network Config Baseline'!B29</f>
        <v>AC-06</v>
      </c>
    </row>
    <row r="6" customFormat="false" ht="17.25" hidden="false" customHeight="true" outlineLevel="0" collapsed="false">
      <c r="A6" s="1" t="str">
        <f aca="false">'Network Config Baseline'!B30</f>
        <v>AC-06(03)</v>
      </c>
    </row>
    <row r="7" customFormat="false" ht="17.25" hidden="false" customHeight="true" outlineLevel="0" collapsed="false">
      <c r="A7" s="1" t="str">
        <f aca="false">'Network Config Baseline'!B31</f>
        <v>AC-06(09)</v>
      </c>
    </row>
    <row r="8" customFormat="false" ht="17.25" hidden="false" customHeight="true" outlineLevel="0" collapsed="false">
      <c r="A8" s="1" t="str">
        <f aca="false">'Network Config Baseline'!B32</f>
        <v>AC-07</v>
      </c>
    </row>
    <row r="9" customFormat="false" ht="17.25" hidden="false" customHeight="true" outlineLevel="0" collapsed="false">
      <c r="A9" s="1" t="str">
        <f aca="false">'Network Config Baseline'!B33</f>
        <v>AC-08</v>
      </c>
    </row>
    <row r="10" customFormat="false" ht="17.25" hidden="false" customHeight="true" outlineLevel="0" collapsed="false">
      <c r="A10" s="1" t="str">
        <f aca="false">'Network Config Baseline'!B34</f>
        <v>AC-12</v>
      </c>
    </row>
    <row r="11" customFormat="false" ht="17.25" hidden="false" customHeight="true" outlineLevel="0" collapsed="false">
      <c r="A11" s="1" t="str">
        <f aca="false">'Network Config Baseline'!B35</f>
        <v>AC-17</v>
      </c>
    </row>
    <row r="12" customFormat="false" ht="17.25" hidden="false" customHeight="true" outlineLevel="0" collapsed="false">
      <c r="A12" s="1" t="str">
        <f aca="false">'Network Config Baseline'!B36</f>
        <v>AC-17(02)</v>
      </c>
    </row>
    <row r="13" customFormat="false" ht="17.25" hidden="false" customHeight="true" outlineLevel="0" collapsed="false">
      <c r="A13" s="1" t="str">
        <f aca="false">'Network Config Baseline'!B37</f>
        <v>AC-18</v>
      </c>
    </row>
    <row r="14" customFormat="false" ht="17.25" hidden="false" customHeight="true" outlineLevel="0" collapsed="false">
      <c r="A14" s="1" t="str">
        <f aca="false">'Network Config Baseline'!B38</f>
        <v>AC-18(01)</v>
      </c>
    </row>
    <row r="15" customFormat="false" ht="17.25" hidden="false" customHeight="true" outlineLevel="0" collapsed="false">
      <c r="A15" s="1" t="str">
        <f aca="false">'Network Config Baseline'!B39</f>
        <v>AU-02</v>
      </c>
    </row>
    <row r="16" customFormat="false" ht="17.25" hidden="false" customHeight="true" outlineLevel="0" collapsed="false">
      <c r="A16" s="1" t="str">
        <f aca="false">'Network Config Baseline'!B40</f>
        <v>AU-03</v>
      </c>
    </row>
    <row r="17" customFormat="false" ht="17.25" hidden="false" customHeight="true" outlineLevel="0" collapsed="false">
      <c r="A17" s="1" t="str">
        <f aca="false">'Network Config Baseline'!B41</f>
        <v>AU-04</v>
      </c>
    </row>
    <row r="18" customFormat="false" ht="17.25" hidden="false" customHeight="true" outlineLevel="0" collapsed="false">
      <c r="A18" s="1" t="str">
        <f aca="false">'Network Config Baseline'!B42</f>
        <v>AU-05</v>
      </c>
    </row>
    <row r="19" customFormat="false" ht="17.25" hidden="false" customHeight="true" outlineLevel="0" collapsed="false">
      <c r="A19" s="1" t="str">
        <f aca="false">'Network Config Baseline'!B43</f>
        <v>AU-06</v>
      </c>
    </row>
    <row r="20" customFormat="false" ht="17.25" hidden="false" customHeight="true" outlineLevel="0" collapsed="false">
      <c r="A20" s="1" t="str">
        <f aca="false">'Network Config Baseline'!B44</f>
        <v>AU-08</v>
      </c>
    </row>
    <row r="21" customFormat="false" ht="17.25" hidden="false" customHeight="true" outlineLevel="0" collapsed="false">
      <c r="A21" s="1" t="str">
        <f aca="false">'Network Config Baseline'!B45</f>
        <v>AU-09</v>
      </c>
    </row>
    <row r="22" customFormat="false" ht="17.25" hidden="false" customHeight="true" outlineLevel="0" collapsed="false">
      <c r="A22" s="1" t="str">
        <f aca="false">'Network Config Baseline'!B46</f>
        <v>AU-11</v>
      </c>
    </row>
    <row r="23" customFormat="false" ht="17.25" hidden="false" customHeight="true" outlineLevel="0" collapsed="false">
      <c r="A23" s="1" t="str">
        <f aca="false">'Network Config Baseline'!B47</f>
        <v>AU-12</v>
      </c>
    </row>
    <row r="24" customFormat="false" ht="17.25" hidden="false" customHeight="true" outlineLevel="0" collapsed="false">
      <c r="A24" s="1" t="str">
        <f aca="false">'Network Config Baseline'!B48</f>
        <v>CA-03</v>
      </c>
    </row>
    <row r="25" customFormat="false" ht="17.25" hidden="false" customHeight="true" outlineLevel="0" collapsed="false">
      <c r="A25" s="1" t="str">
        <f aca="false">'Network Config Baseline'!B49</f>
        <v>CA-07</v>
      </c>
    </row>
    <row r="26" customFormat="false" ht="17.25" hidden="false" customHeight="true" outlineLevel="0" collapsed="false">
      <c r="A26" s="1" t="str">
        <f aca="false">'Network Config Baseline'!B50</f>
        <v>CA-09</v>
      </c>
    </row>
    <row r="27" customFormat="false" ht="17.25" hidden="false" customHeight="true" outlineLevel="0" collapsed="false">
      <c r="A27" s="1" t="str">
        <f aca="false">'Network Config Baseline'!B51</f>
        <v>CM-02</v>
      </c>
    </row>
    <row r="28" customFormat="false" ht="17.25" hidden="false" customHeight="true" outlineLevel="0" collapsed="false">
      <c r="A28" s="1" t="str">
        <f aca="false">'Network Config Baseline'!B52</f>
        <v>CM-02(03)</v>
      </c>
    </row>
    <row r="29" customFormat="false" ht="17.25" hidden="false" customHeight="true" outlineLevel="0" collapsed="false">
      <c r="A29" s="1" t="str">
        <f aca="false">'Network Config Baseline'!B53</f>
        <v>CM-03</v>
      </c>
    </row>
    <row r="30" customFormat="false" ht="17.25" hidden="false" customHeight="true" outlineLevel="0" collapsed="false">
      <c r="A30" s="1" t="str">
        <f aca="false">'Network Config Baseline'!B54</f>
        <v>CM-05</v>
      </c>
    </row>
    <row r="31" customFormat="false" ht="17.25" hidden="false" customHeight="true" outlineLevel="0" collapsed="false">
      <c r="A31" s="1" t="str">
        <f aca="false">'Network Config Baseline'!B55</f>
        <v>CM-06</v>
      </c>
    </row>
    <row r="32" customFormat="false" ht="17.25" hidden="false" customHeight="true" outlineLevel="0" collapsed="false">
      <c r="A32" s="1" t="str">
        <f aca="false">'Network Config Baseline'!B56</f>
        <v>CM-06(01)</v>
      </c>
    </row>
    <row r="33" customFormat="false" ht="17.25" hidden="false" customHeight="true" outlineLevel="0" collapsed="false">
      <c r="A33" s="1" t="str">
        <f aca="false">'Network Config Baseline'!B57</f>
        <v>CM-06(02)</v>
      </c>
    </row>
    <row r="34" customFormat="false" ht="17.25" hidden="false" customHeight="true" outlineLevel="0" collapsed="false">
      <c r="A34" s="1" t="str">
        <f aca="false">'Network Config Baseline'!B58</f>
        <v>CM-07</v>
      </c>
    </row>
    <row r="35" customFormat="false" ht="17.25" hidden="false" customHeight="true" outlineLevel="0" collapsed="false">
      <c r="A35" s="1" t="str">
        <f aca="false">'Network Config Baseline'!B59</f>
        <v>CM-08</v>
      </c>
    </row>
    <row r="36" customFormat="false" ht="17.25" hidden="false" customHeight="true" outlineLevel="0" collapsed="false">
      <c r="A36" s="1" t="str">
        <f aca="false">'Network Config Baseline'!B60</f>
        <v>CM-08(03)</v>
      </c>
    </row>
    <row r="37" customFormat="false" ht="17.25" hidden="false" customHeight="true" outlineLevel="0" collapsed="false">
      <c r="A37" s="1" t="str">
        <f aca="false">'Network Config Baseline'!B61</f>
        <v>CM-14</v>
      </c>
    </row>
    <row r="38" customFormat="false" ht="17.25" hidden="false" customHeight="true" outlineLevel="0" collapsed="false">
      <c r="A38" s="1" t="str">
        <f aca="false">'Network Config Baseline'!B62</f>
        <v>IA-02</v>
      </c>
    </row>
    <row r="39" customFormat="false" ht="17.25" hidden="false" customHeight="true" outlineLevel="0" collapsed="false">
      <c r="A39" s="1" t="str">
        <f aca="false">'Network Config Baseline'!B63</f>
        <v>IA-02(01)</v>
      </c>
    </row>
    <row r="40" customFormat="false" ht="17.25" hidden="false" customHeight="true" outlineLevel="0" collapsed="false">
      <c r="A40" s="1" t="str">
        <f aca="false">'Network Config Baseline'!B64</f>
        <v>IA-03</v>
      </c>
    </row>
    <row r="41" customFormat="false" ht="17.25" hidden="false" customHeight="true" outlineLevel="0" collapsed="false">
      <c r="A41" s="1" t="str">
        <f aca="false">'Network Config Baseline'!B65</f>
        <v>IA-05</v>
      </c>
    </row>
    <row r="42" customFormat="false" ht="17.25" hidden="false" customHeight="true" outlineLevel="0" collapsed="false">
      <c r="A42" s="1" t="str">
        <f aca="false">'Network Config Baseline'!B66</f>
        <v>IA-05(02)</v>
      </c>
    </row>
    <row r="43" customFormat="false" ht="17.25" hidden="false" customHeight="true" outlineLevel="0" collapsed="false">
      <c r="A43" s="1" t="str">
        <f aca="false">'Network Config Baseline'!B67</f>
        <v>IA-05(07)</v>
      </c>
    </row>
    <row r="44" customFormat="false" ht="17.25" hidden="false" customHeight="true" outlineLevel="0" collapsed="false">
      <c r="A44" s="1" t="str">
        <f aca="false">'Network Config Baseline'!B68</f>
        <v>IA-08</v>
      </c>
    </row>
    <row r="45" customFormat="false" ht="17.25" hidden="false" customHeight="true" outlineLevel="0" collapsed="false">
      <c r="A45" s="1" t="str">
        <f aca="false">'Network Config Baseline'!B69</f>
        <v>RA-05</v>
      </c>
    </row>
    <row r="46" customFormat="false" ht="17.25" hidden="false" customHeight="true" outlineLevel="0" collapsed="false">
      <c r="A46" s="1" t="str">
        <f aca="false">'Network Config Baseline'!B70</f>
        <v>RA-05(05)</v>
      </c>
    </row>
    <row r="47" customFormat="false" ht="17.25" hidden="false" customHeight="true" outlineLevel="0" collapsed="false">
      <c r="A47" s="1" t="str">
        <f aca="false">'Network Config Baseline'!B71</f>
        <v>SC-02</v>
      </c>
    </row>
    <row r="48" customFormat="false" ht="17.25" hidden="false" customHeight="true" outlineLevel="0" collapsed="false">
      <c r="A48" s="1" t="str">
        <f aca="false">'Network Config Baseline'!B72</f>
        <v>SC-05</v>
      </c>
    </row>
    <row r="49" customFormat="false" ht="17.25" hidden="false" customHeight="true" outlineLevel="0" collapsed="false">
      <c r="A49" s="1" t="str">
        <f aca="false">'Network Config Baseline'!B73</f>
        <v>SC-07</v>
      </c>
    </row>
    <row r="50" customFormat="false" ht="17.25" hidden="false" customHeight="true" outlineLevel="0" collapsed="false">
      <c r="A50" s="1" t="str">
        <f aca="false">'Network Config Baseline'!B74</f>
        <v>SC-07(05)</v>
      </c>
    </row>
    <row r="51" customFormat="false" ht="17.25" hidden="false" customHeight="true" outlineLevel="0" collapsed="false">
      <c r="A51" s="1" t="str">
        <f aca="false">'Network Config Baseline'!B75</f>
        <v>SC-07(07)</v>
      </c>
    </row>
    <row r="52" customFormat="false" ht="17.25" hidden="false" customHeight="true" outlineLevel="0" collapsed="false">
      <c r="A52" s="1" t="str">
        <f aca="false">'Network Config Baseline'!B76</f>
        <v>SC-07(09)</v>
      </c>
    </row>
    <row r="53" customFormat="false" ht="17.25" hidden="false" customHeight="true" outlineLevel="0" collapsed="false">
      <c r="A53" s="1" t="str">
        <f aca="false">'Network Config Baseline'!B77</f>
        <v>SC-07(10)</v>
      </c>
    </row>
    <row r="54" customFormat="false" ht="17.25" hidden="false" customHeight="true" outlineLevel="0" collapsed="false">
      <c r="A54" s="1" t="str">
        <f aca="false">'Network Config Baseline'!B78</f>
        <v>SC-07(13)</v>
      </c>
    </row>
    <row r="55" customFormat="false" ht="17.25" hidden="false" customHeight="true" outlineLevel="0" collapsed="false">
      <c r="A55" s="1" t="str">
        <f aca="false">'Network Config Baseline'!B79</f>
        <v>SC-07(18)</v>
      </c>
    </row>
    <row r="56" customFormat="false" ht="17.25" hidden="false" customHeight="true" outlineLevel="0" collapsed="false">
      <c r="A56" s="1" t="str">
        <f aca="false">'Network Config Baseline'!B80</f>
        <v>SC-07(21)</v>
      </c>
    </row>
    <row r="57" customFormat="false" ht="17.25" hidden="false" customHeight="true" outlineLevel="0" collapsed="false">
      <c r="A57" s="1" t="str">
        <f aca="false">'Network Config Baseline'!B81</f>
        <v>SC-08</v>
      </c>
    </row>
    <row r="58" customFormat="false" ht="17.25" hidden="false" customHeight="true" outlineLevel="0" collapsed="false">
      <c r="A58" s="1" t="str">
        <f aca="false">'Network Config Baseline'!B82</f>
        <v>SC-12</v>
      </c>
    </row>
    <row r="59" customFormat="false" ht="17.25" hidden="false" customHeight="true" outlineLevel="0" collapsed="false">
      <c r="A59" s="1" t="str">
        <f aca="false">'Network Config Baseline'!B83</f>
        <v>SC-13</v>
      </c>
    </row>
    <row r="60" customFormat="false" ht="17.25" hidden="false" customHeight="true" outlineLevel="0" collapsed="false">
      <c r="A60" s="1" t="str">
        <f aca="false">'Network Config Baseline'!B84</f>
        <v>SC-17</v>
      </c>
    </row>
    <row r="61" customFormat="false" ht="17.25" hidden="false" customHeight="true" outlineLevel="0" collapsed="false">
      <c r="A61" s="1" t="str">
        <f aca="false">'Network Config Baseline'!B85</f>
        <v>SC-20</v>
      </c>
    </row>
    <row r="62" customFormat="false" ht="17.25" hidden="false" customHeight="true" outlineLevel="0" collapsed="false">
      <c r="A62" s="1" t="str">
        <f aca="false">'Network Config Baseline'!B86</f>
        <v>SC-40</v>
      </c>
    </row>
    <row r="63" customFormat="false" ht="17.25" hidden="false" customHeight="true" outlineLevel="0" collapsed="false">
      <c r="A63" s="1" t="str">
        <f aca="false">'Network Config Baseline'!B87</f>
        <v>SI-02</v>
      </c>
    </row>
    <row r="64" customFormat="false" ht="17.25" hidden="false" customHeight="true" outlineLevel="0" collapsed="false">
      <c r="A64" s="1" t="str">
        <f aca="false">'Network Config Baseline'!B88</f>
        <v>SI-03</v>
      </c>
    </row>
    <row r="65" customFormat="false" ht="17.25" hidden="false" customHeight="true" outlineLevel="0" collapsed="false">
      <c r="A65" s="1" t="str">
        <f aca="false">'Network Config Baseline'!B89</f>
        <v>SI-04</v>
      </c>
    </row>
    <row r="66" customFormat="false" ht="17.25" hidden="false" customHeight="true" outlineLevel="0" collapsed="false">
      <c r="A66" s="1" t="str">
        <f aca="false">'Network Config Baseline'!B90</f>
        <v>SI-04(04)</v>
      </c>
    </row>
    <row r="67" customFormat="false" ht="17.25" hidden="false" customHeight="true" outlineLevel="0" collapsed="false">
      <c r="A67" s="1" t="str">
        <f aca="false">'Network Config Baseline'!B91</f>
        <v>SI-04(14)</v>
      </c>
    </row>
    <row r="68" customFormat="false" ht="17.25" hidden="false" customHeight="true" outlineLevel="0" collapsed="false">
      <c r="A68" s="1" t="str">
        <f aca="false">'Network Config Baseline'!B92</f>
        <v>SI-04(22)</v>
      </c>
    </row>
    <row r="69" customFormat="false" ht="17.25" hidden="false" customHeight="true" outlineLevel="0" collapsed="false">
      <c r="A69" s="1" t="str">
        <f aca="false">'Network Config Baseline'!B93</f>
        <v>SI-07</v>
      </c>
    </row>
    <row r="70" customFormat="false" ht="17.25" hidden="false" customHeight="true" outlineLevel="0" collapsed="false">
      <c r="A70" s="1" t="str">
        <f aca="false">'Network Config Baseline'!B94</f>
        <v>SI-07(09)</v>
      </c>
    </row>
    <row r="71" customFormat="false" ht="17.25" hidden="false" customHeight="true" outlineLevel="0" collapsed="false">
      <c r="A71" s="1" t="str">
        <f aca="false">'Network Config Baseline'!B95</f>
        <v>SI-08</v>
      </c>
    </row>
    <row r="72" customFormat="false" ht="17.25" hidden="false" customHeight="true" outlineLevel="0" collapsed="false">
      <c r="A72" s="1" t="str">
        <f aca="false">'Cloud Config Baseline'!B30</f>
        <v>AC-01</v>
      </c>
    </row>
    <row r="73" customFormat="false" ht="17.25" hidden="false" customHeight="true" outlineLevel="0" collapsed="false">
      <c r="A73" s="1" t="str">
        <f aca="false">'Cloud Config Baseline'!B31</f>
        <v>AC-02</v>
      </c>
    </row>
    <row r="74" customFormat="false" ht="17.25" hidden="false" customHeight="true" outlineLevel="0" collapsed="false">
      <c r="A74" s="1" t="str">
        <f aca="false">'Cloud Config Baseline'!B32</f>
        <v>AC-02(01)</v>
      </c>
    </row>
    <row r="75" customFormat="false" ht="17.25" hidden="false" customHeight="true" outlineLevel="0" collapsed="false">
      <c r="A75" s="1" t="str">
        <f aca="false">'Cloud Config Baseline'!B33</f>
        <v>AC-02(02)</v>
      </c>
    </row>
    <row r="76" customFormat="false" ht="17.25" hidden="false" customHeight="true" outlineLevel="0" collapsed="false">
      <c r="A76" s="1" t="str">
        <f aca="false">'Cloud Config Baseline'!B34</f>
        <v>AC-02(03)</v>
      </c>
    </row>
    <row r="77" customFormat="false" ht="17.25" hidden="false" customHeight="true" outlineLevel="0" collapsed="false">
      <c r="A77" s="1" t="str">
        <f aca="false">'Cloud Config Baseline'!B35</f>
        <v>AC-02(04)</v>
      </c>
    </row>
    <row r="78" customFormat="false" ht="17.25" hidden="false" customHeight="true" outlineLevel="0" collapsed="false">
      <c r="A78" s="1" t="str">
        <f aca="false">'Cloud Config Baseline'!B36</f>
        <v>AC-02(05)</v>
      </c>
    </row>
    <row r="79" customFormat="false" ht="17.25" hidden="false" customHeight="true" outlineLevel="0" collapsed="false">
      <c r="A79" s="1" t="str">
        <f aca="false">'Cloud Config Baseline'!B37</f>
        <v>AC-02(06)</v>
      </c>
    </row>
    <row r="80" customFormat="false" ht="17.25" hidden="false" customHeight="true" outlineLevel="0" collapsed="false">
      <c r="A80" s="1" t="str">
        <f aca="false">'Cloud Config Baseline'!B38</f>
        <v>AC-02(07)</v>
      </c>
    </row>
    <row r="81" customFormat="false" ht="17.25" hidden="false" customHeight="true" outlineLevel="0" collapsed="false">
      <c r="A81" s="1" t="str">
        <f aca="false">'Cloud Config Baseline'!B39</f>
        <v>AC-02(11)</v>
      </c>
    </row>
    <row r="82" customFormat="false" ht="17.25" hidden="false" customHeight="true" outlineLevel="0" collapsed="false">
      <c r="A82" s="1" t="str">
        <f aca="false">'Cloud Config Baseline'!B40</f>
        <v>AC-02(12)</v>
      </c>
    </row>
    <row r="83" customFormat="false" ht="17.25" hidden="false" customHeight="true" outlineLevel="0" collapsed="false">
      <c r="A83" s="1" t="str">
        <f aca="false">'Cloud Config Baseline'!B41</f>
        <v>AC-03</v>
      </c>
    </row>
    <row r="84" customFormat="false" ht="17.25" hidden="false" customHeight="true" outlineLevel="0" collapsed="false">
      <c r="A84" s="1" t="str">
        <f aca="false">'Cloud Config Baseline'!B42</f>
        <v>AC-03(02)</v>
      </c>
    </row>
    <row r="85" customFormat="false" ht="17.25" hidden="false" customHeight="true" outlineLevel="0" collapsed="false">
      <c r="A85" s="1" t="str">
        <f aca="false">'Cloud Config Baseline'!B43</f>
        <v>AC-03(03)</v>
      </c>
    </row>
    <row r="86" customFormat="false" ht="17.25" hidden="false" customHeight="true" outlineLevel="0" collapsed="false">
      <c r="A86" s="1" t="str">
        <f aca="false">'Cloud Config Baseline'!B44</f>
        <v>AC-03(04)</v>
      </c>
    </row>
    <row r="87" customFormat="false" ht="17.25" hidden="false" customHeight="true" outlineLevel="0" collapsed="false">
      <c r="A87" s="1" t="str">
        <f aca="false">'Cloud Config Baseline'!B45</f>
        <v>AC-03(07)</v>
      </c>
    </row>
    <row r="88" customFormat="false" ht="17.25" hidden="false" customHeight="true" outlineLevel="0" collapsed="false">
      <c r="A88" s="1" t="str">
        <f aca="false">'Cloud Config Baseline'!B46</f>
        <v>AC-03(13)</v>
      </c>
    </row>
    <row r="89" customFormat="false" ht="17.25" hidden="false" customHeight="true" outlineLevel="0" collapsed="false">
      <c r="A89" s="1" t="str">
        <f aca="false">'Cloud Config Baseline'!B47</f>
        <v>AC-03(14)</v>
      </c>
    </row>
    <row r="90" customFormat="false" ht="17.25" hidden="false" customHeight="true" outlineLevel="0" collapsed="false">
      <c r="A90" s="1" t="str">
        <f aca="false">'Cloud Config Baseline'!B48</f>
        <v>AC-03(15)</v>
      </c>
    </row>
    <row r="91" customFormat="false" ht="17.25" hidden="false" customHeight="true" outlineLevel="0" collapsed="false">
      <c r="A91" s="1" t="str">
        <f aca="false">'Cloud Config Baseline'!B49</f>
        <v>AC-04</v>
      </c>
    </row>
    <row r="92" customFormat="false" ht="17.25" hidden="false" customHeight="true" outlineLevel="0" collapsed="false">
      <c r="A92" s="1" t="str">
        <f aca="false">'Cloud Config Baseline'!B50</f>
        <v>AC-04(01)</v>
      </c>
    </row>
    <row r="93" customFormat="false" ht="17.25" hidden="false" customHeight="true" outlineLevel="0" collapsed="false">
      <c r="A93" s="1" t="str">
        <f aca="false">'Cloud Config Baseline'!B51</f>
        <v>AC-04(21)</v>
      </c>
    </row>
    <row r="94" customFormat="false" ht="17.25" hidden="false" customHeight="true" outlineLevel="0" collapsed="false">
      <c r="A94" s="1" t="str">
        <f aca="false">'Cloud Config Baseline'!B52</f>
        <v>AC-04(25)</v>
      </c>
    </row>
    <row r="95" customFormat="false" ht="17.25" hidden="false" customHeight="true" outlineLevel="0" collapsed="false">
      <c r="A95" s="1" t="str">
        <f aca="false">'Cloud Config Baseline'!B53</f>
        <v>AC-04(26)</v>
      </c>
    </row>
    <row r="96" customFormat="false" ht="17.25" hidden="false" customHeight="true" outlineLevel="0" collapsed="false">
      <c r="A96" s="1" t="str">
        <f aca="false">'Cloud Config Baseline'!B54</f>
        <v>AC-04(27)</v>
      </c>
    </row>
    <row r="97" customFormat="false" ht="17.25" hidden="false" customHeight="true" outlineLevel="0" collapsed="false">
      <c r="A97" s="1" t="str">
        <f aca="false">'Cloud Config Baseline'!B55</f>
        <v>AC-05</v>
      </c>
    </row>
    <row r="98" customFormat="false" ht="17.25" hidden="false" customHeight="true" outlineLevel="0" collapsed="false">
      <c r="A98" s="1" t="str">
        <f aca="false">'Cloud Config Baseline'!B56</f>
        <v>AC-06</v>
      </c>
    </row>
    <row r="99" customFormat="false" ht="17.25" hidden="false" customHeight="true" outlineLevel="0" collapsed="false">
      <c r="A99" s="1" t="str">
        <f aca="false">'Cloud Config Baseline'!B57</f>
        <v>AC-06(02)</v>
      </c>
    </row>
    <row r="100" customFormat="false" ht="17.25" hidden="false" customHeight="true" outlineLevel="0" collapsed="false">
      <c r="A100" s="1" t="str">
        <f aca="false">'Cloud Config Baseline'!B58</f>
        <v>AC-06(03)</v>
      </c>
    </row>
    <row r="101" customFormat="false" ht="17.25" hidden="false" customHeight="true" outlineLevel="0" collapsed="false">
      <c r="A101" s="1" t="str">
        <f aca="false">'Cloud Config Baseline'!B59</f>
        <v>AC-06(05)</v>
      </c>
    </row>
    <row r="102" customFormat="false" ht="17.25" hidden="false" customHeight="true" outlineLevel="0" collapsed="false">
      <c r="A102" s="1" t="str">
        <f aca="false">'Cloud Config Baseline'!B60</f>
        <v>AC-06(07)</v>
      </c>
    </row>
    <row r="103" customFormat="false" ht="17.25" hidden="false" customHeight="true" outlineLevel="0" collapsed="false">
      <c r="A103" s="1" t="str">
        <f aca="false">'Cloud Config Baseline'!B61</f>
        <v>AC-06(09)</v>
      </c>
    </row>
    <row r="104" customFormat="false" ht="17.25" hidden="false" customHeight="true" outlineLevel="0" collapsed="false">
      <c r="A104" s="1" t="str">
        <f aca="false">'Cloud Config Baseline'!B62</f>
        <v>AC-06(10)</v>
      </c>
    </row>
    <row r="105" customFormat="false" ht="17.25" hidden="false" customHeight="true" outlineLevel="0" collapsed="false">
      <c r="A105" s="1" t="str">
        <f aca="false">'Cloud Config Baseline'!B63</f>
        <v>AC-07</v>
      </c>
    </row>
    <row r="106" customFormat="false" ht="17.25" hidden="false" customHeight="true" outlineLevel="0" collapsed="false">
      <c r="A106" s="1" t="str">
        <f aca="false">'Cloud Config Baseline'!B64</f>
        <v>AC-07(02)</v>
      </c>
    </row>
    <row r="107" customFormat="false" ht="17.25" hidden="false" customHeight="true" outlineLevel="0" collapsed="false">
      <c r="A107" s="1" t="str">
        <f aca="false">'Cloud Config Baseline'!B65</f>
        <v>AC-08</v>
      </c>
    </row>
    <row r="108" customFormat="false" ht="17.25" hidden="false" customHeight="true" outlineLevel="0" collapsed="false">
      <c r="A108" s="1" t="str">
        <f aca="false">'Cloud Config Baseline'!B66</f>
        <v>AC-09</v>
      </c>
    </row>
    <row r="109" customFormat="false" ht="17.25" hidden="false" customHeight="true" outlineLevel="0" collapsed="false">
      <c r="A109" s="1" t="str">
        <f aca="false">'Cloud Config Baseline'!B67</f>
        <v>AC-10</v>
      </c>
    </row>
    <row r="110" customFormat="false" ht="17.25" hidden="false" customHeight="true" outlineLevel="0" collapsed="false">
      <c r="A110" s="1" t="str">
        <f aca="false">'Cloud Config Baseline'!B68</f>
        <v>AC-11</v>
      </c>
    </row>
    <row r="111" customFormat="false" ht="17.25" hidden="false" customHeight="true" outlineLevel="0" collapsed="false">
      <c r="A111" s="1" t="str">
        <f aca="false">'Cloud Config Baseline'!B69</f>
        <v>AC-12</v>
      </c>
    </row>
    <row r="112" customFormat="false" ht="17.25" hidden="false" customHeight="true" outlineLevel="0" collapsed="false">
      <c r="A112" s="1" t="str">
        <f aca="false">'Cloud Config Baseline'!B70</f>
        <v>AC-12(02)</v>
      </c>
    </row>
    <row r="113" customFormat="false" ht="17.25" hidden="false" customHeight="true" outlineLevel="0" collapsed="false">
      <c r="A113" s="1" t="str">
        <f aca="false">'Cloud Config Baseline'!B71</f>
        <v>AC-12(03)</v>
      </c>
    </row>
    <row r="114" customFormat="false" ht="17.25" hidden="false" customHeight="true" outlineLevel="0" collapsed="false">
      <c r="A114" s="1" t="str">
        <f aca="false">'Cloud Config Baseline'!B72</f>
        <v>AC-17</v>
      </c>
    </row>
    <row r="115" customFormat="false" ht="17.25" hidden="false" customHeight="true" outlineLevel="0" collapsed="false">
      <c r="A115" s="1" t="str">
        <f aca="false">'Cloud Config Baseline'!B73</f>
        <v>AC-17(01)</v>
      </c>
    </row>
    <row r="116" customFormat="false" ht="17.25" hidden="false" customHeight="true" outlineLevel="0" collapsed="false">
      <c r="A116" s="1" t="str">
        <f aca="false">'Cloud Config Baseline'!B74</f>
        <v>AC-17(02)</v>
      </c>
    </row>
    <row r="117" customFormat="false" ht="17.25" hidden="false" customHeight="true" outlineLevel="0" collapsed="false">
      <c r="A117" s="1" t="str">
        <f aca="false">'Cloud Config Baseline'!B75</f>
        <v>AC-17(04)</v>
      </c>
    </row>
    <row r="118" customFormat="false" ht="17.25" hidden="false" customHeight="true" outlineLevel="0" collapsed="false">
      <c r="A118" s="1" t="str">
        <f aca="false">'Cloud Config Baseline'!B76</f>
        <v>AC-18</v>
      </c>
    </row>
    <row r="119" customFormat="false" ht="17.25" hidden="false" customHeight="true" outlineLevel="0" collapsed="false">
      <c r="A119" s="1" t="str">
        <f aca="false">'Cloud Config Baseline'!B77</f>
        <v>AC-19(04)</v>
      </c>
    </row>
    <row r="120" customFormat="false" ht="17.25" hidden="false" customHeight="true" outlineLevel="0" collapsed="false">
      <c r="A120" s="1" t="str">
        <f aca="false">'Cloud Config Baseline'!B78</f>
        <v>AC-19(05)</v>
      </c>
    </row>
    <row r="121" customFormat="false" ht="17.25" hidden="false" customHeight="true" outlineLevel="0" collapsed="false">
      <c r="A121" s="1" t="str">
        <f aca="false">'Cloud Config Baseline'!B79</f>
        <v>AC-20</v>
      </c>
    </row>
    <row r="122" customFormat="false" ht="17.25" hidden="false" customHeight="true" outlineLevel="0" collapsed="false">
      <c r="A122" s="1" t="str">
        <f aca="false">'Cloud Config Baseline'!B80</f>
        <v>AC-20(01)</v>
      </c>
    </row>
    <row r="123" customFormat="false" ht="17.25" hidden="false" customHeight="true" outlineLevel="0" collapsed="false">
      <c r="A123" s="1" t="str">
        <f aca="false">'Cloud Config Baseline'!B81</f>
        <v>AC-20(04)</v>
      </c>
    </row>
    <row r="124" customFormat="false" ht="17.25" hidden="false" customHeight="true" outlineLevel="0" collapsed="false">
      <c r="A124" s="1" t="str">
        <f aca="false">'Cloud Config Baseline'!B82</f>
        <v>AC-21</v>
      </c>
    </row>
    <row r="125" customFormat="false" ht="17.25" hidden="false" customHeight="true" outlineLevel="0" collapsed="false">
      <c r="A125" s="1" t="str">
        <f aca="false">'Cloud Config Baseline'!B83</f>
        <v>AC-22</v>
      </c>
    </row>
    <row r="126" customFormat="false" ht="17.25" hidden="false" customHeight="true" outlineLevel="0" collapsed="false">
      <c r="A126" s="1" t="str">
        <f aca="false">'Cloud Config Baseline'!B84</f>
        <v>AC-23</v>
      </c>
    </row>
    <row r="127" customFormat="false" ht="17.25" hidden="false" customHeight="true" outlineLevel="0" collapsed="false">
      <c r="A127" s="1" t="str">
        <f aca="false">'Cloud Config Baseline'!B85</f>
        <v>AU-01</v>
      </c>
    </row>
    <row r="128" customFormat="false" ht="17.25" hidden="false" customHeight="true" outlineLevel="0" collapsed="false">
      <c r="A128" s="1" t="str">
        <f aca="false">'Cloud Config Baseline'!B86</f>
        <v>AU-02</v>
      </c>
    </row>
    <row r="129" customFormat="false" ht="17.25" hidden="false" customHeight="true" outlineLevel="0" collapsed="false">
      <c r="A129" s="1" t="str">
        <f aca="false">'Cloud Config Baseline'!B87</f>
        <v>AU-03</v>
      </c>
    </row>
    <row r="130" customFormat="false" ht="17.25" hidden="false" customHeight="true" outlineLevel="0" collapsed="false">
      <c r="A130" s="1" t="str">
        <f aca="false">'Cloud Config Baseline'!B88</f>
        <v>AU-03(03)</v>
      </c>
    </row>
    <row r="131" customFormat="false" ht="17.25" hidden="false" customHeight="true" outlineLevel="0" collapsed="false">
      <c r="A131" s="1" t="str">
        <f aca="false">'Cloud Config Baseline'!B89</f>
        <v>AU-04</v>
      </c>
    </row>
    <row r="132" customFormat="false" ht="17.25" hidden="false" customHeight="true" outlineLevel="0" collapsed="false">
      <c r="A132" s="1" t="str">
        <f aca="false">'Cloud Config Baseline'!B90</f>
        <v>AU-04(01)</v>
      </c>
    </row>
    <row r="133" customFormat="false" ht="17.25" hidden="false" customHeight="true" outlineLevel="0" collapsed="false">
      <c r="A133" s="1" t="str">
        <f aca="false">'Cloud Config Baseline'!B91</f>
        <v>AU-05</v>
      </c>
    </row>
    <row r="134" customFormat="false" ht="17.25" hidden="false" customHeight="true" outlineLevel="0" collapsed="false">
      <c r="A134" s="1" t="str">
        <f aca="false">'Cloud Config Baseline'!B92</f>
        <v>AU-06</v>
      </c>
    </row>
    <row r="135" customFormat="false" ht="17.25" hidden="false" customHeight="true" outlineLevel="0" collapsed="false">
      <c r="A135" s="1" t="str">
        <f aca="false">'Cloud Config Baseline'!B93</f>
        <v>AU-06(01)</v>
      </c>
    </row>
    <row r="136" customFormat="false" ht="17.25" hidden="false" customHeight="true" outlineLevel="0" collapsed="false">
      <c r="A136" s="1" t="str">
        <f aca="false">'Cloud Config Baseline'!B94</f>
        <v>AU-06(03)</v>
      </c>
    </row>
    <row r="137" customFormat="false" ht="17.25" hidden="false" customHeight="true" outlineLevel="0" collapsed="false">
      <c r="A137" s="1" t="str">
        <f aca="false">'Cloud Config Baseline'!B95</f>
        <v>AU-06(04)</v>
      </c>
    </row>
    <row r="138" customFormat="false" ht="17.25" hidden="false" customHeight="true" outlineLevel="0" collapsed="false">
      <c r="A138" s="1" t="str">
        <f aca="false">'Cloud Config Baseline'!B96</f>
        <v>AU-06(05)</v>
      </c>
    </row>
    <row r="139" customFormat="false" ht="17.25" hidden="false" customHeight="true" outlineLevel="0" collapsed="false">
      <c r="A139" s="1" t="str">
        <f aca="false">'Cloud Config Baseline'!B97</f>
        <v>AU-06(06)</v>
      </c>
    </row>
    <row r="140" customFormat="false" ht="17.25" hidden="false" customHeight="true" outlineLevel="0" collapsed="false">
      <c r="A140" s="1" t="str">
        <f aca="false">'Cloud Config Baseline'!B98</f>
        <v>AU-06(08)</v>
      </c>
    </row>
    <row r="141" customFormat="false" ht="17.25" hidden="false" customHeight="true" outlineLevel="0" collapsed="false">
      <c r="A141" s="1" t="str">
        <f aca="false">'Cloud Config Baseline'!B99</f>
        <v>AU-07(01)</v>
      </c>
    </row>
    <row r="142" customFormat="false" ht="17.25" hidden="false" customHeight="true" outlineLevel="0" collapsed="false">
      <c r="A142" s="1" t="str">
        <f aca="false">'Cloud Config Baseline'!B100</f>
        <v>AU-08</v>
      </c>
    </row>
    <row r="143" customFormat="false" ht="17.25" hidden="false" customHeight="true" outlineLevel="0" collapsed="false">
      <c r="A143" s="1" t="str">
        <f aca="false">'Cloud Config Baseline'!B101</f>
        <v>AU-09</v>
      </c>
    </row>
    <row r="144" customFormat="false" ht="17.25" hidden="false" customHeight="true" outlineLevel="0" collapsed="false">
      <c r="A144" s="1" t="str">
        <f aca="false">'Cloud Config Baseline'!B102</f>
        <v>AU-09(02)</v>
      </c>
    </row>
    <row r="145" customFormat="false" ht="17.25" hidden="false" customHeight="true" outlineLevel="0" collapsed="false">
      <c r="A145" s="1" t="str">
        <f aca="false">'Cloud Config Baseline'!B103</f>
        <v>AU-09(03)</v>
      </c>
    </row>
    <row r="146" customFormat="false" ht="17.25" hidden="false" customHeight="true" outlineLevel="0" collapsed="false">
      <c r="A146" s="1" t="str">
        <f aca="false">'Cloud Config Baseline'!B104</f>
        <v>AU-09(04)</v>
      </c>
    </row>
    <row r="147" customFormat="false" ht="17.25" hidden="false" customHeight="true" outlineLevel="0" collapsed="false">
      <c r="A147" s="1" t="str">
        <f aca="false">'Cloud Config Baseline'!B105</f>
        <v>AU-09(07)</v>
      </c>
    </row>
    <row r="148" customFormat="false" ht="17.25" hidden="false" customHeight="true" outlineLevel="0" collapsed="false">
      <c r="A148" s="1" t="str">
        <f aca="false">'Cloud Config Baseline'!B106</f>
        <v>AU-10</v>
      </c>
    </row>
    <row r="149" customFormat="false" ht="17.25" hidden="false" customHeight="true" outlineLevel="0" collapsed="false">
      <c r="A149" s="1" t="str">
        <f aca="false">'Cloud Config Baseline'!B107</f>
        <v>AU-11</v>
      </c>
    </row>
    <row r="150" customFormat="false" ht="17.25" hidden="false" customHeight="true" outlineLevel="0" collapsed="false">
      <c r="A150" s="1" t="str">
        <f aca="false">'Cloud Config Baseline'!B108</f>
        <v>AU-12</v>
      </c>
    </row>
    <row r="151" customFormat="false" ht="17.25" hidden="false" customHeight="true" outlineLevel="0" collapsed="false">
      <c r="A151" s="1" t="str">
        <f aca="false">'Cloud Config Baseline'!B109</f>
        <v>AU-12(01)</v>
      </c>
    </row>
    <row r="152" customFormat="false" ht="17.25" hidden="false" customHeight="true" outlineLevel="0" collapsed="false">
      <c r="A152" s="1" t="str">
        <f aca="false">'Cloud Config Baseline'!B110</f>
        <v>AU-12(02)</v>
      </c>
    </row>
    <row r="153" customFormat="false" ht="17.25" hidden="false" customHeight="true" outlineLevel="0" collapsed="false">
      <c r="A153" s="1" t="str">
        <f aca="false">'Cloud Config Baseline'!B111</f>
        <v>AU-12(04)</v>
      </c>
    </row>
    <row r="154" customFormat="false" ht="17.25" hidden="false" customHeight="true" outlineLevel="0" collapsed="false">
      <c r="A154" s="1" t="str">
        <f aca="false">'Cloud Config Baseline'!B112</f>
        <v>AU-14</v>
      </c>
    </row>
    <row r="155" customFormat="false" ht="17.25" hidden="false" customHeight="true" outlineLevel="0" collapsed="false">
      <c r="A155" s="1" t="str">
        <f aca="false">'Cloud Config Baseline'!B113</f>
        <v>AU-14(01)</v>
      </c>
    </row>
    <row r="156" customFormat="false" ht="17.25" hidden="false" customHeight="true" outlineLevel="0" collapsed="false">
      <c r="A156" s="1" t="str">
        <f aca="false">'Cloud Config Baseline'!B114</f>
        <v>CA-01</v>
      </c>
    </row>
    <row r="157" customFormat="false" ht="17.25" hidden="false" customHeight="true" outlineLevel="0" collapsed="false">
      <c r="A157" s="1" t="str">
        <f aca="false">'Cloud Config Baseline'!B115</f>
        <v>CA-02</v>
      </c>
    </row>
    <row r="158" customFormat="false" ht="17.25" hidden="false" customHeight="true" outlineLevel="0" collapsed="false">
      <c r="A158" s="1" t="str">
        <f aca="false">'Cloud Config Baseline'!B116</f>
        <v>CA-03</v>
      </c>
    </row>
    <row r="159" customFormat="false" ht="17.25" hidden="false" customHeight="true" outlineLevel="0" collapsed="false">
      <c r="A159" s="1" t="str">
        <f aca="false">'Cloud Config Baseline'!B117</f>
        <v>CA-05</v>
      </c>
    </row>
    <row r="160" customFormat="false" ht="17.25" hidden="false" customHeight="true" outlineLevel="0" collapsed="false">
      <c r="A160" s="1" t="str">
        <f aca="false">'Cloud Config Baseline'!B118</f>
        <v>CA-07</v>
      </c>
    </row>
    <row r="161" customFormat="false" ht="17.25" hidden="false" customHeight="true" outlineLevel="0" collapsed="false">
      <c r="A161" s="1" t="str">
        <f aca="false">'Cloud Config Baseline'!B119</f>
        <v>CA-08</v>
      </c>
    </row>
    <row r="162" customFormat="false" ht="17.25" hidden="false" customHeight="true" outlineLevel="0" collapsed="false">
      <c r="A162" s="1" t="str">
        <f aca="false">'Cloud Config Baseline'!B120</f>
        <v>CA-08(03)</v>
      </c>
    </row>
    <row r="163" customFormat="false" ht="17.25" hidden="false" customHeight="true" outlineLevel="0" collapsed="false">
      <c r="A163" s="1" t="str">
        <f aca="false">'Cloud Config Baseline'!B121</f>
        <v>CA-09</v>
      </c>
    </row>
    <row r="164" customFormat="false" ht="17.25" hidden="false" customHeight="true" outlineLevel="0" collapsed="false">
      <c r="A164" s="1" t="str">
        <f aca="false">'Cloud Config Baseline'!B122</f>
        <v>CA-09(01)</v>
      </c>
    </row>
    <row r="165" customFormat="false" ht="17.25" hidden="false" customHeight="true" outlineLevel="0" collapsed="false">
      <c r="A165" s="1" t="str">
        <f aca="false">'Cloud Config Baseline'!B123</f>
        <v>CM-01</v>
      </c>
    </row>
    <row r="166" customFormat="false" ht="17.25" hidden="false" customHeight="true" outlineLevel="0" collapsed="false">
      <c r="A166" s="1" t="str">
        <f aca="false">'Cloud Config Baseline'!B124</f>
        <v>CM-02</v>
      </c>
    </row>
    <row r="167" customFormat="false" ht="17.25" hidden="false" customHeight="true" outlineLevel="0" collapsed="false">
      <c r="A167" s="1" t="str">
        <f aca="false">'Cloud Config Baseline'!B125</f>
        <v>CM-02(03)</v>
      </c>
    </row>
    <row r="168" customFormat="false" ht="17.25" hidden="false" customHeight="true" outlineLevel="0" collapsed="false">
      <c r="A168" s="1" t="str">
        <f aca="false">'Cloud Config Baseline'!B126</f>
        <v>CM-03</v>
      </c>
    </row>
    <row r="169" customFormat="false" ht="17.25" hidden="false" customHeight="true" outlineLevel="0" collapsed="false">
      <c r="A169" s="1" t="str">
        <f aca="false">'Cloud Config Baseline'!B127</f>
        <v>CM-03(06)</v>
      </c>
    </row>
    <row r="170" customFormat="false" ht="17.25" hidden="false" customHeight="true" outlineLevel="0" collapsed="false">
      <c r="A170" s="1" t="str">
        <f aca="false">'Cloud Config Baseline'!B128</f>
        <v>CM-04</v>
      </c>
    </row>
    <row r="171" customFormat="false" ht="17.25" hidden="false" customHeight="true" outlineLevel="0" collapsed="false">
      <c r="A171" s="1" t="str">
        <f aca="false">'Cloud Config Baseline'!B129</f>
        <v>CM-05</v>
      </c>
    </row>
    <row r="172" customFormat="false" ht="17.25" hidden="false" customHeight="true" outlineLevel="0" collapsed="false">
      <c r="A172" s="1" t="str">
        <f aca="false">'Cloud Config Baseline'!B130</f>
        <v>CM-05(01)</v>
      </c>
    </row>
    <row r="173" customFormat="false" ht="17.25" hidden="false" customHeight="true" outlineLevel="0" collapsed="false">
      <c r="A173" s="1" t="str">
        <f aca="false">'Cloud Config Baseline'!B131</f>
        <v>CM-06</v>
      </c>
    </row>
    <row r="174" customFormat="false" ht="17.25" hidden="false" customHeight="true" outlineLevel="0" collapsed="false">
      <c r="A174" s="1" t="str">
        <f aca="false">'Cloud Config Baseline'!B132</f>
        <v>CM-06(01)</v>
      </c>
    </row>
    <row r="175" customFormat="false" ht="17.25" hidden="false" customHeight="true" outlineLevel="0" collapsed="false">
      <c r="A175" s="1" t="str">
        <f aca="false">'Cloud Config Baseline'!B133</f>
        <v>CM-07</v>
      </c>
    </row>
    <row r="176" customFormat="false" ht="17.25" hidden="false" customHeight="true" outlineLevel="0" collapsed="false">
      <c r="A176" s="1" t="str">
        <f aca="false">'Cloud Config Baseline'!B134</f>
        <v>CM-07(05)</v>
      </c>
    </row>
    <row r="177" customFormat="false" ht="17.25" hidden="false" customHeight="true" outlineLevel="0" collapsed="false">
      <c r="A177" s="1" t="str">
        <f aca="false">'Cloud Config Baseline'!B135</f>
        <v>CM-07(07)</v>
      </c>
    </row>
    <row r="178" customFormat="false" ht="17.25" hidden="false" customHeight="true" outlineLevel="0" collapsed="false">
      <c r="A178" s="1" t="str">
        <f aca="false">'Cloud Config Baseline'!B136</f>
        <v>CM-08</v>
      </c>
    </row>
    <row r="179" customFormat="false" ht="17.25" hidden="false" customHeight="true" outlineLevel="0" collapsed="false">
      <c r="A179" s="1" t="str">
        <f aca="false">'Cloud Config Baseline'!B137</f>
        <v>CM-08(01)</v>
      </c>
    </row>
    <row r="180" customFormat="false" ht="17.25" hidden="false" customHeight="true" outlineLevel="0" collapsed="false">
      <c r="A180" s="1" t="str">
        <f aca="false">'Cloud Config Baseline'!B138</f>
        <v>CM-08(02)</v>
      </c>
    </row>
    <row r="181" customFormat="false" ht="17.25" hidden="false" customHeight="true" outlineLevel="0" collapsed="false">
      <c r="A181" s="1" t="str">
        <f aca="false">'Cloud Config Baseline'!B139</f>
        <v>CM-08(03)</v>
      </c>
    </row>
    <row r="182" customFormat="false" ht="17.25" hidden="false" customHeight="true" outlineLevel="0" collapsed="false">
      <c r="A182" s="1" t="str">
        <f aca="false">'Cloud Config Baseline'!B140</f>
        <v>CM-11(02)</v>
      </c>
    </row>
    <row r="183" customFormat="false" ht="17.25" hidden="false" customHeight="true" outlineLevel="0" collapsed="false">
      <c r="A183" s="1" t="str">
        <f aca="false">'Cloud Config Baseline'!B141</f>
        <v>CM-14</v>
      </c>
    </row>
    <row r="184" customFormat="false" ht="17.25" hidden="false" customHeight="true" outlineLevel="0" collapsed="false">
      <c r="A184" s="1" t="str">
        <f aca="false">'Cloud Config Baseline'!B142</f>
        <v>CP-01</v>
      </c>
    </row>
    <row r="185" customFormat="false" ht="17.25" hidden="false" customHeight="true" outlineLevel="0" collapsed="false">
      <c r="A185" s="1" t="str">
        <f aca="false">'Cloud Config Baseline'!B143</f>
        <v>CP-02</v>
      </c>
    </row>
    <row r="186" customFormat="false" ht="17.25" hidden="false" customHeight="true" outlineLevel="0" collapsed="false">
      <c r="A186" s="1" t="str">
        <f aca="false">'Cloud Config Baseline'!B144</f>
        <v>CP-02(02)</v>
      </c>
    </row>
    <row r="187" customFormat="false" ht="17.25" hidden="false" customHeight="true" outlineLevel="0" collapsed="false">
      <c r="A187" s="1" t="str">
        <f aca="false">'Cloud Config Baseline'!B145</f>
        <v>CP-02(06)</v>
      </c>
    </row>
    <row r="188" customFormat="false" ht="17.25" hidden="false" customHeight="true" outlineLevel="0" collapsed="false">
      <c r="A188" s="1" t="str">
        <f aca="false">'Cloud Config Baseline'!B146</f>
        <v>CP-03</v>
      </c>
    </row>
    <row r="189" customFormat="false" ht="17.25" hidden="false" customHeight="true" outlineLevel="0" collapsed="false">
      <c r="A189" s="1" t="str">
        <f aca="false">'Cloud Config Baseline'!B147</f>
        <v>CP-04</v>
      </c>
    </row>
    <row r="190" customFormat="false" ht="17.25" hidden="false" customHeight="true" outlineLevel="0" collapsed="false">
      <c r="A190" s="1" t="str">
        <f aca="false">'Cloud Config Baseline'!B148</f>
        <v>CP-06</v>
      </c>
    </row>
    <row r="191" customFormat="false" ht="17.25" hidden="false" customHeight="true" outlineLevel="0" collapsed="false">
      <c r="A191" s="1" t="str">
        <f aca="false">'Cloud Config Baseline'!B149</f>
        <v>CP-06(01)</v>
      </c>
    </row>
    <row r="192" customFormat="false" ht="17.25" hidden="false" customHeight="true" outlineLevel="0" collapsed="false">
      <c r="A192" s="1" t="str">
        <f aca="false">'Cloud Config Baseline'!B150</f>
        <v>CP-06(02)</v>
      </c>
    </row>
    <row r="193" customFormat="false" ht="17.25" hidden="false" customHeight="true" outlineLevel="0" collapsed="false">
      <c r="A193" s="1" t="str">
        <f aca="false">'Cloud Config Baseline'!B151</f>
        <v>CP-07</v>
      </c>
    </row>
    <row r="194" customFormat="false" ht="17.25" hidden="false" customHeight="true" outlineLevel="0" collapsed="false">
      <c r="A194" s="1" t="str">
        <f aca="false">'Cloud Config Baseline'!B152</f>
        <v>CP-09</v>
      </c>
    </row>
    <row r="195" customFormat="false" ht="17.25" hidden="false" customHeight="true" outlineLevel="0" collapsed="false">
      <c r="A195" s="1" t="str">
        <f aca="false">'Cloud Config Baseline'!B153</f>
        <v>CP-09(03)</v>
      </c>
    </row>
    <row r="196" customFormat="false" ht="17.25" hidden="false" customHeight="true" outlineLevel="0" collapsed="false">
      <c r="A196" s="1" t="str">
        <f aca="false">'Cloud Config Baseline'!B154</f>
        <v>CP-09(06)</v>
      </c>
    </row>
    <row r="197" customFormat="false" ht="17.25" hidden="false" customHeight="true" outlineLevel="0" collapsed="false">
      <c r="A197" s="1" t="str">
        <f aca="false">'Cloud Config Baseline'!B155</f>
        <v>CP-09(08)</v>
      </c>
    </row>
    <row r="198" customFormat="false" ht="17.25" hidden="false" customHeight="true" outlineLevel="0" collapsed="false">
      <c r="A198" s="1" t="str">
        <f aca="false">'Cloud Config Baseline'!B156</f>
        <v>CP-10</v>
      </c>
    </row>
    <row r="199" customFormat="false" ht="17.25" hidden="false" customHeight="true" outlineLevel="0" collapsed="false">
      <c r="A199" s="1" t="str">
        <f aca="false">'Cloud Config Baseline'!B157</f>
        <v>IA-02</v>
      </c>
    </row>
    <row r="200" customFormat="false" ht="17.25" hidden="false" customHeight="true" outlineLevel="0" collapsed="false">
      <c r="A200" s="1" t="str">
        <f aca="false">'Cloud Config Baseline'!B158</f>
        <v>IA-02(01)</v>
      </c>
    </row>
    <row r="201" customFormat="false" ht="17.25" hidden="false" customHeight="true" outlineLevel="0" collapsed="false">
      <c r="A201" s="1" t="str">
        <f aca="false">'Cloud Config Baseline'!B159</f>
        <v>IA-02(02)</v>
      </c>
    </row>
    <row r="202" customFormat="false" ht="17.25" hidden="false" customHeight="true" outlineLevel="0" collapsed="false">
      <c r="A202" s="1" t="str">
        <f aca="false">'Cloud Config Baseline'!B160</f>
        <v>IA-02(06)</v>
      </c>
    </row>
    <row r="203" customFormat="false" ht="17.25" hidden="false" customHeight="true" outlineLevel="0" collapsed="false">
      <c r="A203" s="1" t="str">
        <f aca="false">'Cloud Config Baseline'!B161</f>
        <v>IA-02(08)</v>
      </c>
    </row>
    <row r="204" customFormat="false" ht="17.25" hidden="false" customHeight="true" outlineLevel="0" collapsed="false">
      <c r="A204" s="1" t="str">
        <f aca="false">'Cloud Config Baseline'!B162</f>
        <v>IA-02(10)</v>
      </c>
    </row>
    <row r="205" customFormat="false" ht="17.25" hidden="false" customHeight="true" outlineLevel="0" collapsed="false">
      <c r="A205" s="1" t="str">
        <f aca="false">'Cloud Config Baseline'!B163</f>
        <v>IA-04</v>
      </c>
    </row>
    <row r="206" customFormat="false" ht="17.25" hidden="false" customHeight="true" outlineLevel="0" collapsed="false">
      <c r="A206" s="1" t="str">
        <f aca="false">'Cloud Config Baseline'!B164</f>
        <v>IA-05</v>
      </c>
    </row>
    <row r="207" customFormat="false" ht="17.25" hidden="false" customHeight="true" outlineLevel="0" collapsed="false">
      <c r="A207" s="1" t="str">
        <f aca="false">'Cloud Config Baseline'!B165</f>
        <v>IA-05(01)</v>
      </c>
    </row>
    <row r="208" customFormat="false" ht="17.25" hidden="false" customHeight="true" outlineLevel="0" collapsed="false">
      <c r="A208" s="1" t="str">
        <f aca="false">'Cloud Config Baseline'!B166</f>
        <v>IA-05(02)</v>
      </c>
    </row>
    <row r="209" customFormat="false" ht="17.25" hidden="false" customHeight="true" outlineLevel="0" collapsed="false">
      <c r="A209" s="1" t="str">
        <f aca="false">'Cloud Config Baseline'!B167</f>
        <v>IA-05(07)</v>
      </c>
    </row>
    <row r="210" customFormat="false" ht="17.25" hidden="false" customHeight="true" outlineLevel="0" collapsed="false">
      <c r="A210" s="1" t="str">
        <f aca="false">'Cloud Config Baseline'!B168</f>
        <v>IA-05(18)</v>
      </c>
    </row>
    <row r="211" customFormat="false" ht="17.25" hidden="false" customHeight="true" outlineLevel="0" collapsed="false">
      <c r="A211" s="1" t="str">
        <f aca="false">'Cloud Config Baseline'!B169</f>
        <v>IA-07</v>
      </c>
    </row>
    <row r="212" customFormat="false" ht="17.25" hidden="false" customHeight="true" outlineLevel="0" collapsed="false">
      <c r="A212" s="1" t="str">
        <f aca="false">'Cloud Config Baseline'!B170</f>
        <v>IA-08</v>
      </c>
    </row>
    <row r="213" customFormat="false" ht="17.25" hidden="false" customHeight="true" outlineLevel="0" collapsed="false">
      <c r="A213" s="1" t="str">
        <f aca="false">'Cloud Config Baseline'!B171</f>
        <v>IA-09</v>
      </c>
    </row>
    <row r="214" customFormat="false" ht="17.25" hidden="false" customHeight="true" outlineLevel="0" collapsed="false">
      <c r="A214" s="1" t="str">
        <f aca="false">'Cloud Config Baseline'!B172</f>
        <v>IA-11</v>
      </c>
    </row>
    <row r="215" customFormat="false" ht="17.25" hidden="false" customHeight="true" outlineLevel="0" collapsed="false">
      <c r="A215" s="1" t="str">
        <f aca="false">'Cloud Config Baseline'!B173</f>
        <v>IA-13</v>
      </c>
    </row>
    <row r="216" customFormat="false" ht="17.25" hidden="false" customHeight="true" outlineLevel="0" collapsed="false">
      <c r="A216" s="1" t="str">
        <f aca="false">'Cloud Config Baseline'!B174</f>
        <v>IR-01</v>
      </c>
    </row>
    <row r="217" customFormat="false" ht="17.25" hidden="false" customHeight="true" outlineLevel="0" collapsed="false">
      <c r="A217" s="1" t="str">
        <f aca="false">'Cloud Config Baseline'!B175</f>
        <v>IR-02</v>
      </c>
    </row>
    <row r="218" customFormat="false" ht="17.25" hidden="false" customHeight="true" outlineLevel="0" collapsed="false">
      <c r="A218" s="1" t="str">
        <f aca="false">'Cloud Config Baseline'!B176</f>
        <v>IR-03</v>
      </c>
    </row>
    <row r="219" customFormat="false" ht="17.25" hidden="false" customHeight="true" outlineLevel="0" collapsed="false">
      <c r="A219" s="1" t="str">
        <f aca="false">'Cloud Config Baseline'!B177</f>
        <v>IR-04</v>
      </c>
    </row>
    <row r="220" customFormat="false" ht="17.25" hidden="false" customHeight="true" outlineLevel="0" collapsed="false">
      <c r="A220" s="1" t="str">
        <f aca="false">'Cloud Config Baseline'!B178</f>
        <v>IR-04(01)</v>
      </c>
    </row>
    <row r="221" customFormat="false" ht="17.25" hidden="false" customHeight="true" outlineLevel="0" collapsed="false">
      <c r="A221" s="1" t="str">
        <f aca="false">'Cloud Config Baseline'!B179</f>
        <v>IR-04(05)</v>
      </c>
    </row>
    <row r="222" customFormat="false" ht="17.25" hidden="false" customHeight="true" outlineLevel="0" collapsed="false">
      <c r="A222" s="1" t="str">
        <f aca="false">'Cloud Config Baseline'!B180</f>
        <v>IR-04(10)</v>
      </c>
    </row>
    <row r="223" customFormat="false" ht="17.25" hidden="false" customHeight="true" outlineLevel="0" collapsed="false">
      <c r="A223" s="1" t="str">
        <f aca="false">'Cloud Config Baseline'!B181</f>
        <v>IR-04(12)</v>
      </c>
    </row>
    <row r="224" customFormat="false" ht="17.25" hidden="false" customHeight="true" outlineLevel="0" collapsed="false">
      <c r="A224" s="1" t="str">
        <f aca="false">'Cloud Config Baseline'!B182</f>
        <v>IR-04(13)</v>
      </c>
    </row>
    <row r="225" customFormat="false" ht="17.25" hidden="false" customHeight="true" outlineLevel="0" collapsed="false">
      <c r="A225" s="1" t="str">
        <f aca="false">'Cloud Config Baseline'!B183</f>
        <v>IR-05</v>
      </c>
    </row>
    <row r="226" customFormat="false" ht="17.25" hidden="false" customHeight="true" outlineLevel="0" collapsed="false">
      <c r="A226" s="1" t="str">
        <f aca="false">'Cloud Config Baseline'!B184</f>
        <v>IR-06(01)</v>
      </c>
    </row>
    <row r="227" customFormat="false" ht="17.25" hidden="false" customHeight="true" outlineLevel="0" collapsed="false">
      <c r="A227" s="1" t="str">
        <f aca="false">'Cloud Config Baseline'!B185</f>
        <v>IR-06(02)</v>
      </c>
    </row>
    <row r="228" customFormat="false" ht="17.25" hidden="false" customHeight="true" outlineLevel="0" collapsed="false">
      <c r="A228" s="1" t="str">
        <f aca="false">'Cloud Config Baseline'!B186</f>
        <v>IR-06(03)</v>
      </c>
    </row>
    <row r="229" customFormat="false" ht="17.25" hidden="false" customHeight="true" outlineLevel="0" collapsed="false">
      <c r="A229" s="1" t="str">
        <f aca="false">'Cloud Config Baseline'!B187</f>
        <v>IR-08(01)</v>
      </c>
    </row>
    <row r="230" customFormat="false" ht="17.25" hidden="false" customHeight="true" outlineLevel="0" collapsed="false">
      <c r="A230" s="1" t="str">
        <f aca="false">'Cloud Config Baseline'!B188</f>
        <v>IR-09</v>
      </c>
    </row>
    <row r="231" customFormat="false" ht="17.25" hidden="false" customHeight="true" outlineLevel="0" collapsed="false">
      <c r="A231" s="1" t="str">
        <f aca="false">'Cloud Config Baseline'!B189</f>
        <v>IR-09(02)</v>
      </c>
    </row>
    <row r="232" customFormat="false" ht="17.25" hidden="false" customHeight="true" outlineLevel="0" collapsed="false">
      <c r="A232" s="1" t="str">
        <f aca="false">'Cloud Config Baseline'!B190</f>
        <v>RA-01</v>
      </c>
    </row>
    <row r="233" customFormat="false" ht="17.25" hidden="false" customHeight="true" outlineLevel="0" collapsed="false">
      <c r="A233" s="1" t="str">
        <f aca="false">'Cloud Config Baseline'!B191</f>
        <v>RA-02</v>
      </c>
    </row>
    <row r="234" customFormat="false" ht="17.25" hidden="false" customHeight="true" outlineLevel="0" collapsed="false">
      <c r="A234" s="1" t="str">
        <f aca="false">'Cloud Config Baseline'!B192</f>
        <v>RA-03</v>
      </c>
    </row>
    <row r="235" customFormat="false" ht="17.25" hidden="false" customHeight="true" outlineLevel="0" collapsed="false">
      <c r="A235" s="1" t="str">
        <f aca="false">'Cloud Config Baseline'!B193</f>
        <v>RA-03(01)</v>
      </c>
    </row>
    <row r="236" customFormat="false" ht="17.25" hidden="false" customHeight="true" outlineLevel="0" collapsed="false">
      <c r="A236" s="1" t="str">
        <f aca="false">'Cloud Config Baseline'!B194</f>
        <v>RA-03(03)</v>
      </c>
    </row>
    <row r="237" customFormat="false" ht="17.25" hidden="false" customHeight="true" outlineLevel="0" collapsed="false">
      <c r="A237" s="1" t="str">
        <f aca="false">'Cloud Config Baseline'!B195</f>
        <v>RA-03(04)</v>
      </c>
    </row>
    <row r="238" customFormat="false" ht="17.25" hidden="false" customHeight="true" outlineLevel="0" collapsed="false">
      <c r="A238" s="1" t="str">
        <f aca="false">'Cloud Config Baseline'!B196</f>
        <v>RA-05</v>
      </c>
    </row>
    <row r="239" customFormat="false" ht="17.25" hidden="false" customHeight="true" outlineLevel="0" collapsed="false">
      <c r="A239" s="1" t="str">
        <f aca="false">'Cloud Config Baseline'!B197</f>
        <v>RA-05(02)</v>
      </c>
    </row>
    <row r="240" customFormat="false" ht="17.25" hidden="false" customHeight="true" outlineLevel="0" collapsed="false">
      <c r="A240" s="1" t="str">
        <f aca="false">'Cloud Config Baseline'!B198</f>
        <v>RA-05(05)</v>
      </c>
    </row>
    <row r="241" customFormat="false" ht="17.25" hidden="false" customHeight="true" outlineLevel="0" collapsed="false">
      <c r="A241" s="1" t="str">
        <f aca="false">'Cloud Config Baseline'!B199</f>
        <v>RA-05(08)</v>
      </c>
    </row>
    <row r="242" customFormat="false" ht="17.25" hidden="false" customHeight="true" outlineLevel="0" collapsed="false">
      <c r="A242" s="1" t="str">
        <f aca="false">'Cloud Config Baseline'!B200</f>
        <v>RA-08</v>
      </c>
    </row>
    <row r="243" customFormat="false" ht="17.25" hidden="false" customHeight="true" outlineLevel="0" collapsed="false">
      <c r="A243" s="1" t="str">
        <f aca="false">'Cloud Config Baseline'!B201</f>
        <v>RA-10</v>
      </c>
    </row>
    <row r="244" customFormat="false" ht="17.25" hidden="false" customHeight="true" outlineLevel="0" collapsed="false">
      <c r="A244" s="1" t="str">
        <f aca="false">'Cloud Config Baseline'!B202</f>
        <v>SA-01</v>
      </c>
    </row>
    <row r="245" customFormat="false" ht="17.25" hidden="false" customHeight="true" outlineLevel="0" collapsed="false">
      <c r="A245" s="1" t="str">
        <f aca="false">'Cloud Config Baseline'!B203</f>
        <v>SA-02</v>
      </c>
    </row>
    <row r="246" customFormat="false" ht="17.25" hidden="false" customHeight="true" outlineLevel="0" collapsed="false">
      <c r="A246" s="1" t="str">
        <f aca="false">'Cloud Config Baseline'!B204</f>
        <v>SA-03</v>
      </c>
    </row>
    <row r="247" customFormat="false" ht="17.25" hidden="false" customHeight="true" outlineLevel="0" collapsed="false">
      <c r="A247" s="1" t="str">
        <f aca="false">'Cloud Config Baseline'!B205</f>
        <v>SA-04</v>
      </c>
    </row>
    <row r="248" customFormat="false" ht="17.25" hidden="false" customHeight="true" outlineLevel="0" collapsed="false">
      <c r="A248" s="1" t="str">
        <f aca="false">'Cloud Config Baseline'!B206</f>
        <v>SA-04(06)</v>
      </c>
    </row>
    <row r="249" customFormat="false" ht="17.25" hidden="false" customHeight="true" outlineLevel="0" collapsed="false">
      <c r="A249" s="1" t="str">
        <f aca="false">'Cloud Config Baseline'!B207</f>
        <v>SA-04(07)</v>
      </c>
    </row>
    <row r="250" customFormat="false" ht="17.25" hidden="false" customHeight="true" outlineLevel="0" collapsed="false">
      <c r="A250" s="1" t="str">
        <f aca="false">'Cloud Config Baseline'!B208</f>
        <v>SA-04(08)</v>
      </c>
    </row>
    <row r="251" customFormat="false" ht="17.25" hidden="false" customHeight="true" outlineLevel="0" collapsed="false">
      <c r="A251" s="1" t="str">
        <f aca="false">'Cloud Config Baseline'!B209</f>
        <v>SA-05</v>
      </c>
    </row>
    <row r="252" customFormat="false" ht="17.25" hidden="false" customHeight="true" outlineLevel="0" collapsed="false">
      <c r="A252" s="1" t="str">
        <f aca="false">'Cloud Config Baseline'!B210</f>
        <v>SA-08(14)</v>
      </c>
    </row>
    <row r="253" customFormat="false" ht="17.25" hidden="false" customHeight="true" outlineLevel="0" collapsed="false">
      <c r="A253" s="1" t="str">
        <f aca="false">'Cloud Config Baseline'!B211</f>
        <v>SA-08(19)</v>
      </c>
    </row>
    <row r="254" customFormat="false" ht="17.25" hidden="false" customHeight="true" outlineLevel="0" collapsed="false">
      <c r="A254" s="1" t="str">
        <f aca="false">'Cloud Config Baseline'!B212</f>
        <v>SA-08(21)</v>
      </c>
    </row>
    <row r="255" customFormat="false" ht="17.25" hidden="false" customHeight="true" outlineLevel="0" collapsed="false">
      <c r="A255" s="1" t="str">
        <f aca="false">'Cloud Config Baseline'!B213</f>
        <v>SA-08(22)</v>
      </c>
    </row>
    <row r="256" customFormat="false" ht="17.25" hidden="false" customHeight="true" outlineLevel="0" collapsed="false">
      <c r="A256" s="1" t="str">
        <f aca="false">'Cloud Config Baseline'!B214</f>
        <v>SA-08(23)</v>
      </c>
    </row>
    <row r="257" customFormat="false" ht="17.25" hidden="false" customHeight="true" outlineLevel="0" collapsed="false">
      <c r="A257" s="1" t="str">
        <f aca="false">'Cloud Config Baseline'!B215</f>
        <v>SA-09</v>
      </c>
    </row>
    <row r="258" customFormat="false" ht="17.25" hidden="false" customHeight="true" outlineLevel="0" collapsed="false">
      <c r="A258" s="1" t="str">
        <f aca="false">'Cloud Config Baseline'!B216</f>
        <v>SA-09(05)</v>
      </c>
    </row>
    <row r="259" customFormat="false" ht="17.25" hidden="false" customHeight="true" outlineLevel="0" collapsed="false">
      <c r="A259" s="1" t="str">
        <f aca="false">'Cloud Config Baseline'!B217</f>
        <v>SA-09(06)</v>
      </c>
    </row>
    <row r="260" customFormat="false" ht="17.25" hidden="false" customHeight="true" outlineLevel="0" collapsed="false">
      <c r="A260" s="1" t="str">
        <f aca="false">'Cloud Config Baseline'!B218</f>
        <v>SA-10</v>
      </c>
    </row>
    <row r="261" customFormat="false" ht="17.25" hidden="false" customHeight="true" outlineLevel="0" collapsed="false">
      <c r="A261" s="1" t="str">
        <f aca="false">'Cloud Config Baseline'!B219</f>
        <v>SA-10(07)</v>
      </c>
    </row>
    <row r="262" customFormat="false" ht="17.25" hidden="false" customHeight="true" outlineLevel="0" collapsed="false">
      <c r="A262" s="1" t="str">
        <f aca="false">'Cloud Config Baseline'!B220</f>
        <v>SA-11</v>
      </c>
    </row>
    <row r="263" customFormat="false" ht="17.25" hidden="false" customHeight="true" outlineLevel="0" collapsed="false">
      <c r="A263" s="1" t="str">
        <f aca="false">'Cloud Config Baseline'!B221</f>
        <v>SA-11(05)</v>
      </c>
    </row>
    <row r="264" customFormat="false" ht="17.25" hidden="false" customHeight="true" outlineLevel="0" collapsed="false">
      <c r="A264" s="1" t="str">
        <f aca="false">'Cloud Config Baseline'!B222</f>
        <v>SA-15(05)</v>
      </c>
    </row>
    <row r="265" customFormat="false" ht="17.25" hidden="false" customHeight="true" outlineLevel="0" collapsed="false">
      <c r="A265" s="1" t="str">
        <f aca="false">'Cloud Config Baseline'!B223</f>
        <v>SA-15(10)</v>
      </c>
    </row>
    <row r="266" customFormat="false" ht="17.25" hidden="false" customHeight="true" outlineLevel="0" collapsed="false">
      <c r="A266" s="1" t="str">
        <f aca="false">'Cloud Config Baseline'!B224</f>
        <v>SA-15(12)</v>
      </c>
    </row>
    <row r="267" customFormat="false" ht="17.25" hidden="false" customHeight="true" outlineLevel="0" collapsed="false">
      <c r="A267" s="1" t="str">
        <f aca="false">'Cloud Config Baseline'!B225</f>
        <v>SA-15(13)</v>
      </c>
    </row>
    <row r="268" customFormat="false" ht="17.25" hidden="false" customHeight="true" outlineLevel="0" collapsed="false">
      <c r="A268" s="1" t="str">
        <f aca="false">'Cloud Config Baseline'!B226</f>
        <v>SA-16</v>
      </c>
    </row>
    <row r="269" customFormat="false" ht="17.25" hidden="false" customHeight="true" outlineLevel="0" collapsed="false">
      <c r="A269" s="1" t="str">
        <f aca="false">'Cloud Config Baseline'!B227</f>
        <v>SA-17(07)</v>
      </c>
    </row>
    <row r="270" customFormat="false" ht="17.25" hidden="false" customHeight="true" outlineLevel="0" collapsed="false">
      <c r="A270" s="1" t="str">
        <f aca="false">'Cloud Config Baseline'!B228</f>
        <v>SA-21</v>
      </c>
    </row>
    <row r="271" customFormat="false" ht="17.25" hidden="false" customHeight="true" outlineLevel="0" collapsed="false">
      <c r="A271" s="1" t="str">
        <f aca="false">'Cloud Config Baseline'!B229</f>
        <v>SA-22</v>
      </c>
    </row>
    <row r="272" customFormat="false" ht="17.25" hidden="false" customHeight="true" outlineLevel="0" collapsed="false">
      <c r="A272" s="1" t="str">
        <f aca="false">'Cloud Config Baseline'!B230</f>
        <v>SC-01</v>
      </c>
    </row>
    <row r="273" customFormat="false" ht="17.25" hidden="false" customHeight="true" outlineLevel="0" collapsed="false">
      <c r="A273" s="1" t="str">
        <f aca="false">'Cloud Config Baseline'!B231</f>
        <v>SC-02</v>
      </c>
    </row>
    <row r="274" customFormat="false" ht="17.25" hidden="false" customHeight="true" outlineLevel="0" collapsed="false">
      <c r="A274" s="1" t="str">
        <f aca="false">'Cloud Config Baseline'!B232</f>
        <v>SC-02(01)</v>
      </c>
    </row>
    <row r="275" customFormat="false" ht="17.25" hidden="false" customHeight="true" outlineLevel="0" collapsed="false">
      <c r="A275" s="1" t="str">
        <f aca="false">'Cloud Config Baseline'!B233</f>
        <v>SC-03</v>
      </c>
    </row>
    <row r="276" customFormat="false" ht="17.25" hidden="false" customHeight="true" outlineLevel="0" collapsed="false">
      <c r="A276" s="1" t="str">
        <f aca="false">'Cloud Config Baseline'!B234</f>
        <v>SC-05</v>
      </c>
    </row>
    <row r="277" customFormat="false" ht="17.25" hidden="false" customHeight="true" outlineLevel="0" collapsed="false">
      <c r="A277" s="1" t="str">
        <f aca="false">'Cloud Config Baseline'!B235</f>
        <v>SC-05(02)</v>
      </c>
    </row>
    <row r="278" customFormat="false" ht="17.25" hidden="false" customHeight="true" outlineLevel="0" collapsed="false">
      <c r="A278" s="1" t="str">
        <f aca="false">'Cloud Config Baseline'!B236</f>
        <v>SC-05(03)</v>
      </c>
    </row>
    <row r="279" customFormat="false" ht="17.25" hidden="false" customHeight="true" outlineLevel="0" collapsed="false">
      <c r="A279" s="1" t="str">
        <f aca="false">'Cloud Config Baseline'!B237</f>
        <v>SC-06</v>
      </c>
    </row>
    <row r="280" customFormat="false" ht="17.25" hidden="false" customHeight="true" outlineLevel="0" collapsed="false">
      <c r="A280" s="1" t="str">
        <f aca="false">'Cloud Config Baseline'!B238</f>
        <v>SC-07</v>
      </c>
    </row>
    <row r="281" customFormat="false" ht="17.25" hidden="false" customHeight="true" outlineLevel="0" collapsed="false">
      <c r="A281" s="1" t="str">
        <f aca="false">'Cloud Config Baseline'!B239</f>
        <v>SC-07(03)</v>
      </c>
    </row>
    <row r="282" customFormat="false" ht="17.25" hidden="false" customHeight="true" outlineLevel="0" collapsed="false">
      <c r="A282" s="1" t="str">
        <f aca="false">'Cloud Config Baseline'!B240</f>
        <v>SC-07(04)</v>
      </c>
    </row>
    <row r="283" customFormat="false" ht="17.25" hidden="false" customHeight="true" outlineLevel="0" collapsed="false">
      <c r="A283" s="1" t="str">
        <f aca="false">'Cloud Config Baseline'!B241</f>
        <v>SC-07(05)</v>
      </c>
    </row>
    <row r="284" customFormat="false" ht="17.25" hidden="false" customHeight="true" outlineLevel="0" collapsed="false">
      <c r="A284" s="1" t="str">
        <f aca="false">'Cloud Config Baseline'!B242</f>
        <v>SC-07(09)</v>
      </c>
    </row>
    <row r="285" customFormat="false" ht="17.25" hidden="false" customHeight="true" outlineLevel="0" collapsed="false">
      <c r="A285" s="1" t="str">
        <f aca="false">'Cloud Config Baseline'!B243</f>
        <v>SC-07(10)</v>
      </c>
    </row>
    <row r="286" customFormat="false" ht="17.25" hidden="false" customHeight="true" outlineLevel="0" collapsed="false">
      <c r="A286" s="1" t="str">
        <f aca="false">'Cloud Config Baseline'!B244</f>
        <v>SC-07(11)</v>
      </c>
    </row>
    <row r="287" customFormat="false" ht="17.25" hidden="false" customHeight="true" outlineLevel="0" collapsed="false">
      <c r="A287" s="1" t="str">
        <f aca="false">'Cloud Config Baseline'!B245</f>
        <v>SC-07(12)</v>
      </c>
    </row>
    <row r="288" customFormat="false" ht="17.25" hidden="false" customHeight="true" outlineLevel="0" collapsed="false">
      <c r="A288" s="1" t="str">
        <f aca="false">'Cloud Config Baseline'!B246</f>
        <v>SC-07(13)</v>
      </c>
    </row>
    <row r="289" customFormat="false" ht="17.25" hidden="false" customHeight="true" outlineLevel="0" collapsed="false">
      <c r="A289" s="1" t="str">
        <f aca="false">'Cloud Config Baseline'!B247</f>
        <v>SC-07(16)</v>
      </c>
    </row>
    <row r="290" customFormat="false" ht="17.25" hidden="false" customHeight="true" outlineLevel="0" collapsed="false">
      <c r="A290" s="1" t="str">
        <f aca="false">'Cloud Config Baseline'!B248</f>
        <v>SC-07(20)</v>
      </c>
    </row>
    <row r="291" customFormat="false" ht="17.25" hidden="false" customHeight="true" outlineLevel="0" collapsed="false">
      <c r="A291" s="1" t="str">
        <f aca="false">'Cloud Config Baseline'!B249</f>
        <v>SC-07(21)</v>
      </c>
    </row>
    <row r="292" customFormat="false" ht="17.25" hidden="false" customHeight="true" outlineLevel="0" collapsed="false">
      <c r="A292" s="1" t="str">
        <f aca="false">'Cloud Config Baseline'!B250</f>
        <v>SC-07(22)</v>
      </c>
    </row>
    <row r="293" customFormat="false" ht="17.25" hidden="false" customHeight="true" outlineLevel="0" collapsed="false">
      <c r="A293" s="1" t="str">
        <f aca="false">'Cloud Config Baseline'!B251</f>
        <v>SC-07(24)</v>
      </c>
    </row>
    <row r="294" customFormat="false" ht="17.25" hidden="false" customHeight="true" outlineLevel="0" collapsed="false">
      <c r="A294" s="1" t="str">
        <f aca="false">'Cloud Config Baseline'!B252</f>
        <v>SC-08</v>
      </c>
    </row>
    <row r="295" customFormat="false" ht="17.25" hidden="false" customHeight="true" outlineLevel="0" collapsed="false">
      <c r="A295" s="1" t="str">
        <f aca="false">'Cloud Config Baseline'!B253</f>
        <v>SC-08(01)</v>
      </c>
    </row>
    <row r="296" customFormat="false" ht="17.25" hidden="false" customHeight="true" outlineLevel="0" collapsed="false">
      <c r="A296" s="1" t="str">
        <f aca="false">'Cloud Config Baseline'!B254</f>
        <v>SC-08(02)</v>
      </c>
    </row>
    <row r="297" customFormat="false" ht="17.25" hidden="false" customHeight="true" outlineLevel="0" collapsed="false">
      <c r="A297" s="1" t="str">
        <f aca="false">'Cloud Config Baseline'!B255</f>
        <v>SC-10</v>
      </c>
    </row>
    <row r="298" customFormat="false" ht="17.25" hidden="false" customHeight="true" outlineLevel="0" collapsed="false">
      <c r="A298" s="1" t="str">
        <f aca="false">'Cloud Config Baseline'!B256</f>
        <v>SC-12</v>
      </c>
    </row>
    <row r="299" customFormat="false" ht="17.25" hidden="false" customHeight="true" outlineLevel="0" collapsed="false">
      <c r="A299" s="1" t="str">
        <f aca="false">'Cloud Config Baseline'!B257</f>
        <v>SC-12(02)</v>
      </c>
    </row>
    <row r="300" customFormat="false" ht="17.25" hidden="false" customHeight="true" outlineLevel="0" collapsed="false">
      <c r="A300" s="1" t="str">
        <f aca="false">'Cloud Config Baseline'!B258</f>
        <v>SC-12(03)</v>
      </c>
    </row>
    <row r="301" customFormat="false" ht="17.25" hidden="false" customHeight="true" outlineLevel="0" collapsed="false">
      <c r="A301" s="1" t="str">
        <f aca="false">'Cloud Config Baseline'!B259</f>
        <v>SC-12(06)</v>
      </c>
    </row>
    <row r="302" customFormat="false" ht="17.25" hidden="false" customHeight="true" outlineLevel="0" collapsed="false">
      <c r="A302" s="1" t="str">
        <f aca="false">'Cloud Config Baseline'!B260</f>
        <v>SC-13</v>
      </c>
    </row>
    <row r="303" customFormat="false" ht="17.25" hidden="false" customHeight="true" outlineLevel="0" collapsed="false">
      <c r="A303" s="1" t="str">
        <f aca="false">'Cloud Config Baseline'!B261</f>
        <v>SC-17</v>
      </c>
    </row>
    <row r="304" customFormat="false" ht="17.25" hidden="false" customHeight="true" outlineLevel="0" collapsed="false">
      <c r="A304" s="1" t="str">
        <f aca="false">'Cloud Config Baseline'!B262</f>
        <v>SC-20</v>
      </c>
    </row>
    <row r="305" customFormat="false" ht="17.25" hidden="false" customHeight="true" outlineLevel="0" collapsed="false">
      <c r="A305" s="1" t="str">
        <f aca="false">'Cloud Config Baseline'!B263</f>
        <v>SC-21</v>
      </c>
    </row>
    <row r="306" customFormat="false" ht="17.25" hidden="false" customHeight="true" outlineLevel="0" collapsed="false">
      <c r="A306" s="1" t="str">
        <f aca="false">'Cloud Config Baseline'!B264</f>
        <v>SC-23</v>
      </c>
    </row>
    <row r="307" customFormat="false" ht="17.25" hidden="false" customHeight="true" outlineLevel="0" collapsed="false">
      <c r="A307" s="1" t="str">
        <f aca="false">'Cloud Config Baseline'!B265</f>
        <v>SC-23(01)</v>
      </c>
    </row>
    <row r="308" customFormat="false" ht="17.25" hidden="false" customHeight="true" outlineLevel="0" collapsed="false">
      <c r="A308" s="1" t="str">
        <f aca="false">'Cloud Config Baseline'!B266</f>
        <v>SC-28</v>
      </c>
    </row>
    <row r="309" customFormat="false" ht="17.25" hidden="false" customHeight="true" outlineLevel="0" collapsed="false">
      <c r="A309" s="1" t="str">
        <f aca="false">'Cloud Config Baseline'!B267</f>
        <v>SC-28(01)</v>
      </c>
    </row>
    <row r="310" customFormat="false" ht="17.25" hidden="false" customHeight="true" outlineLevel="0" collapsed="false">
      <c r="A310" s="1" t="str">
        <f aca="false">'Cloud Config Baseline'!B268</f>
        <v>SC-32</v>
      </c>
    </row>
    <row r="311" customFormat="false" ht="17.25" hidden="false" customHeight="true" outlineLevel="0" collapsed="false">
      <c r="A311" s="1" t="str">
        <f aca="false">'Cloud Config Baseline'!B269</f>
        <v>SC-35</v>
      </c>
    </row>
    <row r="312" customFormat="false" ht="17.25" hidden="false" customHeight="true" outlineLevel="0" collapsed="false">
      <c r="A312" s="1" t="str">
        <f aca="false">'Cloud Config Baseline'!B270</f>
        <v>SC-36</v>
      </c>
    </row>
    <row r="313" customFormat="false" ht="17.25" hidden="false" customHeight="true" outlineLevel="0" collapsed="false">
      <c r="A313" s="1" t="str">
        <f aca="false">'Cloud Config Baseline'!B271</f>
        <v>SC-39</v>
      </c>
    </row>
    <row r="314" customFormat="false" ht="17.25" hidden="false" customHeight="true" outlineLevel="0" collapsed="false">
      <c r="A314" s="1" t="str">
        <f aca="false">'Cloud Config Baseline'!B272</f>
        <v>SC-40</v>
      </c>
    </row>
    <row r="315" customFormat="false" ht="17.25" hidden="false" customHeight="true" outlineLevel="0" collapsed="false">
      <c r="A315" s="1" t="str">
        <f aca="false">'Cloud Config Baseline'!B273</f>
        <v>SC-40(02)</v>
      </c>
    </row>
    <row r="316" customFormat="false" ht="17.25" hidden="false" customHeight="true" outlineLevel="0" collapsed="false">
      <c r="A316" s="1" t="str">
        <f aca="false">'Cloud Config Baseline'!B274</f>
        <v>SC-41</v>
      </c>
    </row>
    <row r="317" customFormat="false" ht="17.25" hidden="false" customHeight="true" outlineLevel="0" collapsed="false">
      <c r="A317" s="1" t="str">
        <f aca="false">'Cloud Config Baseline'!B275</f>
        <v>SC-42(04)</v>
      </c>
    </row>
    <row r="318" customFormat="false" ht="17.25" hidden="false" customHeight="true" outlineLevel="0" collapsed="false">
      <c r="A318" s="1" t="str">
        <f aca="false">'Cloud Config Baseline'!B276</f>
        <v>SI-01</v>
      </c>
    </row>
    <row r="319" customFormat="false" ht="17.25" hidden="false" customHeight="true" outlineLevel="0" collapsed="false">
      <c r="A319" s="1" t="str">
        <f aca="false">'Cloud Config Baseline'!B277</f>
        <v>SI-02</v>
      </c>
    </row>
    <row r="320" customFormat="false" ht="17.25" hidden="false" customHeight="true" outlineLevel="0" collapsed="false">
      <c r="A320" s="1" t="str">
        <f aca="false">'Cloud Config Baseline'!B278</f>
        <v>SI-02(02)</v>
      </c>
    </row>
    <row r="321" customFormat="false" ht="17.25" hidden="false" customHeight="true" outlineLevel="0" collapsed="false">
      <c r="A321" s="1" t="str">
        <f aca="false">'Cloud Config Baseline'!B279</f>
        <v>SI-02(05)</v>
      </c>
    </row>
    <row r="322" customFormat="false" ht="17.25" hidden="false" customHeight="true" outlineLevel="0" collapsed="false">
      <c r="A322" s="1" t="str">
        <f aca="false">'Cloud Config Baseline'!B280</f>
        <v>SI-02(07)</v>
      </c>
    </row>
    <row r="323" customFormat="false" ht="17.25" hidden="false" customHeight="true" outlineLevel="0" collapsed="false">
      <c r="A323" s="1" t="str">
        <f aca="false">'Cloud Config Baseline'!B281</f>
        <v>SI-03</v>
      </c>
    </row>
    <row r="324" customFormat="false" ht="17.25" hidden="false" customHeight="true" outlineLevel="0" collapsed="false">
      <c r="A324" s="1" t="str">
        <f aca="false">'Cloud Config Baseline'!B282</f>
        <v>SI-03(04)</v>
      </c>
    </row>
    <row r="325" customFormat="false" ht="17.25" hidden="false" customHeight="true" outlineLevel="0" collapsed="false">
      <c r="A325" s="1" t="str">
        <f aca="false">'Cloud Config Baseline'!B283</f>
        <v>SI-03(06)</v>
      </c>
    </row>
    <row r="326" customFormat="false" ht="17.25" hidden="false" customHeight="true" outlineLevel="0" collapsed="false">
      <c r="A326" s="1" t="str">
        <f aca="false">'Cloud Config Baseline'!B284</f>
        <v>SI-03(10)</v>
      </c>
    </row>
    <row r="327" customFormat="false" ht="17.25" hidden="false" customHeight="true" outlineLevel="0" collapsed="false">
      <c r="A327" s="1" t="str">
        <f aca="false">'Cloud Config Baseline'!B285</f>
        <v>SI-04</v>
      </c>
    </row>
    <row r="328" customFormat="false" ht="17.25" hidden="false" customHeight="true" outlineLevel="0" collapsed="false">
      <c r="A328" s="1" t="str">
        <f aca="false">'Cloud Config Baseline'!B286</f>
        <v>SI-04(01)</v>
      </c>
    </row>
    <row r="329" customFormat="false" ht="17.25" hidden="false" customHeight="true" outlineLevel="0" collapsed="false">
      <c r="A329" s="1" t="str">
        <f aca="false">'Cloud Config Baseline'!B287</f>
        <v>SI-04(02)</v>
      </c>
    </row>
    <row r="330" customFormat="false" ht="17.25" hidden="false" customHeight="true" outlineLevel="0" collapsed="false">
      <c r="A330" s="1" t="str">
        <f aca="false">'Cloud Config Baseline'!B288</f>
        <v>SI-04(04)</v>
      </c>
    </row>
    <row r="331" customFormat="false" ht="17.25" hidden="false" customHeight="true" outlineLevel="0" collapsed="false">
      <c r="A331" s="1" t="str">
        <f aca="false">'Cloud Config Baseline'!B289</f>
        <v>SI-04(05)</v>
      </c>
    </row>
    <row r="332" customFormat="false" ht="17.25" hidden="false" customHeight="true" outlineLevel="0" collapsed="false">
      <c r="A332" s="1" t="str">
        <f aca="false">'Cloud Config Baseline'!B290</f>
        <v>SI-04(07)</v>
      </c>
    </row>
    <row r="333" customFormat="false" ht="17.25" hidden="false" customHeight="true" outlineLevel="0" collapsed="false">
      <c r="A333" s="1" t="str">
        <f aca="false">'Cloud Config Baseline'!B291</f>
        <v>SI-04(11)</v>
      </c>
    </row>
    <row r="334" customFormat="false" ht="17.25" hidden="false" customHeight="true" outlineLevel="0" collapsed="false">
      <c r="A334" s="1" t="str">
        <f aca="false">'Cloud Config Baseline'!B292</f>
        <v>SI-04(12)</v>
      </c>
    </row>
    <row r="335" customFormat="false" ht="17.25" hidden="false" customHeight="true" outlineLevel="0" collapsed="false">
      <c r="A335" s="1" t="str">
        <f aca="false">'Cloud Config Baseline'!B293</f>
        <v>SI-04(14)</v>
      </c>
    </row>
    <row r="336" customFormat="false" ht="17.25" hidden="false" customHeight="true" outlineLevel="0" collapsed="false">
      <c r="A336" s="1" t="str">
        <f aca="false">'Cloud Config Baseline'!B294</f>
        <v>SI-04(17)</v>
      </c>
    </row>
    <row r="337" customFormat="false" ht="17.25" hidden="false" customHeight="true" outlineLevel="0" collapsed="false">
      <c r="A337" s="1" t="str">
        <f aca="false">'Cloud Config Baseline'!B295</f>
        <v>SI-04(18)</v>
      </c>
    </row>
    <row r="338" customFormat="false" ht="17.25" hidden="false" customHeight="true" outlineLevel="0" collapsed="false">
      <c r="A338" s="1" t="str">
        <f aca="false">'Cloud Config Baseline'!B296</f>
        <v>SI-04(20)</v>
      </c>
    </row>
    <row r="339" customFormat="false" ht="17.25" hidden="false" customHeight="true" outlineLevel="0" collapsed="false">
      <c r="A339" s="1" t="str">
        <f aca="false">'Cloud Config Baseline'!B297</f>
        <v>SI-04(22)</v>
      </c>
    </row>
    <row r="340" customFormat="false" ht="17.25" hidden="false" customHeight="true" outlineLevel="0" collapsed="false">
      <c r="A340" s="1" t="str">
        <f aca="false">'Cloud Config Baseline'!B298</f>
        <v>SI-04(25)</v>
      </c>
    </row>
    <row r="341" customFormat="false" ht="17.25" hidden="false" customHeight="true" outlineLevel="0" collapsed="false">
      <c r="A341" s="1" t="str">
        <f aca="false">'Cloud Config Baseline'!B299</f>
        <v>SI-07</v>
      </c>
    </row>
    <row r="342" customFormat="false" ht="17.25" hidden="false" customHeight="true" outlineLevel="0" collapsed="false">
      <c r="A342" s="1" t="str">
        <f aca="false">'Cloud Config Baseline'!B300</f>
        <v>SI-07(01)</v>
      </c>
    </row>
    <row r="343" customFormat="false" ht="17.25" hidden="false" customHeight="true" outlineLevel="0" collapsed="false">
      <c r="A343" s="1" t="str">
        <f aca="false">'Cloud Config Baseline'!B301</f>
        <v>SI-07(06)</v>
      </c>
    </row>
    <row r="344" customFormat="false" ht="17.25" hidden="false" customHeight="true" outlineLevel="0" collapsed="false">
      <c r="A344" s="1" t="str">
        <f aca="false">'Cloud Config Baseline'!B302</f>
        <v>SI-07(07)</v>
      </c>
    </row>
    <row r="345" customFormat="false" ht="17.25" hidden="false" customHeight="true" outlineLevel="0" collapsed="false">
      <c r="A345" s="1" t="str">
        <f aca="false">'Cloud Config Baseline'!B303</f>
        <v>SI-07(08)</v>
      </c>
    </row>
    <row r="346" customFormat="false" ht="17.25" hidden="false" customHeight="true" outlineLevel="0" collapsed="false">
      <c r="A346" s="1" t="str">
        <f aca="false">'Cloud Config Baseline'!B304</f>
        <v>SI-07(09)</v>
      </c>
    </row>
    <row r="347" customFormat="false" ht="17.25" hidden="false" customHeight="true" outlineLevel="0" collapsed="false">
      <c r="A347" s="1" t="str">
        <f aca="false">'Cloud Config Baseline'!B305</f>
        <v>SI-08</v>
      </c>
    </row>
    <row r="348" customFormat="false" ht="17.25" hidden="false" customHeight="true" outlineLevel="0" collapsed="false">
      <c r="A348" s="1" t="str">
        <f aca="false">'Cloud Config Baseline'!B306</f>
        <v>SI-08(02)</v>
      </c>
    </row>
    <row r="349" customFormat="false" ht="17.25" hidden="false" customHeight="true" outlineLevel="0" collapsed="false">
      <c r="A349" s="1" t="str">
        <f aca="false">'Cloud Config Baseline'!B307</f>
        <v>SI-10</v>
      </c>
    </row>
    <row r="350" customFormat="false" ht="17.25" hidden="false" customHeight="true" outlineLevel="0" collapsed="false">
      <c r="A350" s="1" t="str">
        <f aca="false">'Cloud Config Baseline'!B308</f>
        <v>SI-12</v>
      </c>
    </row>
    <row r="351" customFormat="false" ht="17.25" hidden="false" customHeight="true" outlineLevel="0" collapsed="false">
      <c r="A351" s="1" t="str">
        <f aca="false">'Cloud Config Baseline'!B309</f>
        <v>SI-12(02)</v>
      </c>
    </row>
    <row r="352" customFormat="false" ht="17.25" hidden="false" customHeight="true" outlineLevel="0" collapsed="false">
      <c r="A352" s="1" t="str">
        <f aca="false">'Cloud Config Baseline'!B310</f>
        <v>SI-13(05)</v>
      </c>
    </row>
    <row r="353" customFormat="false" ht="17.25" hidden="false" customHeight="true" outlineLevel="0" collapsed="false">
      <c r="A353" s="1" t="str">
        <f aca="false">'Cloud Config Baseline'!B311</f>
        <v>SI-14</v>
      </c>
    </row>
    <row r="354" customFormat="false" ht="17.25" hidden="false" customHeight="true" outlineLevel="0" collapsed="false">
      <c r="A354" s="1" t="str">
        <f aca="false">'Cloud Config Baseline'!B312</f>
        <v>SI-18</v>
      </c>
    </row>
    <row r="355" customFormat="false" ht="17.25" hidden="false" customHeight="true" outlineLevel="0" collapsed="false">
      <c r="A355" s="1" t="str">
        <f aca="false">'Cloud Config Baseline'!B313</f>
        <v>SI-20</v>
      </c>
    </row>
    <row r="356" customFormat="false" ht="17.25" hidden="false" customHeight="true" outlineLevel="0" collapsed="false">
      <c r="A356" s="1" t="str">
        <f aca="false">'Identity Config Baseline'!B21</f>
        <v>AC-02</v>
      </c>
    </row>
    <row r="357" customFormat="false" ht="17.25" hidden="false" customHeight="true" outlineLevel="0" collapsed="false">
      <c r="A357" s="1" t="str">
        <f aca="false">'Identity Config Baseline'!B22</f>
        <v>AC-02(01)</v>
      </c>
    </row>
    <row r="358" customFormat="false" ht="17.25" hidden="false" customHeight="true" outlineLevel="0" collapsed="false">
      <c r="A358" s="1" t="str">
        <f aca="false">'Identity Config Baseline'!B23</f>
        <v>AC-02(02)</v>
      </c>
    </row>
    <row r="359" customFormat="false" ht="17.25" hidden="false" customHeight="true" outlineLevel="0" collapsed="false">
      <c r="A359" s="1" t="str">
        <f aca="false">'Identity Config Baseline'!B24</f>
        <v>AC-02(03)</v>
      </c>
    </row>
    <row r="360" customFormat="false" ht="17.25" hidden="false" customHeight="true" outlineLevel="0" collapsed="false">
      <c r="A360" s="1" t="str">
        <f aca="false">'Identity Config Baseline'!B25</f>
        <v>AC-02(04)</v>
      </c>
    </row>
    <row r="361" customFormat="false" ht="17.25" hidden="false" customHeight="true" outlineLevel="0" collapsed="false">
      <c r="A361" s="1" t="str">
        <f aca="false">'Identity Config Baseline'!B26</f>
        <v>AC-02(06)</v>
      </c>
    </row>
    <row r="362" customFormat="false" ht="17.25" hidden="false" customHeight="true" outlineLevel="0" collapsed="false">
      <c r="A362" s="1" t="str">
        <f aca="false">'Identity Config Baseline'!B27</f>
        <v>AC-02(07)</v>
      </c>
    </row>
    <row r="363" customFormat="false" ht="17.25" hidden="false" customHeight="true" outlineLevel="0" collapsed="false">
      <c r="A363" s="1" t="str">
        <f aca="false">'Identity Config Baseline'!B28</f>
        <v>AC-02(09)</v>
      </c>
    </row>
    <row r="364" customFormat="false" ht="17.25" hidden="false" customHeight="true" outlineLevel="0" collapsed="false">
      <c r="A364" s="1" t="str">
        <f aca="false">'Identity Config Baseline'!B29</f>
        <v>AC-02(11)</v>
      </c>
    </row>
    <row r="365" customFormat="false" ht="17.25" hidden="false" customHeight="true" outlineLevel="0" collapsed="false">
      <c r="A365" s="1" t="str">
        <f aca="false">'Identity Config Baseline'!B30</f>
        <v>AC-02(12)</v>
      </c>
    </row>
    <row r="366" customFormat="false" ht="17.25" hidden="false" customHeight="true" outlineLevel="0" collapsed="false">
      <c r="A366" s="1" t="str">
        <f aca="false">'Identity Config Baseline'!B31</f>
        <v>AC-02(13)</v>
      </c>
    </row>
    <row r="367" customFormat="false" ht="17.25" hidden="false" customHeight="true" outlineLevel="0" collapsed="false">
      <c r="A367" s="1" t="str">
        <f aca="false">'Identity Config Baseline'!B32</f>
        <v>AC-03</v>
      </c>
    </row>
    <row r="368" customFormat="false" ht="17.25" hidden="false" customHeight="true" outlineLevel="0" collapsed="false">
      <c r="A368" s="1" t="str">
        <f aca="false">'Identity Config Baseline'!B33</f>
        <v>AC-03(07)</v>
      </c>
    </row>
    <row r="369" customFormat="false" ht="17.25" hidden="false" customHeight="true" outlineLevel="0" collapsed="false">
      <c r="A369" s="1" t="str">
        <f aca="false">'Identity Config Baseline'!B34</f>
        <v>AC-03(13)</v>
      </c>
    </row>
    <row r="370" customFormat="false" ht="17.25" hidden="false" customHeight="true" outlineLevel="0" collapsed="false">
      <c r="A370" s="1" t="str">
        <f aca="false">'Identity Config Baseline'!B35</f>
        <v>AC-05</v>
      </c>
    </row>
    <row r="371" customFormat="false" ht="17.25" hidden="false" customHeight="true" outlineLevel="0" collapsed="false">
      <c r="A371" s="1" t="str">
        <f aca="false">'Identity Config Baseline'!B36</f>
        <v>AC-06</v>
      </c>
    </row>
    <row r="372" customFormat="false" ht="17.25" hidden="false" customHeight="true" outlineLevel="0" collapsed="false">
      <c r="A372" s="1" t="str">
        <f aca="false">'Identity Config Baseline'!B37</f>
        <v>AC-06(05)</v>
      </c>
    </row>
    <row r="373" customFormat="false" ht="17.25" hidden="false" customHeight="true" outlineLevel="0" collapsed="false">
      <c r="A373" s="1" t="str">
        <f aca="false">'Identity Config Baseline'!B38</f>
        <v>AC-06(07)</v>
      </c>
    </row>
    <row r="374" customFormat="false" ht="17.25" hidden="false" customHeight="true" outlineLevel="0" collapsed="false">
      <c r="A374" s="1" t="str">
        <f aca="false">'Identity Config Baseline'!B39</f>
        <v>AC-06(09)</v>
      </c>
    </row>
    <row r="375" customFormat="false" ht="17.25" hidden="false" customHeight="true" outlineLevel="0" collapsed="false">
      <c r="A375" s="1" t="str">
        <f aca="false">'Identity Config Baseline'!B40</f>
        <v>AC-07</v>
      </c>
    </row>
    <row r="376" customFormat="false" ht="17.25" hidden="false" customHeight="true" outlineLevel="0" collapsed="false">
      <c r="A376" s="1" t="str">
        <f aca="false">'Identity Config Baseline'!B41</f>
        <v>AC-10</v>
      </c>
    </row>
    <row r="377" customFormat="false" ht="17.25" hidden="false" customHeight="true" outlineLevel="0" collapsed="false">
      <c r="A377" s="1" t="str">
        <f aca="false">'Identity Config Baseline'!B42</f>
        <v>AC-12</v>
      </c>
    </row>
    <row r="378" customFormat="false" ht="17.25" hidden="false" customHeight="true" outlineLevel="0" collapsed="false">
      <c r="A378" s="1" t="str">
        <f aca="false">'Identity Config Baseline'!B43</f>
        <v>IA-02</v>
      </c>
    </row>
    <row r="379" customFormat="false" ht="17.25" hidden="false" customHeight="true" outlineLevel="0" collapsed="false">
      <c r="A379" s="1" t="str">
        <f aca="false">'Identity Config Baseline'!B44</f>
        <v>IA-02(01)</v>
      </c>
    </row>
    <row r="380" customFormat="false" ht="17.25" hidden="false" customHeight="true" outlineLevel="0" collapsed="false">
      <c r="A380" s="1" t="str">
        <f aca="false">'Identity Config Baseline'!B45</f>
        <v>IA-02(02)</v>
      </c>
    </row>
    <row r="381" customFormat="false" ht="17.25" hidden="false" customHeight="true" outlineLevel="0" collapsed="false">
      <c r="A381" s="1" t="str">
        <f aca="false">'Identity Config Baseline'!B46</f>
        <v>IA-02(05)</v>
      </c>
    </row>
    <row r="382" customFormat="false" ht="17.25" hidden="false" customHeight="true" outlineLevel="0" collapsed="false">
      <c r="A382" s="1" t="str">
        <f aca="false">'Identity Config Baseline'!B47</f>
        <v>IA-02(06)</v>
      </c>
    </row>
    <row r="383" customFormat="false" ht="17.25" hidden="false" customHeight="true" outlineLevel="0" collapsed="false">
      <c r="A383" s="1" t="str">
        <f aca="false">'Identity Config Baseline'!B48</f>
        <v>IA-02(08)</v>
      </c>
    </row>
    <row r="384" customFormat="false" ht="17.25" hidden="false" customHeight="true" outlineLevel="0" collapsed="false">
      <c r="A384" s="1" t="str">
        <f aca="false">'Identity Config Baseline'!B49</f>
        <v>IA-02(10)</v>
      </c>
    </row>
    <row r="385" customFormat="false" ht="17.25" hidden="false" customHeight="true" outlineLevel="0" collapsed="false">
      <c r="A385" s="1" t="str">
        <f aca="false">'Identity Config Baseline'!B50</f>
        <v>IA-02(13)</v>
      </c>
    </row>
    <row r="386" customFormat="false" ht="17.25" hidden="false" customHeight="true" outlineLevel="0" collapsed="false">
      <c r="A386" s="1" t="str">
        <f aca="false">'Identity Config Baseline'!B51</f>
        <v>IA-04</v>
      </c>
    </row>
    <row r="387" customFormat="false" ht="17.25" hidden="false" customHeight="true" outlineLevel="0" collapsed="false">
      <c r="A387" s="1" t="str">
        <f aca="false">'Identity Config Baseline'!B52</f>
        <v>IA-05</v>
      </c>
    </row>
    <row r="388" customFormat="false" ht="17.25" hidden="false" customHeight="true" outlineLevel="0" collapsed="false">
      <c r="A388" s="1" t="str">
        <f aca="false">'Identity Config Baseline'!B53</f>
        <v>IA-05(01)</v>
      </c>
    </row>
    <row r="389" customFormat="false" ht="17.25" hidden="false" customHeight="true" outlineLevel="0" collapsed="false">
      <c r="A389" s="1" t="str">
        <f aca="false">'Identity Config Baseline'!B54</f>
        <v>IA-05(02)</v>
      </c>
    </row>
    <row r="390" customFormat="false" ht="17.25" hidden="false" customHeight="true" outlineLevel="0" collapsed="false">
      <c r="A390" s="1" t="str">
        <f aca="false">'Identity Config Baseline'!B55</f>
        <v>IA-05(05)</v>
      </c>
    </row>
    <row r="391" customFormat="false" ht="17.25" hidden="false" customHeight="true" outlineLevel="0" collapsed="false">
      <c r="A391" s="1" t="str">
        <f aca="false">'Identity Config Baseline'!B56</f>
        <v>IA-05(06)</v>
      </c>
    </row>
    <row r="392" customFormat="false" ht="17.25" hidden="false" customHeight="true" outlineLevel="0" collapsed="false">
      <c r="A392" s="1" t="str">
        <f aca="false">'Identity Config Baseline'!B57</f>
        <v>IA-05(07)</v>
      </c>
    </row>
    <row r="393" customFormat="false" ht="17.25" hidden="false" customHeight="true" outlineLevel="0" collapsed="false">
      <c r="A393" s="1" t="str">
        <f aca="false">'Identity Config Baseline'!B58</f>
        <v>IA-05(09)</v>
      </c>
    </row>
    <row r="394" customFormat="false" ht="17.25" hidden="false" customHeight="true" outlineLevel="0" collapsed="false">
      <c r="A394" s="1" t="str">
        <f aca="false">'Identity Config Baseline'!B59</f>
        <v>IA-05(13)</v>
      </c>
    </row>
    <row r="395" customFormat="false" ht="17.25" hidden="false" customHeight="true" outlineLevel="0" collapsed="false">
      <c r="A395" s="1" t="str">
        <f aca="false">'Identity Config Baseline'!B60</f>
        <v>IA-05(18)</v>
      </c>
    </row>
    <row r="396" customFormat="false" ht="17.25" hidden="false" customHeight="true" outlineLevel="0" collapsed="false">
      <c r="A396" s="1" t="str">
        <f aca="false">'Identity Config Baseline'!B61</f>
        <v>IA-08</v>
      </c>
    </row>
    <row r="397" customFormat="false" ht="17.25" hidden="false" customHeight="true" outlineLevel="0" collapsed="false">
      <c r="A397" s="1" t="str">
        <f aca="false">'Identity Config Baseline'!B62</f>
        <v>IA-08(02)</v>
      </c>
    </row>
    <row r="398" customFormat="false" ht="17.25" hidden="false" customHeight="true" outlineLevel="0" collapsed="false">
      <c r="A398" s="1" t="str">
        <f aca="false">'Identity Config Baseline'!B63</f>
        <v>IA-09</v>
      </c>
    </row>
    <row r="399" customFormat="false" ht="17.25" hidden="false" customHeight="true" outlineLevel="0" collapsed="false">
      <c r="A399" s="1" t="str">
        <f aca="false">'Identity Config Baseline'!B64</f>
        <v>IA-11</v>
      </c>
    </row>
    <row r="400" customFormat="false" ht="17.25" hidden="false" customHeight="true" outlineLevel="0" collapsed="false">
      <c r="A400" s="1" t="str">
        <f aca="false">'Identity Config Baseline'!B65</f>
        <v>IA-13</v>
      </c>
    </row>
    <row r="401" customFormat="false" ht="17.25" hidden="false" customHeight="true" outlineLevel="0" collapsed="false">
      <c r="A401" s="1" t="str">
        <f aca="false">'Identity Config Baseline'!B66</f>
        <v>IA-13(01)</v>
      </c>
    </row>
    <row r="402" customFormat="false" ht="17.25" hidden="false" customHeight="true" outlineLevel="0" collapsed="false">
      <c r="A402" s="1" t="str">
        <f aca="false">'Identity Config Baseline'!B67</f>
        <v>PS-04</v>
      </c>
    </row>
    <row r="403" customFormat="false" ht="17.25" hidden="false" customHeight="true" outlineLevel="0" collapsed="false">
      <c r="A403" s="1" t="str">
        <f aca="false">'Identity Config Baseline'!B68</f>
        <v>PS-05</v>
      </c>
    </row>
    <row r="404" customFormat="false" ht="17.25" hidden="false" customHeight="true" outlineLevel="0" collapsed="false">
      <c r="A404" s="1" t="str">
        <f aca="false">'Monitoring Config Baseline'!B23</f>
        <v>AU-02</v>
      </c>
    </row>
    <row r="405" customFormat="false" ht="17.25" hidden="false" customHeight="true" outlineLevel="0" collapsed="false">
      <c r="A405" s="1" t="str">
        <f aca="false">'Monitoring Config Baseline'!B24</f>
        <v>AU-02(03)</v>
      </c>
    </row>
    <row r="406" customFormat="false" ht="17.25" hidden="false" customHeight="true" outlineLevel="0" collapsed="false">
      <c r="A406" s="1" t="str">
        <f aca="false">'Monitoring Config Baseline'!B25</f>
        <v>AU-03</v>
      </c>
    </row>
    <row r="407" customFormat="false" ht="17.25" hidden="false" customHeight="true" outlineLevel="0" collapsed="false">
      <c r="A407" s="1" t="str">
        <f aca="false">'Monitoring Config Baseline'!B26</f>
        <v>AU-03(01)</v>
      </c>
    </row>
    <row r="408" customFormat="false" ht="17.25" hidden="false" customHeight="true" outlineLevel="0" collapsed="false">
      <c r="A408" s="1" t="str">
        <f aca="false">'Monitoring Config Baseline'!B27</f>
        <v>AU-04</v>
      </c>
    </row>
    <row r="409" customFormat="false" ht="17.25" hidden="false" customHeight="true" outlineLevel="0" collapsed="false">
      <c r="A409" s="1" t="str">
        <f aca="false">'Monitoring Config Baseline'!B28</f>
        <v>AU-05</v>
      </c>
    </row>
    <row r="410" customFormat="false" ht="17.25" hidden="false" customHeight="true" outlineLevel="0" collapsed="false">
      <c r="A410" s="1" t="str">
        <f aca="false">'Monitoring Config Baseline'!B29</f>
        <v>AU-05(02)</v>
      </c>
    </row>
    <row r="411" customFormat="false" ht="17.25" hidden="false" customHeight="true" outlineLevel="0" collapsed="false">
      <c r="A411" s="1" t="str">
        <f aca="false">'Monitoring Config Baseline'!B30</f>
        <v>AU-05(05)</v>
      </c>
    </row>
    <row r="412" customFormat="false" ht="17.25" hidden="false" customHeight="true" outlineLevel="0" collapsed="false">
      <c r="A412" s="1" t="str">
        <f aca="false">'Monitoring Config Baseline'!B31</f>
        <v>AU-06</v>
      </c>
    </row>
    <row r="413" customFormat="false" ht="17.25" hidden="false" customHeight="true" outlineLevel="0" collapsed="false">
      <c r="A413" s="1" t="str">
        <f aca="false">'Monitoring Config Baseline'!B32</f>
        <v>AU-06(03)</v>
      </c>
    </row>
    <row r="414" customFormat="false" ht="17.25" hidden="false" customHeight="true" outlineLevel="0" collapsed="false">
      <c r="A414" s="1" t="str">
        <f aca="false">'Monitoring Config Baseline'!B33</f>
        <v>AU-06(05)</v>
      </c>
    </row>
    <row r="415" customFormat="false" ht="17.25" hidden="false" customHeight="true" outlineLevel="0" collapsed="false">
      <c r="A415" s="1" t="str">
        <f aca="false">'Monitoring Config Baseline'!B34</f>
        <v>AU-06(08)</v>
      </c>
    </row>
    <row r="416" customFormat="false" ht="17.25" hidden="false" customHeight="true" outlineLevel="0" collapsed="false">
      <c r="A416" s="1" t="str">
        <f aca="false">'Monitoring Config Baseline'!B35</f>
        <v>AU-09</v>
      </c>
    </row>
    <row r="417" customFormat="false" ht="17.25" hidden="false" customHeight="true" outlineLevel="0" collapsed="false">
      <c r="A417" s="1" t="str">
        <f aca="false">'Monitoring Config Baseline'!B36</f>
        <v>AU-09(02)</v>
      </c>
    </row>
    <row r="418" customFormat="false" ht="17.25" hidden="false" customHeight="true" outlineLevel="0" collapsed="false">
      <c r="A418" s="1" t="str">
        <f aca="false">'Monitoring Config Baseline'!B37</f>
        <v>AU-09(03)</v>
      </c>
    </row>
    <row r="419" customFormat="false" ht="17.25" hidden="false" customHeight="true" outlineLevel="0" collapsed="false">
      <c r="A419" s="1" t="str">
        <f aca="false">'Monitoring Config Baseline'!B38</f>
        <v>AU-09(04)</v>
      </c>
    </row>
    <row r="420" customFormat="false" ht="17.25" hidden="false" customHeight="true" outlineLevel="0" collapsed="false">
      <c r="A420" s="1" t="str">
        <f aca="false">'Monitoring Config Baseline'!B39</f>
        <v>AU-11</v>
      </c>
    </row>
    <row r="421" customFormat="false" ht="17.25" hidden="false" customHeight="true" outlineLevel="0" collapsed="false">
      <c r="A421" s="1" t="str">
        <f aca="false">'Monitoring Config Baseline'!B40</f>
        <v>AU-12</v>
      </c>
    </row>
    <row r="422" customFormat="false" ht="17.25" hidden="false" customHeight="true" outlineLevel="0" collapsed="false">
      <c r="A422" s="1" t="str">
        <f aca="false">'Monitoring Config Baseline'!B41</f>
        <v>AU-12(01)</v>
      </c>
    </row>
    <row r="423" customFormat="false" ht="17.25" hidden="false" customHeight="true" outlineLevel="0" collapsed="false">
      <c r="A423" s="1" t="str">
        <f aca="false">'Monitoring Config Baseline'!B42</f>
        <v>AU-12(02)</v>
      </c>
    </row>
    <row r="424" customFormat="false" ht="17.25" hidden="false" customHeight="true" outlineLevel="0" collapsed="false">
      <c r="A424" s="1" t="str">
        <f aca="false">'Monitoring Config Baseline'!B43</f>
        <v>AU-12(04)</v>
      </c>
    </row>
    <row r="425" customFormat="false" ht="17.25" hidden="false" customHeight="true" outlineLevel="0" collapsed="false">
      <c r="A425" s="1" t="str">
        <f aca="false">'Monitoring Config Baseline'!B44</f>
        <v>CA-07</v>
      </c>
    </row>
    <row r="426" customFormat="false" ht="17.25" hidden="false" customHeight="true" outlineLevel="0" collapsed="false">
      <c r="A426" s="1" t="str">
        <f aca="false">'Monitoring Config Baseline'!B45</f>
        <v>IR-04</v>
      </c>
    </row>
    <row r="427" customFormat="false" ht="17.25" hidden="false" customHeight="true" outlineLevel="0" collapsed="false">
      <c r="A427" s="1" t="str">
        <f aca="false">'Monitoring Config Baseline'!B46</f>
        <v>RA-10</v>
      </c>
    </row>
    <row r="428" customFormat="false" ht="17.25" hidden="false" customHeight="true" outlineLevel="0" collapsed="false">
      <c r="A428" s="1" t="str">
        <f aca="false">'Monitoring Config Baseline'!B47</f>
        <v>SI-04</v>
      </c>
    </row>
    <row r="429" customFormat="false" ht="17.25" hidden="false" customHeight="true" outlineLevel="0" collapsed="false">
      <c r="A429" s="1" t="str">
        <f aca="false">'Monitoring Config Baseline'!B48</f>
        <v>SI-04(01)</v>
      </c>
    </row>
    <row r="430" customFormat="false" ht="17.25" hidden="false" customHeight="true" outlineLevel="0" collapsed="false">
      <c r="A430" s="1" t="str">
        <f aca="false">'Monitoring Config Baseline'!B49</f>
        <v>SI-04(02)</v>
      </c>
    </row>
    <row r="431" customFormat="false" ht="17.25" hidden="false" customHeight="true" outlineLevel="0" collapsed="false">
      <c r="A431" s="1" t="str">
        <f aca="false">'Monitoring Config Baseline'!B50</f>
        <v>SI-04(04)</v>
      </c>
    </row>
    <row r="432" customFormat="false" ht="17.25" hidden="false" customHeight="true" outlineLevel="0" collapsed="false">
      <c r="A432" s="1" t="str">
        <f aca="false">'Monitoring Config Baseline'!B51</f>
        <v>SI-04(05)</v>
      </c>
    </row>
    <row r="433" customFormat="false" ht="17.25" hidden="false" customHeight="true" outlineLevel="0" collapsed="false">
      <c r="A433" s="1" t="str">
        <f aca="false">'Monitoring Config Baseline'!B52</f>
        <v>SI-04(07)</v>
      </c>
    </row>
    <row r="434" customFormat="false" ht="17.25" hidden="false" customHeight="true" outlineLevel="0" collapsed="false">
      <c r="A434" s="1" t="str">
        <f aca="false">'Monitoring Config Baseline'!B53</f>
        <v>SI-04(10)</v>
      </c>
    </row>
    <row r="435" customFormat="false" ht="17.25" hidden="false" customHeight="true" outlineLevel="0" collapsed="false">
      <c r="A435" s="1" t="str">
        <f aca="false">'Monitoring Config Baseline'!B54</f>
        <v>SI-04(12)</v>
      </c>
    </row>
    <row r="436" customFormat="false" ht="17.25" hidden="false" customHeight="true" outlineLevel="0" collapsed="false">
      <c r="A436" s="1" t="str">
        <f aca="false">'Monitoring Config Baseline'!B55</f>
        <v>SI-04(16)</v>
      </c>
    </row>
    <row r="437" customFormat="false" ht="17.25" hidden="false" customHeight="true" outlineLevel="0" collapsed="false">
      <c r="A437" s="1" t="str">
        <f aca="false">'Monitoring Config Baseline'!B56</f>
        <v>SI-04(17)</v>
      </c>
    </row>
    <row r="438" customFormat="false" ht="17.25" hidden="false" customHeight="true" outlineLevel="0" collapsed="false">
      <c r="A438" s="1" t="str">
        <f aca="false">'Monitoring Config Baseline'!B57</f>
        <v>SI-04(20)</v>
      </c>
    </row>
    <row r="439" customFormat="false" ht="17.25" hidden="false" customHeight="true" outlineLevel="0" collapsed="false">
      <c r="A439" s="1" t="str">
        <f aca="false">'Monitoring Config Baseline'!B58</f>
        <v>SI-04(24)</v>
      </c>
    </row>
    <row r="440" customFormat="false" ht="17.25" hidden="false" customHeight="true" outlineLevel="0" collapsed="false">
      <c r="A440" s="1" t="str">
        <f aca="false">'Database Config Baseline'!B25</f>
        <v>AC-02</v>
      </c>
    </row>
    <row r="441" customFormat="false" ht="17.25" hidden="false" customHeight="true" outlineLevel="0" collapsed="false">
      <c r="A441" s="1" t="str">
        <f aca="false">'Database Config Baseline'!B26</f>
        <v>AC-02(03)</v>
      </c>
    </row>
    <row r="442" customFormat="false" ht="17.25" hidden="false" customHeight="true" outlineLevel="0" collapsed="false">
      <c r="A442" s="1" t="str">
        <f aca="false">'Database Config Baseline'!B27</f>
        <v>AC-02(04)</v>
      </c>
    </row>
    <row r="443" customFormat="false" ht="17.25" hidden="false" customHeight="true" outlineLevel="0" collapsed="false">
      <c r="A443" s="1" t="str">
        <f aca="false">'Database Config Baseline'!B28</f>
        <v>AC-02(07)</v>
      </c>
    </row>
    <row r="444" customFormat="false" ht="17.25" hidden="false" customHeight="true" outlineLevel="0" collapsed="false">
      <c r="A444" s="1" t="str">
        <f aca="false">'Database Config Baseline'!B29</f>
        <v>AC-02(09)</v>
      </c>
    </row>
    <row r="445" customFormat="false" ht="17.25" hidden="false" customHeight="true" outlineLevel="0" collapsed="false">
      <c r="A445" s="1" t="str">
        <f aca="false">'Database Config Baseline'!B30</f>
        <v>AC-03</v>
      </c>
    </row>
    <row r="446" customFormat="false" ht="17.25" hidden="false" customHeight="true" outlineLevel="0" collapsed="false">
      <c r="A446" s="1" t="str">
        <f aca="false">'Database Config Baseline'!B31</f>
        <v>AC-03(07)</v>
      </c>
    </row>
    <row r="447" customFormat="false" ht="17.25" hidden="false" customHeight="true" outlineLevel="0" collapsed="false">
      <c r="A447" s="1" t="str">
        <f aca="false">'Database Config Baseline'!B32</f>
        <v>AC-03(11)</v>
      </c>
    </row>
    <row r="448" customFormat="false" ht="17.25" hidden="false" customHeight="true" outlineLevel="0" collapsed="false">
      <c r="A448" s="1" t="str">
        <f aca="false">'Database Config Baseline'!B33</f>
        <v>AC-03(13)</v>
      </c>
    </row>
    <row r="449" customFormat="false" ht="17.25" hidden="false" customHeight="true" outlineLevel="0" collapsed="false">
      <c r="A449" s="1" t="str">
        <f aca="false">'Database Config Baseline'!B34</f>
        <v>AC-06</v>
      </c>
    </row>
    <row r="450" customFormat="false" ht="17.25" hidden="false" customHeight="true" outlineLevel="0" collapsed="false">
      <c r="A450" s="1" t="str">
        <f aca="false">'Database Config Baseline'!B35</f>
        <v>AC-06(05)</v>
      </c>
    </row>
    <row r="451" customFormat="false" ht="17.25" hidden="false" customHeight="true" outlineLevel="0" collapsed="false">
      <c r="A451" s="1" t="str">
        <f aca="false">'Database Config Baseline'!B36</f>
        <v>AC-06(09)</v>
      </c>
    </row>
    <row r="452" customFormat="false" ht="17.25" hidden="false" customHeight="true" outlineLevel="0" collapsed="false">
      <c r="A452" s="1" t="str">
        <f aca="false">'Database Config Baseline'!B37</f>
        <v>AC-06(10)</v>
      </c>
    </row>
    <row r="453" customFormat="false" ht="17.25" hidden="false" customHeight="true" outlineLevel="0" collapsed="false">
      <c r="A453" s="1" t="str">
        <f aca="false">'Database Config Baseline'!B38</f>
        <v>AC-10</v>
      </c>
    </row>
    <row r="454" customFormat="false" ht="17.25" hidden="false" customHeight="true" outlineLevel="0" collapsed="false">
      <c r="A454" s="1" t="str">
        <f aca="false">'Database Config Baseline'!B39</f>
        <v>AC-12</v>
      </c>
    </row>
    <row r="455" customFormat="false" ht="17.25" hidden="false" customHeight="true" outlineLevel="0" collapsed="false">
      <c r="A455" s="1" t="str">
        <f aca="false">'Database Config Baseline'!B40</f>
        <v>CM-02</v>
      </c>
    </row>
    <row r="456" customFormat="false" ht="17.25" hidden="false" customHeight="true" outlineLevel="0" collapsed="false">
      <c r="A456" s="1" t="str">
        <f aca="false">'Database Config Baseline'!B41</f>
        <v>CM-02(03)</v>
      </c>
    </row>
    <row r="457" customFormat="false" ht="17.25" hidden="false" customHeight="true" outlineLevel="0" collapsed="false">
      <c r="A457" s="1" t="str">
        <f aca="false">'Database Config Baseline'!B42</f>
        <v>CM-06</v>
      </c>
    </row>
    <row r="458" customFormat="false" ht="17.25" hidden="false" customHeight="true" outlineLevel="0" collapsed="false">
      <c r="A458" s="1" t="str">
        <f aca="false">'Database Config Baseline'!B43</f>
        <v>CM-06(01)</v>
      </c>
    </row>
    <row r="459" customFormat="false" ht="17.25" hidden="false" customHeight="true" outlineLevel="0" collapsed="false">
      <c r="A459" s="1" t="str">
        <f aca="false">'Database Config Baseline'!B44</f>
        <v>CM-06(02)</v>
      </c>
    </row>
    <row r="460" customFormat="false" ht="17.25" hidden="false" customHeight="true" outlineLevel="0" collapsed="false">
      <c r="A460" s="1" t="str">
        <f aca="false">'Database Config Baseline'!B45</f>
        <v>CP-09</v>
      </c>
    </row>
    <row r="461" customFormat="false" ht="17.25" hidden="false" customHeight="true" outlineLevel="0" collapsed="false">
      <c r="A461" s="1" t="str">
        <f aca="false">'Database Config Baseline'!B46</f>
        <v>CP-09(01)</v>
      </c>
    </row>
    <row r="462" customFormat="false" ht="17.25" hidden="false" customHeight="true" outlineLevel="0" collapsed="false">
      <c r="A462" s="1" t="str">
        <f aca="false">'Database Config Baseline'!B47</f>
        <v>CP-09(02)</v>
      </c>
    </row>
    <row r="463" customFormat="false" ht="17.25" hidden="false" customHeight="true" outlineLevel="0" collapsed="false">
      <c r="A463" s="1" t="str">
        <f aca="false">'Database Config Baseline'!B48</f>
        <v>CP-09(03)</v>
      </c>
    </row>
    <row r="464" customFormat="false" ht="17.25" hidden="false" customHeight="true" outlineLevel="0" collapsed="false">
      <c r="A464" s="1" t="str">
        <f aca="false">'Database Config Baseline'!B49</f>
        <v>CP-09(08)</v>
      </c>
    </row>
    <row r="465" customFormat="false" ht="17.25" hidden="false" customHeight="true" outlineLevel="0" collapsed="false">
      <c r="A465" s="1" t="str">
        <f aca="false">'Database Config Baseline'!B50</f>
        <v>CP-10</v>
      </c>
    </row>
    <row r="466" customFormat="false" ht="17.25" hidden="false" customHeight="true" outlineLevel="0" collapsed="false">
      <c r="A466" s="1" t="str">
        <f aca="false">'Database Config Baseline'!B51</f>
        <v>IA-05</v>
      </c>
    </row>
    <row r="467" customFormat="false" ht="17.25" hidden="false" customHeight="true" outlineLevel="0" collapsed="false">
      <c r="A467" s="1" t="str">
        <f aca="false">'Database Config Baseline'!B52</f>
        <v>IA-05(01)</v>
      </c>
    </row>
    <row r="468" customFormat="false" ht="17.25" hidden="false" customHeight="true" outlineLevel="0" collapsed="false">
      <c r="A468" s="1" t="str">
        <f aca="false">'Database Config Baseline'!B53</f>
        <v>IA-05(02)</v>
      </c>
    </row>
    <row r="469" customFormat="false" ht="17.25" hidden="false" customHeight="true" outlineLevel="0" collapsed="false">
      <c r="A469" s="1" t="str">
        <f aca="false">'Database Config Baseline'!B54</f>
        <v>IA-05(05)</v>
      </c>
    </row>
    <row r="470" customFormat="false" ht="17.25" hidden="false" customHeight="true" outlineLevel="0" collapsed="false">
      <c r="A470" s="1" t="str">
        <f aca="false">'Database Config Baseline'!B55</f>
        <v>IA-05(06)</v>
      </c>
    </row>
    <row r="471" customFormat="false" ht="17.25" hidden="false" customHeight="true" outlineLevel="0" collapsed="false">
      <c r="A471" s="1" t="str">
        <f aca="false">'Database Config Baseline'!B56</f>
        <v>IA-05(07)</v>
      </c>
    </row>
    <row r="472" customFormat="false" ht="17.25" hidden="false" customHeight="true" outlineLevel="0" collapsed="false">
      <c r="A472" s="1" t="str">
        <f aca="false">'Database Config Baseline'!B57</f>
        <v>RA-05</v>
      </c>
    </row>
    <row r="473" customFormat="false" ht="17.25" hidden="false" customHeight="true" outlineLevel="0" collapsed="false">
      <c r="A473" s="1" t="str">
        <f aca="false">'Database Config Baseline'!B58</f>
        <v>RA-05(02)</v>
      </c>
    </row>
    <row r="474" customFormat="false" ht="17.25" hidden="false" customHeight="true" outlineLevel="0" collapsed="false">
      <c r="A474" s="1" t="str">
        <f aca="false">'Database Config Baseline'!B59</f>
        <v>RA-05(05)</v>
      </c>
    </row>
    <row r="475" customFormat="false" ht="17.25" hidden="false" customHeight="true" outlineLevel="0" collapsed="false">
      <c r="A475" s="1" t="str">
        <f aca="false">'Database Config Baseline'!B60</f>
        <v>SC-28</v>
      </c>
    </row>
    <row r="476" customFormat="false" ht="17.25" hidden="false" customHeight="true" outlineLevel="0" collapsed="false">
      <c r="A476" s="1" t="str">
        <f aca="false">'Database Config Baseline'!B61</f>
        <v>SC-28(01)</v>
      </c>
    </row>
    <row r="477" customFormat="false" ht="17.25" hidden="false" customHeight="true" outlineLevel="0" collapsed="false">
      <c r="A477" s="1" t="str">
        <f aca="false">'Database Config Baseline'!B62</f>
        <v>SC-28(03)</v>
      </c>
    </row>
    <row r="478" customFormat="false" ht="17.25" hidden="false" customHeight="true" outlineLevel="0" collapsed="false">
      <c r="A478" s="1" t="str">
        <f aca="false">'Database Config Baseline'!B63</f>
        <v>SI-10</v>
      </c>
    </row>
    <row r="479" customFormat="false" ht="17.25" hidden="false" customHeight="true" outlineLevel="0" collapsed="false">
      <c r="A479" s="1" t="str">
        <f aca="false">'Database Config Baseline'!B64</f>
        <v>SI-10(05)</v>
      </c>
    </row>
    <row r="480" customFormat="false" ht="17.25" hidden="false" customHeight="true" outlineLevel="0" collapsed="false">
      <c r="A480" s="1" t="str">
        <f aca="false">'Database Config Baseline'!B65</f>
        <v>SI-10(06)</v>
      </c>
    </row>
    <row r="481" customFormat="false" ht="17.25" hidden="false" customHeight="true" outlineLevel="0" collapsed="false">
      <c r="A481" s="1" t="str">
        <f aca="false">'Database Config Baseline'!B66</f>
        <v>SI-12</v>
      </c>
    </row>
    <row r="482" customFormat="false" ht="17.25" hidden="false" customHeight="true" outlineLevel="0" collapsed="false">
      <c r="A482" s="1" t="str">
        <f aca="false">'Application Config Baseline'!B28</f>
        <v>AC-03</v>
      </c>
    </row>
    <row r="483" customFormat="false" ht="17.25" hidden="false" customHeight="true" outlineLevel="0" collapsed="false">
      <c r="A483" s="1" t="str">
        <f aca="false">'Application Config Baseline'!B29</f>
        <v>AC-03(07)</v>
      </c>
    </row>
    <row r="484" customFormat="false" ht="17.25" hidden="false" customHeight="true" outlineLevel="0" collapsed="false">
      <c r="A484" s="1" t="str">
        <f aca="false">'Application Config Baseline'!B30</f>
        <v>AC-03(12)</v>
      </c>
    </row>
    <row r="485" customFormat="false" ht="17.25" hidden="false" customHeight="true" outlineLevel="0" collapsed="false">
      <c r="A485" s="1" t="str">
        <f aca="false">'Application Config Baseline'!B31</f>
        <v>AC-03(13)</v>
      </c>
    </row>
    <row r="486" customFormat="false" ht="17.25" hidden="false" customHeight="true" outlineLevel="0" collapsed="false">
      <c r="A486" s="1" t="str">
        <f aca="false">'Application Config Baseline'!B32</f>
        <v>AC-05</v>
      </c>
    </row>
    <row r="487" customFormat="false" ht="17.25" hidden="false" customHeight="true" outlineLevel="0" collapsed="false">
      <c r="A487" s="1" t="str">
        <f aca="false">'Application Config Baseline'!B33</f>
        <v>AC-06</v>
      </c>
    </row>
    <row r="488" customFormat="false" ht="17.25" hidden="false" customHeight="true" outlineLevel="0" collapsed="false">
      <c r="A488" s="1" t="str">
        <f aca="false">'Application Config Baseline'!B34</f>
        <v>AC-06(10)</v>
      </c>
    </row>
    <row r="489" customFormat="false" ht="17.25" hidden="false" customHeight="true" outlineLevel="0" collapsed="false">
      <c r="A489" s="1" t="str">
        <f aca="false">'Application Config Baseline'!B35</f>
        <v>AC-07</v>
      </c>
    </row>
    <row r="490" customFormat="false" ht="17.25" hidden="false" customHeight="true" outlineLevel="0" collapsed="false">
      <c r="A490" s="1" t="str">
        <f aca="false">'Application Config Baseline'!B36</f>
        <v>AC-08</v>
      </c>
    </row>
    <row r="491" customFormat="false" ht="17.25" hidden="false" customHeight="true" outlineLevel="0" collapsed="false">
      <c r="A491" s="1" t="str">
        <f aca="false">'Application Config Baseline'!B37</f>
        <v>AC-12</v>
      </c>
    </row>
    <row r="492" customFormat="false" ht="17.25" hidden="false" customHeight="true" outlineLevel="0" collapsed="false">
      <c r="A492" s="1" t="str">
        <f aca="false">'Application Config Baseline'!B38</f>
        <v>AC-14</v>
      </c>
    </row>
    <row r="493" customFormat="false" ht="17.25" hidden="false" customHeight="true" outlineLevel="0" collapsed="false">
      <c r="A493" s="1" t="str">
        <f aca="false">'Application Config Baseline'!B39</f>
        <v>AC-22</v>
      </c>
    </row>
    <row r="494" customFormat="false" ht="17.25" hidden="false" customHeight="true" outlineLevel="0" collapsed="false">
      <c r="A494" s="1" t="str">
        <f aca="false">'Application Config Baseline'!B40</f>
        <v>AU-08</v>
      </c>
    </row>
    <row r="495" customFormat="false" ht="17.25" hidden="false" customHeight="true" outlineLevel="0" collapsed="false">
      <c r="A495" s="1" t="str">
        <f aca="false">'Application Config Baseline'!B41</f>
        <v>AU-09</v>
      </c>
    </row>
    <row r="496" customFormat="false" ht="17.25" hidden="false" customHeight="true" outlineLevel="0" collapsed="false">
      <c r="A496" s="1" t="str">
        <f aca="false">'Application Config Baseline'!B42</f>
        <v>AU-10</v>
      </c>
    </row>
    <row r="497" customFormat="false" ht="17.25" hidden="false" customHeight="true" outlineLevel="0" collapsed="false">
      <c r="A497" s="1" t="str">
        <f aca="false">'Application Config Baseline'!B43</f>
        <v>CM-02</v>
      </c>
    </row>
    <row r="498" customFormat="false" ht="17.25" hidden="false" customHeight="true" outlineLevel="0" collapsed="false">
      <c r="A498" s="1" t="str">
        <f aca="false">'Application Config Baseline'!B44</f>
        <v>CM-03</v>
      </c>
    </row>
    <row r="499" customFormat="false" ht="17.25" hidden="false" customHeight="true" outlineLevel="0" collapsed="false">
      <c r="A499" s="1" t="str">
        <f aca="false">'Application Config Baseline'!B45</f>
        <v>CM-03(02)</v>
      </c>
    </row>
    <row r="500" customFormat="false" ht="17.25" hidden="false" customHeight="true" outlineLevel="0" collapsed="false">
      <c r="A500" s="1" t="str">
        <f aca="false">'Application Config Baseline'!B46</f>
        <v>CM-03(03)</v>
      </c>
    </row>
    <row r="501" customFormat="false" ht="17.25" hidden="false" customHeight="true" outlineLevel="0" collapsed="false">
      <c r="A501" s="1" t="str">
        <f aca="false">'Application Config Baseline'!B47</f>
        <v>CM-05</v>
      </c>
    </row>
    <row r="502" customFormat="false" ht="17.25" hidden="false" customHeight="true" outlineLevel="0" collapsed="false">
      <c r="A502" s="1" t="str">
        <f aca="false">'Application Config Baseline'!B48</f>
        <v>CM-06</v>
      </c>
    </row>
    <row r="503" customFormat="false" ht="17.25" hidden="false" customHeight="true" outlineLevel="0" collapsed="false">
      <c r="A503" s="1" t="str">
        <f aca="false">'Application Config Baseline'!B49</f>
        <v>CM-07</v>
      </c>
    </row>
    <row r="504" customFormat="false" ht="17.25" hidden="false" customHeight="true" outlineLevel="0" collapsed="false">
      <c r="A504" s="1" t="str">
        <f aca="false">'Application Config Baseline'!B50</f>
        <v>CM-07(04)</v>
      </c>
    </row>
    <row r="505" customFormat="false" ht="17.25" hidden="false" customHeight="true" outlineLevel="0" collapsed="false">
      <c r="A505" s="1" t="str">
        <f aca="false">'Application Config Baseline'!B51</f>
        <v>CM-07(05)</v>
      </c>
    </row>
    <row r="506" customFormat="false" ht="17.25" hidden="false" customHeight="true" outlineLevel="0" collapsed="false">
      <c r="A506" s="1" t="str">
        <f aca="false">'Application Config Baseline'!B52</f>
        <v>CM-08</v>
      </c>
    </row>
    <row r="507" customFormat="false" ht="17.25" hidden="false" customHeight="true" outlineLevel="0" collapsed="false">
      <c r="A507" s="1" t="str">
        <f aca="false">'Application Config Baseline'!B53</f>
        <v>CM-10</v>
      </c>
    </row>
    <row r="508" customFormat="false" ht="17.25" hidden="false" customHeight="true" outlineLevel="0" collapsed="false">
      <c r="A508" s="1" t="str">
        <f aca="false">'Application Config Baseline'!B54</f>
        <v>CM-10(01)</v>
      </c>
    </row>
    <row r="509" customFormat="false" ht="17.25" hidden="false" customHeight="true" outlineLevel="0" collapsed="false">
      <c r="A509" s="1" t="str">
        <f aca="false">'Application Config Baseline'!B55</f>
        <v>CM-11</v>
      </c>
    </row>
    <row r="510" customFormat="false" ht="17.25" hidden="false" customHeight="true" outlineLevel="0" collapsed="false">
      <c r="A510" s="1" t="str">
        <f aca="false">'Application Config Baseline'!B56</f>
        <v>CM-14</v>
      </c>
    </row>
    <row r="511" customFormat="false" ht="17.25" hidden="false" customHeight="true" outlineLevel="0" collapsed="false">
      <c r="A511" s="1" t="str">
        <f aca="false">'Application Config Baseline'!B57</f>
        <v>CP-09</v>
      </c>
    </row>
    <row r="512" customFormat="false" ht="17.25" hidden="false" customHeight="true" outlineLevel="0" collapsed="false">
      <c r="A512" s="1" t="str">
        <f aca="false">'Application Config Baseline'!B58</f>
        <v>CP-09(08)</v>
      </c>
    </row>
    <row r="513" customFormat="false" ht="17.25" hidden="false" customHeight="true" outlineLevel="0" collapsed="false">
      <c r="A513" s="1" t="str">
        <f aca="false">'Application Config Baseline'!B59</f>
        <v>CP-10</v>
      </c>
    </row>
    <row r="514" customFormat="false" ht="17.25" hidden="false" customHeight="true" outlineLevel="0" collapsed="false">
      <c r="A514" s="1" t="str">
        <f aca="false">'Application Config Baseline'!B60</f>
        <v>IA-02</v>
      </c>
    </row>
    <row r="515" customFormat="false" ht="17.25" hidden="false" customHeight="true" outlineLevel="0" collapsed="false">
      <c r="A515" s="1" t="str">
        <f aca="false">'Application Config Baseline'!B61</f>
        <v>IA-02(01)</v>
      </c>
    </row>
    <row r="516" customFormat="false" ht="17.25" hidden="false" customHeight="true" outlineLevel="0" collapsed="false">
      <c r="A516" s="1" t="str">
        <f aca="false">'Application Config Baseline'!B62</f>
        <v>IA-02(02)</v>
      </c>
    </row>
    <row r="517" customFormat="false" ht="17.25" hidden="false" customHeight="true" outlineLevel="0" collapsed="false">
      <c r="A517" s="1" t="str">
        <f aca="false">'Application Config Baseline'!B63</f>
        <v>IA-02(10)</v>
      </c>
    </row>
    <row r="518" customFormat="false" ht="17.25" hidden="false" customHeight="true" outlineLevel="0" collapsed="false">
      <c r="A518" s="1" t="str">
        <f aca="false">'Application Config Baseline'!B64</f>
        <v>IA-03</v>
      </c>
    </row>
    <row r="519" customFormat="false" ht="17.25" hidden="false" customHeight="true" outlineLevel="0" collapsed="false">
      <c r="A519" s="1" t="str">
        <f aca="false">'Application Config Baseline'!B65</f>
        <v>IA-05</v>
      </c>
    </row>
    <row r="520" customFormat="false" ht="17.25" hidden="false" customHeight="true" outlineLevel="0" collapsed="false">
      <c r="A520" s="1" t="str">
        <f aca="false">'Application Config Baseline'!B66</f>
        <v>IA-05(01)</v>
      </c>
    </row>
    <row r="521" customFormat="false" ht="17.25" hidden="false" customHeight="true" outlineLevel="0" collapsed="false">
      <c r="A521" s="1" t="str">
        <f aca="false">'Application Config Baseline'!B67</f>
        <v>IA-05(07)</v>
      </c>
    </row>
    <row r="522" customFormat="false" ht="17.25" hidden="false" customHeight="true" outlineLevel="0" collapsed="false">
      <c r="A522" s="1" t="str">
        <f aca="false">'Application Config Baseline'!B68</f>
        <v>IA-05(09)</v>
      </c>
    </row>
    <row r="523" customFormat="false" ht="17.25" hidden="false" customHeight="true" outlineLevel="0" collapsed="false">
      <c r="A523" s="1" t="str">
        <f aca="false">'Application Config Baseline'!B69</f>
        <v>IA-06</v>
      </c>
    </row>
    <row r="524" customFormat="false" ht="17.25" hidden="false" customHeight="true" outlineLevel="0" collapsed="false">
      <c r="A524" s="1" t="str">
        <f aca="false">'Application Config Baseline'!B70</f>
        <v>IA-08</v>
      </c>
    </row>
    <row r="525" customFormat="false" ht="17.25" hidden="false" customHeight="true" outlineLevel="0" collapsed="false">
      <c r="A525" s="1" t="str">
        <f aca="false">'Application Config Baseline'!B71</f>
        <v>IA-09</v>
      </c>
    </row>
    <row r="526" customFormat="false" ht="17.25" hidden="false" customHeight="true" outlineLevel="0" collapsed="false">
      <c r="A526" s="1" t="str">
        <f aca="false">'Application Config Baseline'!B72</f>
        <v>IA-11</v>
      </c>
    </row>
    <row r="527" customFormat="false" ht="17.25" hidden="false" customHeight="true" outlineLevel="0" collapsed="false">
      <c r="A527" s="1" t="str">
        <f aca="false">'Application Config Baseline'!B73</f>
        <v>PL-08</v>
      </c>
    </row>
    <row r="528" customFormat="false" ht="17.25" hidden="false" customHeight="true" outlineLevel="0" collapsed="false">
      <c r="A528" s="1" t="str">
        <f aca="false">'Application Config Baseline'!B74</f>
        <v>RA-05</v>
      </c>
    </row>
    <row r="529" customFormat="false" ht="17.25" hidden="false" customHeight="true" outlineLevel="0" collapsed="false">
      <c r="A529" s="1" t="str">
        <f aca="false">'Application Config Baseline'!B75</f>
        <v>RA-05(02)</v>
      </c>
    </row>
    <row r="530" customFormat="false" ht="17.25" hidden="false" customHeight="true" outlineLevel="0" collapsed="false">
      <c r="A530" s="1" t="str">
        <f aca="false">'Application Config Baseline'!B76</f>
        <v>RA-05(05)</v>
      </c>
    </row>
    <row r="531" customFormat="false" ht="17.25" hidden="false" customHeight="true" outlineLevel="0" collapsed="false">
      <c r="A531" s="1" t="str">
        <f aca="false">'Application Config Baseline'!B77</f>
        <v>SA-03</v>
      </c>
    </row>
    <row r="532" customFormat="false" ht="17.25" hidden="false" customHeight="true" outlineLevel="0" collapsed="false">
      <c r="A532" s="1" t="str">
        <f aca="false">'Application Config Baseline'!B78</f>
        <v>SA-08</v>
      </c>
    </row>
    <row r="533" customFormat="false" ht="17.25" hidden="false" customHeight="true" outlineLevel="0" collapsed="false">
      <c r="A533" s="1" t="str">
        <f aca="false">'Application Config Baseline'!B79</f>
        <v>SA-08(23)</v>
      </c>
    </row>
    <row r="534" customFormat="false" ht="17.25" hidden="false" customHeight="true" outlineLevel="0" collapsed="false">
      <c r="A534" s="1" t="str">
        <f aca="false">'Application Config Baseline'!B80</f>
        <v>SA-10</v>
      </c>
    </row>
    <row r="535" customFormat="false" ht="17.25" hidden="false" customHeight="true" outlineLevel="0" collapsed="false">
      <c r="A535" s="1" t="str">
        <f aca="false">'Application Config Baseline'!B81</f>
        <v>SA-10(01)</v>
      </c>
    </row>
    <row r="536" customFormat="false" ht="17.25" hidden="false" customHeight="true" outlineLevel="0" collapsed="false">
      <c r="A536" s="1" t="str">
        <f aca="false">'Application Config Baseline'!B82</f>
        <v>SA-11</v>
      </c>
    </row>
    <row r="537" customFormat="false" ht="17.25" hidden="false" customHeight="true" outlineLevel="0" collapsed="false">
      <c r="A537" s="1" t="str">
        <f aca="false">'Application Config Baseline'!B83</f>
        <v>SA-11(01)</v>
      </c>
    </row>
    <row r="538" customFormat="false" ht="17.25" hidden="false" customHeight="true" outlineLevel="0" collapsed="false">
      <c r="A538" s="1" t="str">
        <f aca="false">'Application Config Baseline'!B84</f>
        <v>SA-11(02)</v>
      </c>
    </row>
    <row r="539" customFormat="false" ht="17.25" hidden="false" customHeight="true" outlineLevel="0" collapsed="false">
      <c r="A539" s="1" t="str">
        <f aca="false">'Application Config Baseline'!B85</f>
        <v>SA-11(04)</v>
      </c>
    </row>
    <row r="540" customFormat="false" ht="17.25" hidden="false" customHeight="true" outlineLevel="0" collapsed="false">
      <c r="A540" s="1" t="str">
        <f aca="false">'Application Config Baseline'!B86</f>
        <v>SA-11(05)</v>
      </c>
    </row>
    <row r="541" customFormat="false" ht="17.25" hidden="false" customHeight="true" outlineLevel="0" collapsed="false">
      <c r="A541" s="1" t="str">
        <f aca="false">'Application Config Baseline'!B87</f>
        <v>SA-11(08)</v>
      </c>
    </row>
    <row r="542" customFormat="false" ht="17.25" hidden="false" customHeight="true" outlineLevel="0" collapsed="false">
      <c r="A542" s="1" t="str">
        <f aca="false">'Application Config Baseline'!B88</f>
        <v>SA-11(09)</v>
      </c>
    </row>
    <row r="543" customFormat="false" ht="17.25" hidden="false" customHeight="true" outlineLevel="0" collapsed="false">
      <c r="A543" s="1" t="str">
        <f aca="false">'Application Config Baseline'!B89</f>
        <v>SA-15</v>
      </c>
    </row>
    <row r="544" customFormat="false" ht="17.25" hidden="false" customHeight="true" outlineLevel="0" collapsed="false">
      <c r="A544" s="1" t="str">
        <f aca="false">'Application Config Baseline'!B90</f>
        <v>SA-15(05)</v>
      </c>
    </row>
    <row r="545" customFormat="false" ht="17.25" hidden="false" customHeight="true" outlineLevel="0" collapsed="false">
      <c r="A545" s="1" t="str">
        <f aca="false">'Application Config Baseline'!B91</f>
        <v>SA-15(07)</v>
      </c>
    </row>
    <row r="546" customFormat="false" ht="17.25" hidden="false" customHeight="true" outlineLevel="0" collapsed="false">
      <c r="A546" s="1" t="str">
        <f aca="false">'Application Config Baseline'!B92</f>
        <v>SA-22</v>
      </c>
    </row>
    <row r="547" customFormat="false" ht="17.25" hidden="false" customHeight="true" outlineLevel="0" collapsed="false">
      <c r="A547" s="1" t="str">
        <f aca="false">'Application Config Baseline'!B93</f>
        <v>SC-10</v>
      </c>
    </row>
    <row r="548" customFormat="false" ht="17.25" hidden="false" customHeight="true" outlineLevel="0" collapsed="false">
      <c r="A548" s="1" t="str">
        <f aca="false">'Application Config Baseline'!B94</f>
        <v>SC-12</v>
      </c>
    </row>
    <row r="549" customFormat="false" ht="17.25" hidden="false" customHeight="true" outlineLevel="0" collapsed="false">
      <c r="A549" s="1" t="str">
        <f aca="false">'Application Config Baseline'!B95</f>
        <v>SC-13</v>
      </c>
    </row>
    <row r="550" customFormat="false" ht="17.25" hidden="false" customHeight="true" outlineLevel="0" collapsed="false">
      <c r="A550" s="1" t="str">
        <f aca="false">'Application Config Baseline'!B96</f>
        <v>SC-18</v>
      </c>
    </row>
    <row r="551" customFormat="false" ht="17.25" hidden="false" customHeight="true" outlineLevel="0" collapsed="false">
      <c r="A551" s="1" t="str">
        <f aca="false">'Application Config Baseline'!B97</f>
        <v>SC-23</v>
      </c>
    </row>
    <row r="552" customFormat="false" ht="17.25" hidden="false" customHeight="true" outlineLevel="0" collapsed="false">
      <c r="A552" s="1" t="str">
        <f aca="false">'Application Config Baseline'!B98</f>
        <v>SC-23(01)</v>
      </c>
    </row>
    <row r="553" customFormat="false" ht="17.25" hidden="false" customHeight="true" outlineLevel="0" collapsed="false">
      <c r="A553" s="1" t="str">
        <f aca="false">'Application Config Baseline'!B99</f>
        <v>SC-24</v>
      </c>
    </row>
    <row r="554" customFormat="false" ht="17.25" hidden="false" customHeight="true" outlineLevel="0" collapsed="false">
      <c r="A554" s="1" t="str">
        <f aca="false">'Application Config Baseline'!B100</f>
        <v>SC-28</v>
      </c>
    </row>
    <row r="555" customFormat="false" ht="17.25" hidden="false" customHeight="true" outlineLevel="0" collapsed="false">
      <c r="A555" s="1" t="str">
        <f aca="false">'Application Config Baseline'!B101</f>
        <v>SC-28(01)</v>
      </c>
    </row>
    <row r="556" customFormat="false" ht="17.25" hidden="false" customHeight="true" outlineLevel="0" collapsed="false">
      <c r="A556" s="1" t="str">
        <f aca="false">'Application Config Baseline'!B102</f>
        <v>SC-39</v>
      </c>
    </row>
    <row r="557" customFormat="false" ht="17.25" hidden="false" customHeight="true" outlineLevel="0" collapsed="false">
      <c r="A557" s="1" t="str">
        <f aca="false">'Application Config Baseline'!B103</f>
        <v>SI-02</v>
      </c>
    </row>
    <row r="558" customFormat="false" ht="17.25" hidden="false" customHeight="true" outlineLevel="0" collapsed="false">
      <c r="A558" s="1" t="str">
        <f aca="false">'Application Config Baseline'!B104</f>
        <v>SI-03</v>
      </c>
    </row>
    <row r="559" customFormat="false" ht="17.25" hidden="false" customHeight="true" outlineLevel="0" collapsed="false">
      <c r="A559" s="1" t="str">
        <f aca="false">'Application Config Baseline'!B105</f>
        <v>SI-04</v>
      </c>
    </row>
    <row r="560" customFormat="false" ht="17.25" hidden="false" customHeight="true" outlineLevel="0" collapsed="false">
      <c r="A560" s="1" t="str">
        <f aca="false">'Application Config Baseline'!B106</f>
        <v>SI-05</v>
      </c>
    </row>
    <row r="561" customFormat="false" ht="17.25" hidden="false" customHeight="true" outlineLevel="0" collapsed="false">
      <c r="A561" s="1" t="str">
        <f aca="false">'Application Config Baseline'!B107</f>
        <v>SI-07</v>
      </c>
    </row>
    <row r="562" customFormat="false" ht="17.25" hidden="false" customHeight="true" outlineLevel="0" collapsed="false">
      <c r="A562" s="1" t="str">
        <f aca="false">'Application Config Baseline'!B108</f>
        <v>SI-07(01)</v>
      </c>
    </row>
    <row r="563" customFormat="false" ht="17.25" hidden="false" customHeight="true" outlineLevel="0" collapsed="false">
      <c r="A563" s="1" t="str">
        <f aca="false">'Application Config Baseline'!B109</f>
        <v>SI-07(06)</v>
      </c>
    </row>
    <row r="564" customFormat="false" ht="17.25" hidden="false" customHeight="true" outlineLevel="0" collapsed="false">
      <c r="A564" s="1" t="str">
        <f aca="false">'Application Config Baseline'!B110</f>
        <v>SI-07(15)</v>
      </c>
    </row>
    <row r="565" customFormat="false" ht="17.25" hidden="false" customHeight="true" outlineLevel="0" collapsed="false">
      <c r="A565" s="1" t="str">
        <f aca="false">'Application Config Baseline'!B111</f>
        <v>SI-07(17)</v>
      </c>
    </row>
    <row r="566" customFormat="false" ht="17.25" hidden="false" customHeight="true" outlineLevel="0" collapsed="false">
      <c r="A566" s="1" t="str">
        <f aca="false">'Application Config Baseline'!B112</f>
        <v>SI-10</v>
      </c>
    </row>
    <row r="567" customFormat="false" ht="17.25" hidden="false" customHeight="true" outlineLevel="0" collapsed="false">
      <c r="A567" s="1" t="str">
        <f aca="false">'Application Config Baseline'!B113</f>
        <v>SI-10(05)</v>
      </c>
    </row>
    <row r="568" customFormat="false" ht="17.25" hidden="false" customHeight="true" outlineLevel="0" collapsed="false">
      <c r="A568" s="1" t="str">
        <f aca="false">'Application Config Baseline'!B114</f>
        <v>SI-10(06)</v>
      </c>
    </row>
    <row r="569" customFormat="false" ht="17.25" hidden="false" customHeight="true" outlineLevel="0" collapsed="false">
      <c r="A569" s="1" t="str">
        <f aca="false">'Application Config Baseline'!B115</f>
        <v>SI-11</v>
      </c>
    </row>
    <row r="570" customFormat="false" ht="17.25" hidden="false" customHeight="true" outlineLevel="0" collapsed="false">
      <c r="A570" s="1" t="str">
        <f aca="false">'Application Config Baseline'!B116</f>
        <v>SI-15</v>
      </c>
    </row>
    <row r="571" customFormat="false" ht="17.25" hidden="false" customHeight="true" outlineLevel="0" collapsed="false">
      <c r="A571" s="1" t="str">
        <f aca="false">'Application Config Baseline'!B117</f>
        <v>SI-16</v>
      </c>
    </row>
    <row r="572" customFormat="false" ht="17.25" hidden="false" customHeight="true" outlineLevel="0" collapsed="false">
      <c r="A572" s="1" t="str">
        <f aca="false">'Backup Config Baseline'!B19</f>
        <v>CP-02</v>
      </c>
    </row>
    <row r="573" customFormat="false" ht="17.25" hidden="false" customHeight="true" outlineLevel="0" collapsed="false">
      <c r="A573" s="1" t="str">
        <f aca="false">'Backup Config Baseline'!B20</f>
        <v>CP-04</v>
      </c>
    </row>
    <row r="574" customFormat="false" ht="17.25" hidden="false" customHeight="true" outlineLevel="0" collapsed="false">
      <c r="A574" s="1" t="str">
        <f aca="false">'Backup Config Baseline'!B21</f>
        <v>CP-06</v>
      </c>
    </row>
    <row r="575" customFormat="false" ht="17.25" hidden="false" customHeight="true" outlineLevel="0" collapsed="false">
      <c r="A575" s="1" t="str">
        <f aca="false">'Backup Config Baseline'!B22</f>
        <v>CP-06(01)</v>
      </c>
    </row>
    <row r="576" customFormat="false" ht="17.25" hidden="false" customHeight="true" outlineLevel="0" collapsed="false">
      <c r="A576" s="1" t="str">
        <f aca="false">'Backup Config Baseline'!B23</f>
        <v>CP-06(02)</v>
      </c>
    </row>
    <row r="577" customFormat="false" ht="17.25" hidden="false" customHeight="true" outlineLevel="0" collapsed="false">
      <c r="A577" s="1" t="str">
        <f aca="false">'Backup Config Baseline'!B24</f>
        <v>CP-09</v>
      </c>
    </row>
    <row r="578" customFormat="false" ht="17.25" hidden="false" customHeight="true" outlineLevel="0" collapsed="false">
      <c r="A578" s="1" t="str">
        <f aca="false">'Backup Config Baseline'!B25</f>
        <v>CP-09(01)</v>
      </c>
    </row>
    <row r="579" customFormat="false" ht="17.25" hidden="false" customHeight="true" outlineLevel="0" collapsed="false">
      <c r="A579" s="1" t="str">
        <f aca="false">'Backup Config Baseline'!B26</f>
        <v>CP-09(02)</v>
      </c>
    </row>
    <row r="580" customFormat="false" ht="17.25" hidden="false" customHeight="true" outlineLevel="0" collapsed="false">
      <c r="A580" s="1" t="str">
        <f aca="false">'Backup Config Baseline'!B27</f>
        <v>CP-09(03)</v>
      </c>
    </row>
    <row r="581" customFormat="false" ht="17.25" hidden="false" customHeight="true" outlineLevel="0" collapsed="false">
      <c r="A581" s="1" t="str">
        <f aca="false">'Backup Config Baseline'!B28</f>
        <v>CP-09(05)</v>
      </c>
    </row>
    <row r="582" customFormat="false" ht="17.25" hidden="false" customHeight="true" outlineLevel="0" collapsed="false">
      <c r="A582" s="1" t="str">
        <f aca="false">'Backup Config Baseline'!B29</f>
        <v>CP-09(06)</v>
      </c>
    </row>
    <row r="583" customFormat="false" ht="17.25" hidden="false" customHeight="true" outlineLevel="0" collapsed="false">
      <c r="A583" s="1" t="str">
        <f aca="false">'Backup Config Baseline'!B30</f>
        <v>CP-09(07)</v>
      </c>
    </row>
    <row r="584" customFormat="false" ht="17.25" hidden="false" customHeight="true" outlineLevel="0" collapsed="false">
      <c r="A584" s="1" t="str">
        <f aca="false">'Backup Config Baseline'!B31</f>
        <v>CP-09(08)</v>
      </c>
    </row>
    <row r="585" customFormat="false" ht="17.25" hidden="false" customHeight="true" outlineLevel="0" collapsed="false">
      <c r="A585" s="1" t="str">
        <f aca="false">'Backup Config Baseline'!B32</f>
        <v>CP-10</v>
      </c>
    </row>
    <row r="586" customFormat="false" ht="17.25" hidden="false" customHeight="true" outlineLevel="0" collapsed="false">
      <c r="A586" s="1" t="str">
        <f aca="false">'Backup Config Baseline'!B33</f>
        <v>CP-10(04)</v>
      </c>
    </row>
    <row r="587" customFormat="false" ht="17.25" hidden="false" customHeight="true" outlineLevel="0" collapsed="false">
      <c r="A587" s="1" t="str">
        <f aca="false">'Governance Config Baseline'!B37</f>
        <v>AC-01</v>
      </c>
    </row>
    <row r="588" customFormat="false" ht="17.25" hidden="false" customHeight="true" outlineLevel="0" collapsed="false">
      <c r="A588" s="1" t="str">
        <f aca="false">'Governance Config Baseline'!B38</f>
        <v>AT-01</v>
      </c>
    </row>
    <row r="589" customFormat="false" ht="17.25" hidden="false" customHeight="true" outlineLevel="0" collapsed="false">
      <c r="A589" s="1" t="str">
        <f aca="false">'Governance Config Baseline'!B39</f>
        <v>AT-02</v>
      </c>
    </row>
    <row r="590" customFormat="false" ht="17.25" hidden="false" customHeight="true" outlineLevel="0" collapsed="false">
      <c r="A590" s="1" t="str">
        <f aca="false">'Governance Config Baseline'!B40</f>
        <v>AT-03</v>
      </c>
    </row>
    <row r="591" customFormat="false" ht="17.25" hidden="false" customHeight="true" outlineLevel="0" collapsed="false">
      <c r="A591" s="1" t="str">
        <f aca="false">'Governance Config Baseline'!B41</f>
        <v>AT-04</v>
      </c>
    </row>
    <row r="592" customFormat="false" ht="17.25" hidden="false" customHeight="true" outlineLevel="0" collapsed="false">
      <c r="A592" s="1" t="str">
        <f aca="false">'Governance Config Baseline'!B42</f>
        <v>AU-01</v>
      </c>
    </row>
    <row r="593" customFormat="false" ht="17.25" hidden="false" customHeight="true" outlineLevel="0" collapsed="false">
      <c r="A593" s="1" t="str">
        <f aca="false">'Governance Config Baseline'!B43</f>
        <v>AU-06</v>
      </c>
    </row>
    <row r="594" customFormat="false" ht="17.25" hidden="false" customHeight="true" outlineLevel="0" collapsed="false">
      <c r="A594" s="1" t="str">
        <f aca="false">'Governance Config Baseline'!B44</f>
        <v>CA-01</v>
      </c>
    </row>
    <row r="595" customFormat="false" ht="17.25" hidden="false" customHeight="true" outlineLevel="0" collapsed="false">
      <c r="A595" s="1" t="str">
        <f aca="false">'Governance Config Baseline'!B45</f>
        <v>CA-02</v>
      </c>
    </row>
    <row r="596" customFormat="false" ht="17.25" hidden="false" customHeight="true" outlineLevel="0" collapsed="false">
      <c r="A596" s="1" t="str">
        <f aca="false">'Governance Config Baseline'!B46</f>
        <v>CA-05</v>
      </c>
    </row>
    <row r="597" customFormat="false" ht="17.25" hidden="false" customHeight="true" outlineLevel="0" collapsed="false">
      <c r="A597" s="1" t="str">
        <f aca="false">'Governance Config Baseline'!B47</f>
        <v>CA-08</v>
      </c>
    </row>
    <row r="598" customFormat="false" ht="17.25" hidden="false" customHeight="true" outlineLevel="0" collapsed="false">
      <c r="A598" s="1" t="str">
        <f aca="false">'Governance Config Baseline'!B48</f>
        <v>CM-01</v>
      </c>
    </row>
    <row r="599" customFormat="false" ht="17.25" hidden="false" customHeight="true" outlineLevel="0" collapsed="false">
      <c r="A599" s="1" t="str">
        <f aca="false">'Governance Config Baseline'!B49</f>
        <v>CP-01</v>
      </c>
    </row>
    <row r="600" customFormat="false" ht="17.25" hidden="false" customHeight="true" outlineLevel="0" collapsed="false">
      <c r="A600" s="1" t="str">
        <f aca="false">'Governance Config Baseline'!B50</f>
        <v>IA-01</v>
      </c>
    </row>
    <row r="601" customFormat="false" ht="17.25" hidden="false" customHeight="true" outlineLevel="0" collapsed="false">
      <c r="A601" s="1" t="str">
        <f aca="false">'Governance Config Baseline'!B51</f>
        <v>IR-01</v>
      </c>
    </row>
    <row r="602" customFormat="false" ht="17.25" hidden="false" customHeight="true" outlineLevel="0" collapsed="false">
      <c r="A602" s="1" t="str">
        <f aca="false">'Governance Config Baseline'!B52</f>
        <v>IR-02</v>
      </c>
    </row>
    <row r="603" customFormat="false" ht="17.25" hidden="false" customHeight="true" outlineLevel="0" collapsed="false">
      <c r="A603" s="1" t="str">
        <f aca="false">'Governance Config Baseline'!B53</f>
        <v>IR-03</v>
      </c>
    </row>
    <row r="604" customFormat="false" ht="17.25" hidden="false" customHeight="true" outlineLevel="0" collapsed="false">
      <c r="A604" s="1" t="str">
        <f aca="false">'Governance Config Baseline'!B54</f>
        <v>IR-04</v>
      </c>
    </row>
    <row r="605" customFormat="false" ht="17.25" hidden="false" customHeight="true" outlineLevel="0" collapsed="false">
      <c r="A605" s="1" t="str">
        <f aca="false">'Governance Config Baseline'!B55</f>
        <v>IR-06</v>
      </c>
    </row>
    <row r="606" customFormat="false" ht="17.25" hidden="false" customHeight="true" outlineLevel="0" collapsed="false">
      <c r="A606" s="1" t="str">
        <f aca="false">'Governance Config Baseline'!B56</f>
        <v>IR-08</v>
      </c>
    </row>
    <row r="607" customFormat="false" ht="17.25" hidden="false" customHeight="true" outlineLevel="0" collapsed="false">
      <c r="A607" s="1" t="str">
        <f aca="false">'Governance Config Baseline'!B57</f>
        <v>MA-01</v>
      </c>
    </row>
    <row r="608" customFormat="false" ht="17.25" hidden="false" customHeight="true" outlineLevel="0" collapsed="false">
      <c r="A608" s="1" t="str">
        <f aca="false">'Governance Config Baseline'!B58</f>
        <v>PE-01</v>
      </c>
    </row>
    <row r="609" customFormat="false" ht="17.25" hidden="false" customHeight="true" outlineLevel="0" collapsed="false">
      <c r="A609" s="1" t="str">
        <f aca="false">'Governance Config Baseline'!B59</f>
        <v>PL-01</v>
      </c>
    </row>
    <row r="610" customFormat="false" ht="17.25" hidden="false" customHeight="true" outlineLevel="0" collapsed="false">
      <c r="A610" s="1" t="str">
        <f aca="false">'Governance Config Baseline'!B60</f>
        <v>PL-02</v>
      </c>
    </row>
    <row r="611" customFormat="false" ht="17.25" hidden="false" customHeight="true" outlineLevel="0" collapsed="false">
      <c r="A611" s="1" t="str">
        <f aca="false">'Governance Config Baseline'!B61</f>
        <v>PL-04</v>
      </c>
    </row>
    <row r="612" customFormat="false" ht="17.25" hidden="false" customHeight="true" outlineLevel="0" collapsed="false">
      <c r="A612" s="1" t="str">
        <f aca="false">'Governance Config Baseline'!B62</f>
        <v>PM-01</v>
      </c>
    </row>
    <row r="613" customFormat="false" ht="17.25" hidden="false" customHeight="true" outlineLevel="0" collapsed="false">
      <c r="A613" s="1" t="str">
        <f aca="false">'Governance Config Baseline'!B63</f>
        <v>PM-05</v>
      </c>
    </row>
    <row r="614" customFormat="false" ht="17.25" hidden="false" customHeight="true" outlineLevel="0" collapsed="false">
      <c r="A614" s="1" t="str">
        <f aca="false">'Governance Config Baseline'!B64</f>
        <v>PM-09</v>
      </c>
    </row>
    <row r="615" customFormat="false" ht="17.25" hidden="false" customHeight="true" outlineLevel="0" collapsed="false">
      <c r="A615" s="1" t="str">
        <f aca="false">'Governance Config Baseline'!B65</f>
        <v>PS-01</v>
      </c>
    </row>
    <row r="616" customFormat="false" ht="17.25" hidden="false" customHeight="true" outlineLevel="0" collapsed="false">
      <c r="A616" s="1" t="str">
        <f aca="false">'Governance Config Baseline'!B66</f>
        <v>PS-03</v>
      </c>
    </row>
    <row r="617" customFormat="false" ht="17.25" hidden="false" customHeight="true" outlineLevel="0" collapsed="false">
      <c r="A617" s="1" t="str">
        <f aca="false">'Governance Config Baseline'!B67</f>
        <v>PS-06</v>
      </c>
    </row>
    <row r="618" customFormat="false" ht="17.25" hidden="false" customHeight="true" outlineLevel="0" collapsed="false">
      <c r="A618" s="1" t="str">
        <f aca="false">'Governance Config Baseline'!B68</f>
        <v>PT-01</v>
      </c>
    </row>
    <row r="619" customFormat="false" ht="17.25" hidden="false" customHeight="true" outlineLevel="0" collapsed="false">
      <c r="A619" s="1" t="str">
        <f aca="false">'Governance Config Baseline'!B69</f>
        <v>PT-02</v>
      </c>
    </row>
    <row r="620" customFormat="false" ht="17.25" hidden="false" customHeight="true" outlineLevel="0" collapsed="false">
      <c r="A620" s="1" t="str">
        <f aca="false">'Governance Config Baseline'!B70</f>
        <v>RA-01</v>
      </c>
    </row>
    <row r="621" customFormat="false" ht="17.25" hidden="false" customHeight="true" outlineLevel="0" collapsed="false">
      <c r="A621" s="1" t="str">
        <f aca="false">'Governance Config Baseline'!B71</f>
        <v>RA-02</v>
      </c>
    </row>
    <row r="622" customFormat="false" ht="17.25" hidden="false" customHeight="true" outlineLevel="0" collapsed="false">
      <c r="A622" s="1" t="str">
        <f aca="false">'Governance Config Baseline'!B72</f>
        <v>RA-03</v>
      </c>
    </row>
    <row r="623" customFormat="false" ht="17.25" hidden="false" customHeight="true" outlineLevel="0" collapsed="false">
      <c r="A623" s="1" t="str">
        <f aca="false">'Governance Config Baseline'!B73</f>
        <v>RA-08</v>
      </c>
    </row>
    <row r="624" customFormat="false" ht="17.25" hidden="false" customHeight="true" outlineLevel="0" collapsed="false">
      <c r="A624" s="1" t="str">
        <f aca="false">'Governance Config Baseline'!B74</f>
        <v>SA-01</v>
      </c>
    </row>
    <row r="625" customFormat="false" ht="17.25" hidden="false" customHeight="true" outlineLevel="0" collapsed="false">
      <c r="A625" s="1" t="str">
        <f aca="false">'Governance Config Baseline'!B75</f>
        <v>SC-01</v>
      </c>
    </row>
    <row r="626" customFormat="false" ht="17.25" hidden="false" customHeight="true" outlineLevel="0" collapsed="false">
      <c r="A626" s="1" t="str">
        <f aca="false">'Governance Config Baseline'!B76</f>
        <v>SI-01</v>
      </c>
    </row>
    <row r="627" customFormat="false" ht="17.25" hidden="false" customHeight="true" outlineLevel="0" collapsed="false">
      <c r="A627" s="1" t="str">
        <f aca="false">'Governance Config Baseline'!B77</f>
        <v>SI-05</v>
      </c>
    </row>
    <row r="628" customFormat="false" ht="17.25" hidden="false" customHeight="true" outlineLevel="0" collapsed="false">
      <c r="A628" s="1" t="str">
        <f aca="false">'Governance Config Baseline'!B78</f>
        <v>SR-01</v>
      </c>
    </row>
    <row r="629" customFormat="false" ht="17.25" hidden="false" customHeight="true" outlineLevel="0" collapsed="false">
      <c r="A629" s="1" t="str">
        <f aca="false">'Physical Config Baseline'!B22</f>
        <v>MA-02</v>
      </c>
    </row>
    <row r="630" customFormat="false" ht="17.25" hidden="false" customHeight="true" outlineLevel="0" collapsed="false">
      <c r="A630" s="1" t="str">
        <f aca="false">'Physical Config Baseline'!B23</f>
        <v>MA-04</v>
      </c>
    </row>
    <row r="631" customFormat="false" ht="17.25" hidden="false" customHeight="true" outlineLevel="0" collapsed="false">
      <c r="A631" s="1" t="str">
        <f aca="false">'Physical Config Baseline'!B24</f>
        <v>MA-04(01)</v>
      </c>
    </row>
    <row r="632" customFormat="false" ht="17.25" hidden="false" customHeight="true" outlineLevel="0" collapsed="false">
      <c r="A632" s="1" t="str">
        <f aca="false">'Physical Config Baseline'!B25</f>
        <v>MA-04(04)</v>
      </c>
    </row>
    <row r="633" customFormat="false" ht="17.25" hidden="false" customHeight="true" outlineLevel="0" collapsed="false">
      <c r="A633" s="1" t="str">
        <f aca="false">'Physical Config Baseline'!B26</f>
        <v>MA-04(06)</v>
      </c>
    </row>
    <row r="634" customFormat="false" ht="17.25" hidden="false" customHeight="true" outlineLevel="0" collapsed="false">
      <c r="A634" s="1" t="str">
        <f aca="false">'Physical Config Baseline'!B27</f>
        <v>MA-05</v>
      </c>
    </row>
    <row r="635" customFormat="false" ht="17.25" hidden="false" customHeight="true" outlineLevel="0" collapsed="false">
      <c r="A635" s="1" t="str">
        <f aca="false">'Physical Config Baseline'!B28</f>
        <v>MP-02</v>
      </c>
    </row>
    <row r="636" customFormat="false" ht="17.25" hidden="false" customHeight="true" outlineLevel="0" collapsed="false">
      <c r="A636" s="1" t="str">
        <f aca="false">'Physical Config Baseline'!B29</f>
        <v>MP-04</v>
      </c>
    </row>
    <row r="637" customFormat="false" ht="17.25" hidden="false" customHeight="true" outlineLevel="0" collapsed="false">
      <c r="A637" s="1" t="str">
        <f aca="false">'Physical Config Baseline'!B30</f>
        <v>MP-05</v>
      </c>
    </row>
    <row r="638" customFormat="false" ht="17.25" hidden="false" customHeight="true" outlineLevel="0" collapsed="false">
      <c r="A638" s="1" t="str">
        <f aca="false">'Physical Config Baseline'!B31</f>
        <v>MP-05(04)</v>
      </c>
    </row>
    <row r="639" customFormat="false" ht="17.25" hidden="false" customHeight="true" outlineLevel="0" collapsed="false">
      <c r="A639" s="1" t="str">
        <f aca="false">'Physical Config Baseline'!B32</f>
        <v>MP-06</v>
      </c>
    </row>
    <row r="640" customFormat="false" ht="17.25" hidden="false" customHeight="true" outlineLevel="0" collapsed="false">
      <c r="A640" s="1" t="str">
        <f aca="false">'Physical Config Baseline'!B33</f>
        <v>MP-07</v>
      </c>
    </row>
    <row r="641" customFormat="false" ht="17.25" hidden="false" customHeight="true" outlineLevel="0" collapsed="false">
      <c r="A641" s="1" t="str">
        <f aca="false">'Physical Config Baseline'!B34</f>
        <v>PE-02</v>
      </c>
    </row>
    <row r="642" customFormat="false" ht="17.25" hidden="false" customHeight="true" outlineLevel="0" collapsed="false">
      <c r="A642" s="1" t="str">
        <f aca="false">'Physical Config Baseline'!B35</f>
        <v>PE-03</v>
      </c>
    </row>
    <row r="643" customFormat="false" ht="17.25" hidden="false" customHeight="true" outlineLevel="0" collapsed="false">
      <c r="A643" s="1" t="str">
        <f aca="false">'Physical Config Baseline'!B36</f>
        <v>PE-06</v>
      </c>
    </row>
    <row r="644" customFormat="false" ht="17.25" hidden="false" customHeight="true" outlineLevel="0" collapsed="false">
      <c r="A644" s="1" t="str">
        <f aca="false">'Physical Config Baseline'!B37</f>
        <v>PE-08</v>
      </c>
    </row>
    <row r="645" customFormat="false" ht="17.25" hidden="false" customHeight="true" outlineLevel="0" collapsed="false">
      <c r="A645" s="1" t="str">
        <f aca="false">'Physical Config Baseline'!B38</f>
        <v>PE-09</v>
      </c>
    </row>
    <row r="646" customFormat="false" ht="17.25" hidden="false" customHeight="true" outlineLevel="0" collapsed="false">
      <c r="A646" s="1" t="str">
        <f aca="false">'Physical Config Baseline'!B39</f>
        <v>PE-10</v>
      </c>
    </row>
    <row r="647" customFormat="false" ht="17.25" hidden="false" customHeight="true" outlineLevel="0" collapsed="false">
      <c r="A647" s="1" t="str">
        <f aca="false">'Physical Config Baseline'!B40</f>
        <v>PE-11</v>
      </c>
    </row>
    <row r="648" customFormat="false" ht="17.25" hidden="false" customHeight="true" outlineLevel="0" collapsed="false">
      <c r="A648" s="1" t="str">
        <f aca="false">'Physical Config Baseline'!B41</f>
        <v>PE-13</v>
      </c>
    </row>
    <row r="649" customFormat="false" ht="17.25" hidden="false" customHeight="true" outlineLevel="0" collapsed="false">
      <c r="A649" s="1" t="str">
        <f aca="false">'Physical Config Baseline'!B42</f>
        <v>PE-14</v>
      </c>
    </row>
    <row r="650" customFormat="false" ht="17.25" hidden="false" customHeight="true" outlineLevel="0" collapsed="false">
      <c r="A650" s="1" t="str">
        <f aca="false">'Physical Config Baseline'!B43</f>
        <v>PE-15</v>
      </c>
    </row>
    <row r="651" customFormat="false" ht="17.25" hidden="false" customHeight="true" outlineLevel="0" collapsed="false">
      <c r="A651" s="1" t="str">
        <f aca="false">'Physical Config Baseline'!B44</f>
        <v>PE-16</v>
      </c>
    </row>
    <row r="652" customFormat="false" ht="17.25" hidden="false" customHeight="true" outlineLevel="0" collapsed="false">
      <c r="A652" s="1" t="str">
        <f aca="false">'Physical Config Baseline'!B45</f>
        <v>PE-20</v>
      </c>
    </row>
    <row r="653" customFormat="false" ht="17.25" hidden="false" customHeight="true" outlineLevel="0" collapsed="false">
      <c r="A653" s="1" t="str">
        <f aca="false">'Physical Config Baseline'!B46</f>
        <v>SR-09</v>
      </c>
    </row>
    <row r="654" customFormat="false" ht="17.25" hidden="false" customHeight="true" outlineLevel="0" collapsed="false">
      <c r="A654" s="1" t="str">
        <f aca="false">'Physical Config Baseline'!B47</f>
        <v>SR-12</v>
      </c>
    </row>
    <row r="655" customFormat="false" ht="17.25" hidden="false" customHeight="true" outlineLevel="0" collapsed="false">
      <c r="A655" s="1" t="str">
        <f aca="false">'Third Party Config Baseline'!B20</f>
        <v>SA-09</v>
      </c>
    </row>
    <row r="656" customFormat="false" ht="17.25" hidden="false" customHeight="true" outlineLevel="0" collapsed="false">
      <c r="A656" s="1" t="str">
        <f aca="false">'Third Party Config Baseline'!B21</f>
        <v>SA-09(01)</v>
      </c>
    </row>
    <row r="657" customFormat="false" ht="17.25" hidden="false" customHeight="true" outlineLevel="0" collapsed="false">
      <c r="A657" s="1" t="str">
        <f aca="false">'Third Party Config Baseline'!B22</f>
        <v>SA-09(02)</v>
      </c>
    </row>
    <row r="658" customFormat="false" ht="17.25" hidden="false" customHeight="true" outlineLevel="0" collapsed="false">
      <c r="A658" s="1" t="str">
        <f aca="false">'Third Party Config Baseline'!B23</f>
        <v>SA-09(05)</v>
      </c>
    </row>
    <row r="659" customFormat="false" ht="17.25" hidden="false" customHeight="true" outlineLevel="0" collapsed="false">
      <c r="A659" s="1" t="str">
        <f aca="false">'Third Party Config Baseline'!B24</f>
        <v>SA-09(06)</v>
      </c>
    </row>
    <row r="660" customFormat="false" ht="17.25" hidden="false" customHeight="true" outlineLevel="0" collapsed="false">
      <c r="A660" s="1" t="str">
        <f aca="false">'Third Party Config Baseline'!B25</f>
        <v>SA-09(07)</v>
      </c>
    </row>
    <row r="661" customFormat="false" ht="17.25" hidden="false" customHeight="true" outlineLevel="0" collapsed="false">
      <c r="A661" s="1" t="str">
        <f aca="false">'Third Party Config Baseline'!B26</f>
        <v>SR-02</v>
      </c>
    </row>
    <row r="662" customFormat="false" ht="17.25" hidden="false" customHeight="true" outlineLevel="0" collapsed="false">
      <c r="A662" s="1" t="str">
        <f aca="false">'Third Party Config Baseline'!B27</f>
        <v>SR-03</v>
      </c>
    </row>
    <row r="663" customFormat="false" ht="17.25" hidden="false" customHeight="true" outlineLevel="0" collapsed="false">
      <c r="A663" s="1" t="str">
        <f aca="false">'Third Party Config Baseline'!B28</f>
        <v>SR-04</v>
      </c>
    </row>
    <row r="664" customFormat="false" ht="17.25" hidden="false" customHeight="true" outlineLevel="0" collapsed="false">
      <c r="A664" s="1" t="str">
        <f aca="false">'Third Party Config Baseline'!B29</f>
        <v>SR-05</v>
      </c>
    </row>
    <row r="665" customFormat="false" ht="17.25" hidden="false" customHeight="true" outlineLevel="0" collapsed="false">
      <c r="A665" s="1" t="str">
        <f aca="false">'Third Party Config Baseline'!B30</f>
        <v>SR-06</v>
      </c>
    </row>
    <row r="666" customFormat="false" ht="17.25" hidden="false" customHeight="true" outlineLevel="0" collapsed="false">
      <c r="A666" s="1" t="str">
        <f aca="false">'Third Party Config Baseline'!B31</f>
        <v>SR-08</v>
      </c>
    </row>
    <row r="667" customFormat="false" ht="17.25" hidden="false" customHeight="true" outlineLevel="0" collapsed="false">
      <c r="A667" s="1" t="str">
        <f aca="false">'Third Party Config Baseline'!B32</f>
        <v>SR-10</v>
      </c>
    </row>
    <row r="668" customFormat="false" ht="17.25" hidden="false" customHeight="true" outlineLevel="0" collapsed="false">
      <c r="A668" s="1" t="str">
        <f aca="false">'Third Party Config Baseline'!B33</f>
        <v>SR-11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2026-09-30T02:40:39Z</dcterms:created>
  <dc:creator>openpyxl</dc:creator>
  <dc:description/>
  <dc:language>en-US</dc:language>
  <cp:lastModifiedBy/>
  <dcterms:modified xsi:type="dcterms:W3CDTF">2026-09-30T09:55:27Z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